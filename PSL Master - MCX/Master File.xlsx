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" sheetId="1" r:id="rId1"/>
    <sheet name="Exit Times" sheetId="2" r:id="rId2"/>
    <sheet name="StgWiseDD" sheetId="3" r:id="rId3"/>
    <sheet name="CombinedDD" sheetId="4" r:id="rId4"/>
    <sheet name="MTM" sheetId="5" r:id="rId5"/>
  </sheets>
  <calcPr calcId="124519" fullCalcOnLoad="1"/>
</workbook>
</file>

<file path=xl/sharedStrings.xml><?xml version="1.0" encoding="utf-8"?>
<sst xmlns="http://schemas.openxmlformats.org/spreadsheetml/2006/main" count="6688" uniqueCount="213">
  <si>
    <t>CRUDEOIL B120_1</t>
  </si>
  <si>
    <t>CRUDEOIL B120_2</t>
  </si>
  <si>
    <t>CRUDEOIL SRE_SEPARATE_LEG_SL_1</t>
  </si>
  <si>
    <t>CRUDEOIL SRE_SEPARATE_LEG_SL_2</t>
  </si>
  <si>
    <t>NATURALGAS B120_1</t>
  </si>
  <si>
    <t>NATURALGAS B120_2</t>
  </si>
  <si>
    <t>NATURALGAS SRE_SEPARATE_LEG_SL_1</t>
  </si>
  <si>
    <t>NATURALGAS SRE_SEPARATE_LEG_SL_2</t>
  </si>
  <si>
    <t>Date</t>
  </si>
  <si>
    <t>Day</t>
  </si>
  <si>
    <t>CRUDEOIL DTE</t>
  </si>
  <si>
    <t>NATURALGAS DTE</t>
  </si>
  <si>
    <t>Monday</t>
  </si>
  <si>
    <t>Tuesday</t>
  </si>
  <si>
    <t>Wednesday</t>
  </si>
  <si>
    <t>Friday</t>
  </si>
  <si>
    <t>Thursday</t>
  </si>
  <si>
    <t>Sunday</t>
  </si>
  <si>
    <t>Saturday</t>
  </si>
  <si>
    <t>CRUDEOIL</t>
  </si>
  <si>
    <t>NATURALGAS</t>
  </si>
  <si>
    <t>23:30:00</t>
  </si>
  <si>
    <t>22:18:00</t>
  </si>
  <si>
    <t>19:53:00</t>
  </si>
  <si>
    <t>21:46:00</t>
  </si>
  <si>
    <t>21:47:00</t>
  </si>
  <si>
    <t>20:04:00</t>
  </si>
  <si>
    <t>20:35:00</t>
  </si>
  <si>
    <t>20:24:00</t>
  </si>
  <si>
    <t>20:13:00</t>
  </si>
  <si>
    <t>20:33:00</t>
  </si>
  <si>
    <t>22:03:00</t>
  </si>
  <si>
    <t>22:23:00</t>
  </si>
  <si>
    <t>20:07:00</t>
  </si>
  <si>
    <t>23:11:00</t>
  </si>
  <si>
    <t>22:54:00</t>
  </si>
  <si>
    <t>21:31:00</t>
  </si>
  <si>
    <t>22:56:00</t>
  </si>
  <si>
    <t>19:56:00</t>
  </si>
  <si>
    <t>23:20:00</t>
  </si>
  <si>
    <t>20:45:00</t>
  </si>
  <si>
    <t>21:39:00</t>
  </si>
  <si>
    <t>21:22:00</t>
  </si>
  <si>
    <t>17:43:00</t>
  </si>
  <si>
    <t>20:27:00</t>
  </si>
  <si>
    <t>22:45:00</t>
  </si>
  <si>
    <t>22:00:00</t>
  </si>
  <si>
    <t>19:20:00</t>
  </si>
  <si>
    <t>20:17:00</t>
  </si>
  <si>
    <t>19:52:00</t>
  </si>
  <si>
    <t>22:17:00</t>
  </si>
  <si>
    <t>22:28:00</t>
  </si>
  <si>
    <t>19:43:00</t>
  </si>
  <si>
    <t>21:55:00</t>
  </si>
  <si>
    <t>19:37:00</t>
  </si>
  <si>
    <t>20:50:00</t>
  </si>
  <si>
    <t>23:13:00</t>
  </si>
  <si>
    <t>17:37:00</t>
  </si>
  <si>
    <t>21:37:00</t>
  </si>
  <si>
    <t>20:43:00</t>
  </si>
  <si>
    <t>21:11:00</t>
  </si>
  <si>
    <t>20:03:00</t>
  </si>
  <si>
    <t>22:58:00</t>
  </si>
  <si>
    <t>19:47:00</t>
  </si>
  <si>
    <t>22:46:00</t>
  </si>
  <si>
    <t>19:10:00</t>
  </si>
  <si>
    <t>19:24:00</t>
  </si>
  <si>
    <t>19:03:00</t>
  </si>
  <si>
    <t>23:17:00</t>
  </si>
  <si>
    <t>21:00:00</t>
  </si>
  <si>
    <t>21:05:00</t>
  </si>
  <si>
    <t>21:35:00</t>
  </si>
  <si>
    <t>20:18:00</t>
  </si>
  <si>
    <t>21:09:00</t>
  </si>
  <si>
    <t>21:45:00</t>
  </si>
  <si>
    <t>19:25:00</t>
  </si>
  <si>
    <t>21:48:00</t>
  </si>
  <si>
    <t>19:40:00</t>
  </si>
  <si>
    <t>18:41:00</t>
  </si>
  <si>
    <t>22:42:00</t>
  </si>
  <si>
    <t>21:18:00</t>
  </si>
  <si>
    <t>20:32:00</t>
  </si>
  <si>
    <t>22:39:00</t>
  </si>
  <si>
    <t>21:50:00</t>
  </si>
  <si>
    <t>20:02:00</t>
  </si>
  <si>
    <t>19:57:00</t>
  </si>
  <si>
    <t>20:56:00</t>
  </si>
  <si>
    <t>22:43:00</t>
  </si>
  <si>
    <t>21:52:00</t>
  </si>
  <si>
    <t>20:11:00</t>
  </si>
  <si>
    <t>22:36:00</t>
  </si>
  <si>
    <t>20:51:00</t>
  </si>
  <si>
    <t>22:51:00</t>
  </si>
  <si>
    <t>19:36:00</t>
  </si>
  <si>
    <t>19:48:00</t>
  </si>
  <si>
    <t>18:20:00</t>
  </si>
  <si>
    <t>21:03:00</t>
  </si>
  <si>
    <t>21:17:00</t>
  </si>
  <si>
    <t>19:27:00</t>
  </si>
  <si>
    <t>19:50:00</t>
  </si>
  <si>
    <t>18:10:00</t>
  </si>
  <si>
    <t>20:20:00</t>
  </si>
  <si>
    <t>21:49:00</t>
  </si>
  <si>
    <t>21:59:00</t>
  </si>
  <si>
    <t>18:52:00</t>
  </si>
  <si>
    <t>20:53:00</t>
  </si>
  <si>
    <t>20:26:00</t>
  </si>
  <si>
    <t>21:06:00</t>
  </si>
  <si>
    <t>22:09:00</t>
  </si>
  <si>
    <t>21:40:00</t>
  </si>
  <si>
    <t>21:34:00</t>
  </si>
  <si>
    <t>22:07:00</t>
  </si>
  <si>
    <t>21:10:00</t>
  </si>
  <si>
    <t>20:38:00</t>
  </si>
  <si>
    <t>17:55:00</t>
  </si>
  <si>
    <t>21:01:00</t>
  </si>
  <si>
    <t>18:49:00</t>
  </si>
  <si>
    <t>23:04:00</t>
  </si>
  <si>
    <t>23:19:00</t>
  </si>
  <si>
    <t>21:08:00</t>
  </si>
  <si>
    <t>21:29:00</t>
  </si>
  <si>
    <t>18:32:00</t>
  </si>
  <si>
    <t>19:39:00</t>
  </si>
  <si>
    <t>19:44:00</t>
  </si>
  <si>
    <t>23:03:00</t>
  </si>
  <si>
    <t>18:30:00</t>
  </si>
  <si>
    <t>22:15:00</t>
  </si>
  <si>
    <t>20:08:00</t>
  </si>
  <si>
    <t>22:53:00</t>
  </si>
  <si>
    <t>19:35:00</t>
  </si>
  <si>
    <t>18:51:00</t>
  </si>
  <si>
    <t>18:19:00</t>
  </si>
  <si>
    <t>20:14:00</t>
  </si>
  <si>
    <t>20:06:00</t>
  </si>
  <si>
    <t>18:18:00</t>
  </si>
  <si>
    <t>21:53:00</t>
  </si>
  <si>
    <t>20:57:00</t>
  </si>
  <si>
    <t>20:30:00</t>
  </si>
  <si>
    <t>20:42:00</t>
  </si>
  <si>
    <t>20:12:00</t>
  </si>
  <si>
    <t>21:20:00</t>
  </si>
  <si>
    <t>18:15:00</t>
  </si>
  <si>
    <t>22:32:00</t>
  </si>
  <si>
    <t>19:34:00</t>
  </si>
  <si>
    <t>21:58:00</t>
  </si>
  <si>
    <t>19:26:00</t>
  </si>
  <si>
    <t>21:07:00</t>
  </si>
  <si>
    <t>20:39:00</t>
  </si>
  <si>
    <t>22:47:00</t>
  </si>
  <si>
    <t>19:31:00</t>
  </si>
  <si>
    <t>19:14:00</t>
  </si>
  <si>
    <t>21:19:00</t>
  </si>
  <si>
    <t>22:48:00</t>
  </si>
  <si>
    <t>23:18:00</t>
  </si>
  <si>
    <t>19:49:00</t>
  </si>
  <si>
    <t>19:11:00</t>
  </si>
  <si>
    <t>20:19:00</t>
  </si>
  <si>
    <t>20:40:00</t>
  </si>
  <si>
    <t>22:02:00</t>
  </si>
  <si>
    <t>19:23:00</t>
  </si>
  <si>
    <t>18:00:00</t>
  </si>
  <si>
    <t>18:14:00</t>
  </si>
  <si>
    <t>18:38:00</t>
  </si>
  <si>
    <t>20:29:00</t>
  </si>
  <si>
    <t>22:11:00</t>
  </si>
  <si>
    <t>20:16:00</t>
  </si>
  <si>
    <t>19:15:00</t>
  </si>
  <si>
    <t>19:13:00</t>
  </si>
  <si>
    <t>20:22:00</t>
  </si>
  <si>
    <t>19:17:00</t>
  </si>
  <si>
    <t>21:21:00</t>
  </si>
  <si>
    <t>DD CRUDEOIL B120_1</t>
  </si>
  <si>
    <t>DD CRUDEOIL B120_2</t>
  </si>
  <si>
    <t>DD CRUDEOIL SRE_SEPARATE_LEG_SL_1</t>
  </si>
  <si>
    <t>DD CRUDEOIL SRE_SEPARATE_LEG_SL_2</t>
  </si>
  <si>
    <t>DD NATURALGAS B120_1</t>
  </si>
  <si>
    <t>DD NATURALGAS B120_2</t>
  </si>
  <si>
    <t>DD NATURALGAS SRE_SEPARATE_LEG_SL_1</t>
  </si>
  <si>
    <t>DD NATURALGAS SRE_SEPARATE_LEG_SL_2</t>
  </si>
  <si>
    <t>CRUDEOIL B120</t>
  </si>
  <si>
    <t>DD CRUDEOIL B120</t>
  </si>
  <si>
    <t>CRUDEOIL SRE_SEPARATE_LEG_SL</t>
  </si>
  <si>
    <t>DD CRUDEOIL SRE_SEPARATE_LEG_SL</t>
  </si>
  <si>
    <t>NATURALGAS B120</t>
  </si>
  <si>
    <t>DD NATURALGAS B120</t>
  </si>
  <si>
    <t>NATURALGAS SRE_SEPARATE_LEG_SL</t>
  </si>
  <si>
    <t>DD NATURALGAS SRE_SEPARATE_LEG_SL</t>
  </si>
  <si>
    <t>Total</t>
  </si>
  <si>
    <t>CRUDEOIL-DD</t>
  </si>
  <si>
    <t>NATURALGAS-DD</t>
  </si>
  <si>
    <t>Total-DD</t>
  </si>
  <si>
    <t>DD-Days</t>
  </si>
  <si>
    <t>CRUDEOIL-Hedge</t>
  </si>
  <si>
    <t>NATURALGAS-Hedge</t>
  </si>
  <si>
    <t>Total-Hedge</t>
  </si>
  <si>
    <t>CRUDEOIL-Hedge-DD</t>
  </si>
  <si>
    <t>NATURALGAS-Hedge-DD</t>
  </si>
  <si>
    <t>Total-Hedge-DD</t>
  </si>
  <si>
    <t>Hedge-DD-Days</t>
  </si>
  <si>
    <t>Loss-Days</t>
  </si>
  <si>
    <t>Loss-Amount</t>
  </si>
  <si>
    <t>Profit-Days</t>
  </si>
  <si>
    <t>Profit-Amount</t>
  </si>
  <si>
    <t>Loss-Greater-1%</t>
  </si>
  <si>
    <t>Profit-Greater-1%</t>
  </si>
  <si>
    <t>Hedge-Loss-Days</t>
  </si>
  <si>
    <t>Hedge-Loss-Amount</t>
  </si>
  <si>
    <t>Hedge-Profit-Days</t>
  </si>
  <si>
    <t>Hedge-Profit-Amount</t>
  </si>
  <si>
    <t>Hedge-Loss-Greater-1%</t>
  </si>
  <si>
    <t>Hedge-Profit-Greater-1%</t>
  </si>
  <si>
    <t>Months</t>
  </si>
  <si>
    <t>Per Month</t>
  </si>
</sst>
</file>

<file path=xl/styles.xml><?xml version="1.0" encoding="utf-8"?>
<styleSheet xmlns="http://schemas.openxmlformats.org/spreadsheetml/2006/main">
  <numFmts count="3">
    <numFmt numFmtId="164" formatCode="_ * #,##0_ ;_ * -#,##0_ ;_ * &quot;-&quot;_ ;_ @_ "/>
    <numFmt numFmtId="165" formatCode="YYYY-MM-DD"/>
    <numFmt numFmtId="166" formatCode="YYYY-MM-DD HH:MM:SS"/>
  </numFmts>
  <fonts count="3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166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6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0"/>
  <sheetViews>
    <sheetView tabSelected="1" workbookViewId="0"/>
  </sheetViews>
  <sheetFormatPr defaultRowHeight="15"/>
  <sheetData>
    <row r="1" spans="1:12" s="1" customFormat="1">
      <c r="A1" s="2" t="s">
        <v>8</v>
      </c>
      <c r="B1" s="2" t="s">
        <v>9</v>
      </c>
      <c r="C1" s="2" t="s">
        <v>10</v>
      </c>
      <c r="D1" s="2" t="s">
        <v>11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 spans="1:12" s="1" customFormat="1">
      <c r="A2" s="3">
        <v>44928</v>
      </c>
      <c r="B2" s="2" t="s">
        <v>12</v>
      </c>
      <c r="C2" s="2">
        <v>8</v>
      </c>
      <c r="D2" s="2">
        <v>12</v>
      </c>
      <c r="E2" s="1">
        <v>66831.350406668</v>
      </c>
      <c r="F2" s="1">
        <v>66831.350406668</v>
      </c>
      <c r="G2" s="1">
        <v>66831.350406668</v>
      </c>
      <c r="H2" s="1">
        <v>66831.350406668</v>
      </c>
      <c r="I2" s="1">
        <v>0</v>
      </c>
      <c r="J2" s="1">
        <v>0</v>
      </c>
      <c r="K2" s="1">
        <v>0</v>
      </c>
      <c r="L2" s="1">
        <v>0</v>
      </c>
    </row>
    <row r="3" spans="1:12" s="1" customFormat="1">
      <c r="A3" s="3">
        <v>44929</v>
      </c>
      <c r="B3" s="2" t="s">
        <v>13</v>
      </c>
      <c r="C3" s="2">
        <v>7</v>
      </c>
      <c r="D3" s="2">
        <v>11</v>
      </c>
      <c r="E3" s="1">
        <v>10149.73369510601</v>
      </c>
      <c r="F3" s="1">
        <v>10149.73369510601</v>
      </c>
      <c r="G3" s="1">
        <v>10149.73369510601</v>
      </c>
      <c r="H3" s="1">
        <v>10149.73369510601</v>
      </c>
      <c r="I3" s="1">
        <v>0</v>
      </c>
      <c r="J3" s="1">
        <v>0</v>
      </c>
      <c r="K3" s="1">
        <v>0</v>
      </c>
      <c r="L3" s="1">
        <v>0</v>
      </c>
    </row>
    <row r="4" spans="1:12" s="1" customFormat="1">
      <c r="A4" s="3">
        <v>44930</v>
      </c>
      <c r="B4" s="2" t="s">
        <v>14</v>
      </c>
      <c r="C4" s="2">
        <v>6</v>
      </c>
      <c r="D4" s="2">
        <v>10</v>
      </c>
      <c r="E4" s="1">
        <v>31445.55694618274</v>
      </c>
      <c r="F4" s="1">
        <v>31445.55694618274</v>
      </c>
      <c r="G4" s="1">
        <v>31445.55694618274</v>
      </c>
      <c r="H4" s="1">
        <v>31445.55694618274</v>
      </c>
      <c r="I4" s="1">
        <v>0</v>
      </c>
      <c r="J4" s="1">
        <v>0</v>
      </c>
      <c r="K4" s="1">
        <v>0</v>
      </c>
      <c r="L4" s="1">
        <v>0</v>
      </c>
    </row>
    <row r="5" spans="1:12" s="1" customFormat="1">
      <c r="A5" s="3">
        <v>44932</v>
      </c>
      <c r="B5" s="2" t="s">
        <v>15</v>
      </c>
      <c r="C5" s="2">
        <v>5</v>
      </c>
      <c r="D5" s="2">
        <v>9</v>
      </c>
      <c r="E5" s="1">
        <v>108759.648178065</v>
      </c>
      <c r="F5" s="1">
        <v>108759.648178065</v>
      </c>
      <c r="G5" s="1">
        <v>108759.648178065</v>
      </c>
      <c r="H5" s="1">
        <v>108759.648178065</v>
      </c>
      <c r="I5" s="1">
        <v>0</v>
      </c>
      <c r="J5" s="1">
        <v>0</v>
      </c>
      <c r="K5" s="1">
        <v>0</v>
      </c>
      <c r="L5" s="1">
        <v>0</v>
      </c>
    </row>
    <row r="6" spans="1:12" s="1" customFormat="1">
      <c r="A6" s="3">
        <v>44938</v>
      </c>
      <c r="B6" s="2" t="s">
        <v>16</v>
      </c>
      <c r="C6" s="2">
        <v>4</v>
      </c>
      <c r="D6" s="2">
        <v>8</v>
      </c>
      <c r="E6" s="1">
        <v>165217.6204025714</v>
      </c>
      <c r="F6" s="1">
        <v>165217.6204025714</v>
      </c>
      <c r="G6" s="1">
        <v>165217.6204025714</v>
      </c>
      <c r="H6" s="1">
        <v>165217.6204025714</v>
      </c>
      <c r="I6" s="1">
        <v>0</v>
      </c>
      <c r="J6" s="1">
        <v>0</v>
      </c>
      <c r="K6" s="1">
        <v>0</v>
      </c>
      <c r="L6" s="1">
        <v>0</v>
      </c>
    </row>
    <row r="7" spans="1:12" s="1" customFormat="1">
      <c r="A7" s="3">
        <v>44939</v>
      </c>
      <c r="B7" s="2" t="s">
        <v>15</v>
      </c>
      <c r="C7" s="2">
        <v>3</v>
      </c>
      <c r="D7" s="2">
        <v>7</v>
      </c>
      <c r="E7" s="1">
        <v>139881.6795225297</v>
      </c>
      <c r="F7" s="1">
        <v>139881.6795225297</v>
      </c>
      <c r="G7" s="1">
        <v>139881.6795225297</v>
      </c>
      <c r="H7" s="1">
        <v>139881.6795225297</v>
      </c>
      <c r="I7" s="1">
        <v>0</v>
      </c>
      <c r="J7" s="1">
        <v>0</v>
      </c>
      <c r="K7" s="1">
        <v>0</v>
      </c>
      <c r="L7" s="1">
        <v>0</v>
      </c>
    </row>
    <row r="8" spans="1:12" s="1" customFormat="1">
      <c r="A8" s="3">
        <v>44942</v>
      </c>
      <c r="B8" s="2" t="s">
        <v>12</v>
      </c>
      <c r="C8" s="2">
        <v>2</v>
      </c>
      <c r="D8" s="2">
        <v>6</v>
      </c>
      <c r="E8" s="1">
        <v>20363.49255476463</v>
      </c>
      <c r="F8" s="1">
        <v>100244.1624540046</v>
      </c>
      <c r="G8" s="1">
        <v>100244.1624540046</v>
      </c>
      <c r="H8" s="1">
        <v>100244.1624540046</v>
      </c>
      <c r="I8" s="1">
        <v>84224.59893048128</v>
      </c>
      <c r="J8" s="1">
        <v>84224.59893048128</v>
      </c>
      <c r="K8" s="1">
        <v>84224.59893048128</v>
      </c>
      <c r="L8" s="1">
        <v>84224.59893048128</v>
      </c>
    </row>
    <row r="9" spans="1:12" s="1" customFormat="1">
      <c r="A9" s="3">
        <v>44943</v>
      </c>
      <c r="B9" s="2" t="s">
        <v>13</v>
      </c>
      <c r="C9" s="2">
        <v>1</v>
      </c>
      <c r="D9" s="2">
        <v>5</v>
      </c>
      <c r="E9" s="1">
        <v>195988.1091083545</v>
      </c>
      <c r="F9" s="1">
        <v>250473.7509423617</v>
      </c>
      <c r="G9" s="1">
        <v>248507.6416969365</v>
      </c>
      <c r="H9" s="1">
        <v>248507.6416969365</v>
      </c>
      <c r="I9" s="1">
        <v>-17276.70035509424</v>
      </c>
      <c r="J9" s="1">
        <v>-17276.70035509424</v>
      </c>
      <c r="K9" s="1">
        <v>-17276.70035509424</v>
      </c>
      <c r="L9" s="1">
        <v>-17276.70035509424</v>
      </c>
    </row>
    <row r="10" spans="1:12" s="1" customFormat="1">
      <c r="A10" s="3">
        <v>44944</v>
      </c>
      <c r="B10" s="2" t="s">
        <v>14</v>
      </c>
      <c r="C10" s="2">
        <v>20</v>
      </c>
      <c r="D10" s="2">
        <v>4</v>
      </c>
      <c r="E10" s="1">
        <v>0</v>
      </c>
      <c r="F10" s="1">
        <v>0</v>
      </c>
      <c r="G10" s="1">
        <v>0</v>
      </c>
      <c r="H10" s="1">
        <v>0</v>
      </c>
      <c r="I10" s="1">
        <v>90329.99164578118</v>
      </c>
      <c r="J10" s="1">
        <v>90329.99164578118</v>
      </c>
      <c r="K10" s="1">
        <v>90329.99164578118</v>
      </c>
      <c r="L10" s="1">
        <v>90329.99164578118</v>
      </c>
    </row>
    <row r="11" spans="1:12" s="1" customFormat="1">
      <c r="A11" s="3">
        <v>44945</v>
      </c>
      <c r="B11" s="2" t="s">
        <v>16</v>
      </c>
      <c r="C11" s="2">
        <v>19</v>
      </c>
      <c r="D11" s="2">
        <v>3</v>
      </c>
      <c r="E11" s="1">
        <v>0</v>
      </c>
      <c r="F11" s="1">
        <v>0</v>
      </c>
      <c r="G11" s="1">
        <v>0</v>
      </c>
      <c r="H11" s="1">
        <v>0</v>
      </c>
      <c r="I11" s="1">
        <v>55846.15384615383</v>
      </c>
      <c r="J11" s="1">
        <v>55846.15384615383</v>
      </c>
      <c r="K11" s="1">
        <v>55846.15384615383</v>
      </c>
      <c r="L11" s="1">
        <v>55846.15384615383</v>
      </c>
    </row>
    <row r="12" spans="1:12" s="1" customFormat="1">
      <c r="A12" s="3">
        <v>44946</v>
      </c>
      <c r="B12" s="2" t="s">
        <v>15</v>
      </c>
      <c r="C12" s="2">
        <v>18</v>
      </c>
      <c r="D12" s="2">
        <v>2</v>
      </c>
      <c r="E12" s="1">
        <v>0</v>
      </c>
      <c r="F12" s="1">
        <v>0</v>
      </c>
      <c r="G12" s="1">
        <v>0</v>
      </c>
      <c r="H12" s="1">
        <v>0</v>
      </c>
      <c r="I12" s="1">
        <v>-131800.4769475357</v>
      </c>
      <c r="J12" s="1">
        <v>-138135.9300476947</v>
      </c>
      <c r="K12" s="1">
        <v>-138135.9300476947</v>
      </c>
      <c r="L12" s="1">
        <v>-138135.9300476947</v>
      </c>
    </row>
    <row r="13" spans="1:12" s="1" customFormat="1">
      <c r="A13" s="3">
        <v>44949</v>
      </c>
      <c r="B13" s="2" t="s">
        <v>12</v>
      </c>
      <c r="C13" s="2">
        <v>17</v>
      </c>
      <c r="D13" s="2">
        <v>1</v>
      </c>
      <c r="E13" s="1">
        <v>0</v>
      </c>
      <c r="F13" s="1">
        <v>0</v>
      </c>
      <c r="G13" s="1">
        <v>0</v>
      </c>
      <c r="H13" s="1">
        <v>0</v>
      </c>
      <c r="I13" s="1">
        <v>-125813.7432188065</v>
      </c>
      <c r="J13" s="1">
        <v>152426.1603375527</v>
      </c>
      <c r="K13" s="1">
        <v>68392.10367691379</v>
      </c>
      <c r="L13" s="1">
        <v>68392.10367691379</v>
      </c>
    </row>
    <row r="14" spans="1:12" s="1" customFormat="1">
      <c r="A14" s="3">
        <v>44950</v>
      </c>
      <c r="B14" s="2" t="s">
        <v>13</v>
      </c>
      <c r="C14" s="2">
        <v>16</v>
      </c>
      <c r="D14" s="2">
        <v>20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2" s="1" customFormat="1">
      <c r="A15" s="3">
        <v>44951</v>
      </c>
      <c r="B15" s="2" t="s">
        <v>14</v>
      </c>
      <c r="C15" s="2">
        <v>15</v>
      </c>
      <c r="D15" s="2">
        <v>19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 s="1" customFormat="1">
      <c r="A16" s="3">
        <v>44953</v>
      </c>
      <c r="B16" s="2" t="s">
        <v>15</v>
      </c>
      <c r="C16" s="2">
        <v>14</v>
      </c>
      <c r="D16" s="2">
        <v>18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 s="1" customFormat="1">
      <c r="A17" s="3">
        <v>44956</v>
      </c>
      <c r="B17" s="2" t="s">
        <v>12</v>
      </c>
      <c r="C17" s="2">
        <v>0</v>
      </c>
      <c r="D17" s="2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 s="1" customFormat="1">
      <c r="A18" s="3">
        <v>44957</v>
      </c>
      <c r="B18" s="2" t="s">
        <v>13</v>
      </c>
      <c r="C18" s="2">
        <v>12</v>
      </c>
      <c r="D18" s="2">
        <v>16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 s="1" customFormat="1">
      <c r="A19" s="3">
        <v>44958</v>
      </c>
      <c r="B19" s="2" t="s">
        <v>14</v>
      </c>
      <c r="C19" s="2">
        <v>11</v>
      </c>
      <c r="D19" s="2">
        <v>15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 s="1" customFormat="1">
      <c r="A20" s="3">
        <v>44959</v>
      </c>
      <c r="B20" s="2" t="s">
        <v>16</v>
      </c>
      <c r="C20" s="2">
        <v>10</v>
      </c>
      <c r="D20" s="2">
        <v>14</v>
      </c>
      <c r="E20" s="1">
        <v>-588.3179375504885</v>
      </c>
      <c r="F20" s="1">
        <v>-588.3179375504885</v>
      </c>
      <c r="G20" s="1">
        <v>-588.3179375504885</v>
      </c>
      <c r="H20" s="1">
        <v>-588.3179375504885</v>
      </c>
      <c r="I20" s="1">
        <v>0</v>
      </c>
      <c r="J20" s="1">
        <v>0</v>
      </c>
      <c r="K20" s="1">
        <v>0</v>
      </c>
      <c r="L20" s="1">
        <v>0</v>
      </c>
    </row>
    <row r="21" spans="1:12" s="1" customFormat="1">
      <c r="A21" s="3">
        <v>44960</v>
      </c>
      <c r="B21" s="2" t="s">
        <v>15</v>
      </c>
      <c r="C21" s="2">
        <v>9</v>
      </c>
      <c r="D21" s="2">
        <v>13</v>
      </c>
      <c r="E21" s="1">
        <v>-311042.77600284</v>
      </c>
      <c r="F21" s="1">
        <v>13214.41249556266</v>
      </c>
      <c r="G21" s="1">
        <v>13214.41249556266</v>
      </c>
      <c r="H21" s="1">
        <v>13214.41249556266</v>
      </c>
      <c r="I21" s="1">
        <v>0</v>
      </c>
      <c r="J21" s="1">
        <v>0</v>
      </c>
      <c r="K21" s="1">
        <v>0</v>
      </c>
      <c r="L21" s="1">
        <v>0</v>
      </c>
    </row>
    <row r="22" spans="1:12" s="1" customFormat="1">
      <c r="A22" s="3">
        <v>44963</v>
      </c>
      <c r="B22" s="2" t="s">
        <v>12</v>
      </c>
      <c r="C22" s="2">
        <v>8</v>
      </c>
      <c r="D22" s="2">
        <v>12</v>
      </c>
      <c r="E22" s="1">
        <v>69996.3510308338</v>
      </c>
      <c r="F22" s="1">
        <v>69996.3510308338</v>
      </c>
      <c r="G22" s="1">
        <v>69996.3510308338</v>
      </c>
      <c r="H22" s="1">
        <v>69996.3510308338</v>
      </c>
      <c r="I22" s="1">
        <v>0</v>
      </c>
      <c r="J22" s="1">
        <v>0</v>
      </c>
      <c r="K22" s="1">
        <v>0</v>
      </c>
      <c r="L22" s="1">
        <v>0</v>
      </c>
    </row>
    <row r="23" spans="1:12" s="1" customFormat="1">
      <c r="A23" s="3">
        <v>44964</v>
      </c>
      <c r="B23" s="2" t="s">
        <v>13</v>
      </c>
      <c r="C23" s="2">
        <v>7</v>
      </c>
      <c r="D23" s="2">
        <v>11</v>
      </c>
      <c r="E23" s="1">
        <v>349768.1040040111</v>
      </c>
      <c r="F23" s="1">
        <v>349768.1040040111</v>
      </c>
      <c r="G23" s="1">
        <v>349768.1040040111</v>
      </c>
      <c r="H23" s="1">
        <v>349768.1040040111</v>
      </c>
      <c r="I23" s="1">
        <v>0</v>
      </c>
      <c r="J23" s="1">
        <v>0</v>
      </c>
      <c r="K23" s="1">
        <v>0</v>
      </c>
      <c r="L23" s="1">
        <v>0</v>
      </c>
    </row>
    <row r="24" spans="1:12" s="1" customFormat="1">
      <c r="A24" s="3">
        <v>44965</v>
      </c>
      <c r="B24" s="2" t="s">
        <v>14</v>
      </c>
      <c r="C24" s="2">
        <v>6</v>
      </c>
      <c r="D24" s="2">
        <v>10</v>
      </c>
      <c r="E24" s="1">
        <v>70709.884065035</v>
      </c>
      <c r="F24" s="1">
        <v>70709.884065035</v>
      </c>
      <c r="G24" s="1">
        <v>70709.884065035</v>
      </c>
      <c r="H24" s="1">
        <v>70709.884065035</v>
      </c>
      <c r="I24" s="1">
        <v>0</v>
      </c>
      <c r="J24" s="1">
        <v>0</v>
      </c>
      <c r="K24" s="1">
        <v>0</v>
      </c>
      <c r="L24" s="1">
        <v>0</v>
      </c>
    </row>
    <row r="25" spans="1:12" s="1" customFormat="1">
      <c r="A25" s="3">
        <v>44966</v>
      </c>
      <c r="B25" s="2" t="s">
        <v>16</v>
      </c>
      <c r="C25" s="2">
        <v>5</v>
      </c>
      <c r="D25" s="2">
        <v>9</v>
      </c>
      <c r="E25" s="1">
        <v>-18240.36911255186</v>
      </c>
      <c r="F25" s="1">
        <v>37923.22733353916</v>
      </c>
      <c r="G25" s="1">
        <v>37923.22733353916</v>
      </c>
      <c r="H25" s="1">
        <v>37923.22733353916</v>
      </c>
      <c r="I25" s="1">
        <v>0</v>
      </c>
      <c r="J25" s="1">
        <v>0</v>
      </c>
      <c r="K25" s="1">
        <v>0</v>
      </c>
      <c r="L25" s="1">
        <v>0</v>
      </c>
    </row>
    <row r="26" spans="1:12" s="1" customFormat="1">
      <c r="A26" s="3">
        <v>44967</v>
      </c>
      <c r="B26" s="2" t="s">
        <v>15</v>
      </c>
      <c r="C26" s="2">
        <v>4</v>
      </c>
      <c r="D26" s="2">
        <v>8</v>
      </c>
      <c r="E26" s="1">
        <v>191762.690750545</v>
      </c>
      <c r="F26" s="1">
        <v>191762.690750545</v>
      </c>
      <c r="G26" s="1">
        <v>191762.690750545</v>
      </c>
      <c r="H26" s="1">
        <v>191762.690750545</v>
      </c>
      <c r="I26" s="1">
        <v>0</v>
      </c>
      <c r="J26" s="1">
        <v>0</v>
      </c>
      <c r="K26" s="1">
        <v>0</v>
      </c>
      <c r="L26" s="1">
        <v>0</v>
      </c>
    </row>
    <row r="27" spans="1:12" s="1" customFormat="1">
      <c r="A27" s="3">
        <v>44970</v>
      </c>
      <c r="B27" s="2" t="s">
        <v>12</v>
      </c>
      <c r="C27" s="2">
        <v>3</v>
      </c>
      <c r="D27" s="2">
        <v>7</v>
      </c>
      <c r="E27" s="1">
        <v>87674.96772440035</v>
      </c>
      <c r="F27" s="1">
        <v>54639.19277026566</v>
      </c>
      <c r="G27" s="1">
        <v>54639.19277026566</v>
      </c>
      <c r="H27" s="1">
        <v>54639.19277026566</v>
      </c>
      <c r="I27" s="1">
        <v>0</v>
      </c>
      <c r="J27" s="1">
        <v>0</v>
      </c>
      <c r="K27" s="1">
        <v>0</v>
      </c>
      <c r="L27" s="1">
        <v>0</v>
      </c>
    </row>
    <row r="28" spans="1:12" s="1" customFormat="1">
      <c r="A28" s="3">
        <v>44971</v>
      </c>
      <c r="B28" s="2" t="s">
        <v>13</v>
      </c>
      <c r="C28" s="2">
        <v>2</v>
      </c>
      <c r="D28" s="2">
        <v>6</v>
      </c>
      <c r="E28" s="1">
        <v>-161139.9667311675</v>
      </c>
      <c r="F28" s="1">
        <v>230284.8219438503</v>
      </c>
      <c r="G28" s="1">
        <v>230284.8219438503</v>
      </c>
      <c r="H28" s="1">
        <v>230284.8219438503</v>
      </c>
      <c r="I28" s="1">
        <v>9583.676834295136</v>
      </c>
      <c r="J28" s="1">
        <v>9583.676834295136</v>
      </c>
      <c r="K28" s="1">
        <v>9583.676834295136</v>
      </c>
      <c r="L28" s="1">
        <v>9583.676834295136</v>
      </c>
    </row>
    <row r="29" spans="1:12" s="1" customFormat="1">
      <c r="A29" s="3">
        <v>44972</v>
      </c>
      <c r="B29" s="2" t="s">
        <v>14</v>
      </c>
      <c r="C29" s="2">
        <v>1</v>
      </c>
      <c r="D29" s="2">
        <v>5</v>
      </c>
      <c r="E29" s="1">
        <v>2035.398230088503</v>
      </c>
      <c r="F29" s="1">
        <v>36502.72294077605</v>
      </c>
      <c r="G29" s="1">
        <v>267684.6494213751</v>
      </c>
      <c r="H29" s="1">
        <v>267684.6494213751</v>
      </c>
      <c r="I29" s="1">
        <v>44576.66796722591</v>
      </c>
      <c r="J29" s="1">
        <v>44576.66796722591</v>
      </c>
      <c r="K29" s="1">
        <v>44576.66796722591</v>
      </c>
      <c r="L29" s="1">
        <v>44576.66796722591</v>
      </c>
    </row>
    <row r="30" spans="1:12" s="1" customFormat="1">
      <c r="A30" s="3">
        <v>44973</v>
      </c>
      <c r="B30" s="2" t="s">
        <v>16</v>
      </c>
      <c r="C30" s="2">
        <v>20</v>
      </c>
      <c r="D30" s="2">
        <v>4</v>
      </c>
      <c r="E30" s="1">
        <v>0</v>
      </c>
      <c r="F30" s="1">
        <v>0</v>
      </c>
      <c r="G30" s="1">
        <v>0</v>
      </c>
      <c r="H30" s="1">
        <v>0</v>
      </c>
      <c r="I30" s="1">
        <v>106508.5158150851</v>
      </c>
      <c r="J30" s="1">
        <v>106508.5158150851</v>
      </c>
      <c r="K30" s="1">
        <v>106508.5158150851</v>
      </c>
      <c r="L30" s="1">
        <v>106508.5158150851</v>
      </c>
    </row>
    <row r="31" spans="1:12" s="1" customFormat="1">
      <c r="A31" s="3">
        <v>44974</v>
      </c>
      <c r="B31" s="2" t="s">
        <v>15</v>
      </c>
      <c r="C31" s="2">
        <v>19</v>
      </c>
      <c r="D31" s="2">
        <v>3</v>
      </c>
      <c r="E31" s="1">
        <v>0</v>
      </c>
      <c r="F31" s="1">
        <v>0</v>
      </c>
      <c r="G31" s="1">
        <v>0</v>
      </c>
      <c r="H31" s="1">
        <v>0</v>
      </c>
      <c r="I31" s="1">
        <v>81390.27431421448</v>
      </c>
      <c r="J31" s="1">
        <v>81390.27431421448</v>
      </c>
      <c r="K31" s="1">
        <v>81390.27431421448</v>
      </c>
      <c r="L31" s="1">
        <v>81390.27431421448</v>
      </c>
    </row>
    <row r="32" spans="1:12" s="1" customFormat="1">
      <c r="A32" s="3">
        <v>44977</v>
      </c>
      <c r="B32" s="2" t="s">
        <v>12</v>
      </c>
      <c r="C32" s="2">
        <v>18</v>
      </c>
      <c r="D32" s="2">
        <v>2</v>
      </c>
      <c r="E32" s="1">
        <v>0</v>
      </c>
      <c r="F32" s="1">
        <v>0</v>
      </c>
      <c r="G32" s="1">
        <v>0</v>
      </c>
      <c r="H32" s="1">
        <v>0</v>
      </c>
      <c r="I32" s="1">
        <v>84840.78590785908</v>
      </c>
      <c r="J32" s="1">
        <v>84840.78590785908</v>
      </c>
      <c r="K32" s="1">
        <v>84840.78590785908</v>
      </c>
      <c r="L32" s="1">
        <v>84840.78590785908</v>
      </c>
    </row>
    <row r="33" spans="1:12" s="1" customFormat="1">
      <c r="A33" s="3">
        <v>44978</v>
      </c>
      <c r="B33" s="2" t="s">
        <v>13</v>
      </c>
      <c r="C33" s="2">
        <v>17</v>
      </c>
      <c r="D33" s="2">
        <v>1</v>
      </c>
      <c r="E33" s="1">
        <v>0</v>
      </c>
      <c r="F33" s="1">
        <v>0</v>
      </c>
      <c r="G33" s="1">
        <v>0</v>
      </c>
      <c r="H33" s="1">
        <v>0</v>
      </c>
      <c r="I33" s="1">
        <v>36547.61904761905</v>
      </c>
      <c r="J33" s="1">
        <v>-4268.70748299319</v>
      </c>
      <c r="K33" s="1">
        <v>-114285.7142857143</v>
      </c>
      <c r="L33" s="1">
        <v>-119937.641723356</v>
      </c>
    </row>
    <row r="34" spans="1:12" s="1" customFormat="1">
      <c r="A34" s="3">
        <v>44979</v>
      </c>
      <c r="B34" s="2" t="s">
        <v>14</v>
      </c>
      <c r="C34" s="2">
        <v>16</v>
      </c>
      <c r="D34" s="2">
        <v>22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 s="1" customFormat="1">
      <c r="A35" s="3">
        <v>44980</v>
      </c>
      <c r="B35" s="2" t="s">
        <v>16</v>
      </c>
      <c r="C35" s="2">
        <v>15</v>
      </c>
      <c r="D35" s="2">
        <v>21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 s="1" customFormat="1">
      <c r="A36" s="3">
        <v>44981</v>
      </c>
      <c r="B36" s="2" t="s">
        <v>15</v>
      </c>
      <c r="C36" s="2">
        <v>14</v>
      </c>
      <c r="D36" s="2">
        <v>20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 s="1" customFormat="1">
      <c r="A37" s="3">
        <v>44984</v>
      </c>
      <c r="B37" s="2" t="s">
        <v>12</v>
      </c>
      <c r="C37" s="2">
        <v>13</v>
      </c>
      <c r="D37" s="2">
        <v>19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 s="1" customFormat="1">
      <c r="A38" s="3">
        <v>44985</v>
      </c>
      <c r="B38" s="2" t="s">
        <v>13</v>
      </c>
      <c r="C38" s="2">
        <v>12</v>
      </c>
      <c r="D38" s="2">
        <v>18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 s="1" customFormat="1">
      <c r="A39" s="3">
        <v>44986</v>
      </c>
      <c r="B39" s="2" t="s">
        <v>14</v>
      </c>
      <c r="C39" s="2">
        <v>11</v>
      </c>
      <c r="D39" s="2">
        <v>17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 s="1" customFormat="1">
      <c r="A40" s="3">
        <v>44987</v>
      </c>
      <c r="B40" s="2" t="s">
        <v>16</v>
      </c>
      <c r="C40" s="2">
        <v>10</v>
      </c>
      <c r="D40" s="2">
        <v>16</v>
      </c>
      <c r="E40" s="1">
        <v>93922.93857221915</v>
      </c>
      <c r="F40" s="1">
        <v>93922.93857221915</v>
      </c>
      <c r="G40" s="1">
        <v>93922.93857221915</v>
      </c>
      <c r="H40" s="1">
        <v>93922.93857221915</v>
      </c>
      <c r="I40" s="1">
        <v>0</v>
      </c>
      <c r="J40" s="1">
        <v>0</v>
      </c>
      <c r="K40" s="1">
        <v>0</v>
      </c>
      <c r="L40" s="1">
        <v>0</v>
      </c>
    </row>
    <row r="41" spans="1:12" s="1" customFormat="1">
      <c r="A41" s="3">
        <v>44991</v>
      </c>
      <c r="B41" s="2" t="s">
        <v>12</v>
      </c>
      <c r="C41" s="2">
        <v>9</v>
      </c>
      <c r="D41" s="2">
        <v>15</v>
      </c>
      <c r="E41" s="1">
        <v>-11453.75583630872</v>
      </c>
      <c r="F41" s="1">
        <v>3561.864872287832</v>
      </c>
      <c r="G41" s="1">
        <v>3561.864872287832</v>
      </c>
      <c r="H41" s="1">
        <v>3561.864872287832</v>
      </c>
      <c r="I41" s="1">
        <v>0</v>
      </c>
      <c r="J41" s="1">
        <v>0</v>
      </c>
      <c r="K41" s="1">
        <v>0</v>
      </c>
      <c r="L41" s="1">
        <v>0</v>
      </c>
    </row>
    <row r="42" spans="1:12" s="1" customFormat="1">
      <c r="A42" s="3">
        <v>44992</v>
      </c>
      <c r="B42" s="2" t="s">
        <v>13</v>
      </c>
      <c r="C42" s="2">
        <v>8</v>
      </c>
      <c r="D42" s="2">
        <v>14</v>
      </c>
      <c r="E42" s="1">
        <v>-28031.97447472939</v>
      </c>
      <c r="F42" s="1">
        <v>-26161.70530531892</v>
      </c>
      <c r="G42" s="1">
        <v>-26161.70530531892</v>
      </c>
      <c r="H42" s="1">
        <v>-26161.70530531892</v>
      </c>
      <c r="I42" s="1">
        <v>0</v>
      </c>
      <c r="J42" s="1">
        <v>0</v>
      </c>
      <c r="K42" s="1">
        <v>0</v>
      </c>
      <c r="L42" s="1">
        <v>0</v>
      </c>
    </row>
    <row r="43" spans="1:12" s="1" customFormat="1">
      <c r="A43" s="3">
        <v>44993</v>
      </c>
      <c r="B43" s="2" t="s">
        <v>14</v>
      </c>
      <c r="C43" s="2">
        <v>7</v>
      </c>
      <c r="D43" s="2">
        <v>13</v>
      </c>
      <c r="E43" s="1">
        <v>-140022.5694444444</v>
      </c>
      <c r="F43" s="1">
        <v>12751.73611111111</v>
      </c>
      <c r="G43" s="1">
        <v>12751.73611111111</v>
      </c>
      <c r="H43" s="1">
        <v>12751.73611111111</v>
      </c>
      <c r="I43" s="1">
        <v>0</v>
      </c>
      <c r="J43" s="1">
        <v>0</v>
      </c>
      <c r="K43" s="1">
        <v>0</v>
      </c>
      <c r="L43" s="1">
        <v>0</v>
      </c>
    </row>
    <row r="44" spans="1:12" s="1" customFormat="1">
      <c r="A44" s="3">
        <v>44994</v>
      </c>
      <c r="B44" s="2" t="s">
        <v>16</v>
      </c>
      <c r="C44" s="2">
        <v>6</v>
      </c>
      <c r="D44" s="2">
        <v>12</v>
      </c>
      <c r="E44" s="1">
        <v>83065.37102473498</v>
      </c>
      <c r="F44" s="1">
        <v>83065.37102473498</v>
      </c>
      <c r="G44" s="1">
        <v>83065.37102473498</v>
      </c>
      <c r="H44" s="1">
        <v>83065.37102473498</v>
      </c>
      <c r="I44" s="1">
        <v>0</v>
      </c>
      <c r="J44" s="1">
        <v>0</v>
      </c>
      <c r="K44" s="1">
        <v>0</v>
      </c>
      <c r="L44" s="1">
        <v>0</v>
      </c>
    </row>
    <row r="45" spans="1:12" s="1" customFormat="1">
      <c r="A45" s="3">
        <v>44995</v>
      </c>
      <c r="B45" s="2" t="s">
        <v>15</v>
      </c>
      <c r="C45" s="2">
        <v>5</v>
      </c>
      <c r="D45" s="2">
        <v>11</v>
      </c>
      <c r="E45" s="1">
        <v>59197.69026612153</v>
      </c>
      <c r="F45" s="1">
        <v>62863.13750806973</v>
      </c>
      <c r="G45" s="1">
        <v>62863.13750806973</v>
      </c>
      <c r="H45" s="1">
        <v>62863.13750806973</v>
      </c>
      <c r="I45" s="1">
        <v>0</v>
      </c>
      <c r="J45" s="1">
        <v>0</v>
      </c>
      <c r="K45" s="1">
        <v>0</v>
      </c>
      <c r="L45" s="1">
        <v>0</v>
      </c>
    </row>
    <row r="46" spans="1:12" s="1" customFormat="1">
      <c r="A46" s="3">
        <v>44998</v>
      </c>
      <c r="B46" s="2" t="s">
        <v>12</v>
      </c>
      <c r="C46" s="2">
        <v>4</v>
      </c>
      <c r="D46" s="2">
        <v>10</v>
      </c>
      <c r="E46" s="1">
        <v>-346170.4080192009</v>
      </c>
      <c r="F46" s="1">
        <v>-312012.0358605111</v>
      </c>
      <c r="G46" s="1">
        <v>-389056.543837357</v>
      </c>
      <c r="H46" s="1">
        <v>-389056.543837357</v>
      </c>
      <c r="I46" s="1">
        <v>0</v>
      </c>
      <c r="J46" s="1">
        <v>0</v>
      </c>
      <c r="K46" s="1">
        <v>0</v>
      </c>
      <c r="L46" s="1">
        <v>0</v>
      </c>
    </row>
    <row r="47" spans="1:12" s="1" customFormat="1">
      <c r="A47" s="3">
        <v>44999</v>
      </c>
      <c r="B47" s="2" t="s">
        <v>13</v>
      </c>
      <c r="C47" s="2">
        <v>3</v>
      </c>
      <c r="D47" s="2">
        <v>9</v>
      </c>
      <c r="E47" s="1">
        <v>268372.0548544751</v>
      </c>
      <c r="F47" s="1">
        <v>268372.0548544751</v>
      </c>
      <c r="G47" s="1">
        <v>268372.0548544751</v>
      </c>
      <c r="H47" s="1">
        <v>268372.0548544751</v>
      </c>
      <c r="I47" s="1">
        <v>0</v>
      </c>
      <c r="J47" s="1">
        <v>0</v>
      </c>
      <c r="K47" s="1">
        <v>0</v>
      </c>
      <c r="L47" s="1">
        <v>0</v>
      </c>
    </row>
    <row r="48" spans="1:12" s="1" customFormat="1">
      <c r="A48" s="3">
        <v>45000</v>
      </c>
      <c r="B48" s="2" t="s">
        <v>14</v>
      </c>
      <c r="C48" s="2">
        <v>2</v>
      </c>
      <c r="D48" s="2">
        <v>8</v>
      </c>
      <c r="E48" s="1">
        <v>250047.4683544304</v>
      </c>
      <c r="F48" s="1">
        <v>91270.47654504846</v>
      </c>
      <c r="G48" s="1">
        <v>-322925.3536857781</v>
      </c>
      <c r="H48" s="1">
        <v>-329623.9761727474</v>
      </c>
      <c r="I48" s="1">
        <v>0</v>
      </c>
      <c r="J48" s="1">
        <v>0</v>
      </c>
      <c r="K48" s="1">
        <v>0</v>
      </c>
      <c r="L48" s="1">
        <v>0</v>
      </c>
    </row>
    <row r="49" spans="1:12" s="1" customFormat="1">
      <c r="A49" s="3">
        <v>45001</v>
      </c>
      <c r="B49" s="2" t="s">
        <v>16</v>
      </c>
      <c r="C49" s="2">
        <v>1</v>
      </c>
      <c r="D49" s="2">
        <v>7</v>
      </c>
      <c r="E49" s="1">
        <v>-129863.0541871921</v>
      </c>
      <c r="F49" s="1">
        <v>-45628.57142857141</v>
      </c>
      <c r="G49" s="1">
        <v>265810.8374384237</v>
      </c>
      <c r="H49" s="1">
        <v>233491.6256157636</v>
      </c>
      <c r="I49" s="1">
        <v>0</v>
      </c>
      <c r="J49" s="1">
        <v>0</v>
      </c>
      <c r="K49" s="1">
        <v>0</v>
      </c>
      <c r="L49" s="1">
        <v>0</v>
      </c>
    </row>
    <row r="50" spans="1:12" s="1" customFormat="1">
      <c r="A50" s="3">
        <v>45002</v>
      </c>
      <c r="B50" s="2" t="s">
        <v>15</v>
      </c>
      <c r="C50" s="2">
        <v>21</v>
      </c>
      <c r="D50" s="2">
        <v>6</v>
      </c>
      <c r="E50" s="1">
        <v>0</v>
      </c>
      <c r="F50" s="1">
        <v>0</v>
      </c>
      <c r="G50" s="1">
        <v>0</v>
      </c>
      <c r="H50" s="1">
        <v>0</v>
      </c>
      <c r="I50" s="1">
        <v>93528.29812674371</v>
      </c>
      <c r="J50" s="1">
        <v>93528.29812674371</v>
      </c>
      <c r="K50" s="1">
        <v>93528.29812674371</v>
      </c>
      <c r="L50" s="1">
        <v>93528.29812674371</v>
      </c>
    </row>
    <row r="51" spans="1:12" s="1" customFormat="1">
      <c r="A51" s="3">
        <v>45005</v>
      </c>
      <c r="B51" s="2" t="s">
        <v>12</v>
      </c>
      <c r="C51" s="2">
        <v>20</v>
      </c>
      <c r="D51" s="2">
        <v>5</v>
      </c>
      <c r="E51" s="1">
        <v>0</v>
      </c>
      <c r="F51" s="1">
        <v>0</v>
      </c>
      <c r="G51" s="1">
        <v>0</v>
      </c>
      <c r="H51" s="1">
        <v>0</v>
      </c>
      <c r="I51" s="1">
        <v>-97594.31962696058</v>
      </c>
      <c r="J51" s="1">
        <v>-118810.936837643</v>
      </c>
      <c r="K51" s="1">
        <v>-118810.936837643</v>
      </c>
      <c r="L51" s="1">
        <v>-118810.936837643</v>
      </c>
    </row>
    <row r="52" spans="1:12" s="1" customFormat="1">
      <c r="A52" s="3">
        <v>45006</v>
      </c>
      <c r="B52" s="2" t="s">
        <v>13</v>
      </c>
      <c r="C52" s="2">
        <v>19</v>
      </c>
      <c r="D52" s="2">
        <v>4</v>
      </c>
      <c r="E52" s="1">
        <v>0</v>
      </c>
      <c r="F52" s="1">
        <v>0</v>
      </c>
      <c r="G52" s="1">
        <v>0</v>
      </c>
      <c r="H52" s="1">
        <v>0</v>
      </c>
      <c r="I52" s="1">
        <v>112197.5806451613</v>
      </c>
      <c r="J52" s="1">
        <v>112197.5806451613</v>
      </c>
      <c r="K52" s="1">
        <v>112197.5806451613</v>
      </c>
      <c r="L52" s="1">
        <v>112197.5806451613</v>
      </c>
    </row>
    <row r="53" spans="1:12" s="1" customFormat="1">
      <c r="A53" s="3">
        <v>45007</v>
      </c>
      <c r="B53" s="2" t="s">
        <v>14</v>
      </c>
      <c r="C53" s="2">
        <v>18</v>
      </c>
      <c r="D53" s="2">
        <v>3</v>
      </c>
      <c r="E53" s="1">
        <v>0</v>
      </c>
      <c r="F53" s="1">
        <v>0</v>
      </c>
      <c r="G53" s="1">
        <v>0</v>
      </c>
      <c r="H53" s="1">
        <v>0</v>
      </c>
      <c r="I53" s="1">
        <v>74342.3936869794</v>
      </c>
      <c r="J53" s="1">
        <v>74342.3936869794</v>
      </c>
      <c r="K53" s="1">
        <v>74342.3936869794</v>
      </c>
      <c r="L53" s="1">
        <v>74342.3936869794</v>
      </c>
    </row>
    <row r="54" spans="1:12" s="1" customFormat="1">
      <c r="A54" s="3">
        <v>45008</v>
      </c>
      <c r="B54" s="2" t="s">
        <v>16</v>
      </c>
      <c r="C54" s="2">
        <v>17</v>
      </c>
      <c r="D54" s="2">
        <v>2</v>
      </c>
      <c r="E54" s="1">
        <v>0</v>
      </c>
      <c r="F54" s="1">
        <v>0</v>
      </c>
      <c r="G54" s="1">
        <v>0</v>
      </c>
      <c r="H54" s="1">
        <v>0</v>
      </c>
      <c r="I54" s="1">
        <v>93082.19178082187</v>
      </c>
      <c r="J54" s="1">
        <v>93082.19178082187</v>
      </c>
      <c r="K54" s="1">
        <v>93082.19178082187</v>
      </c>
      <c r="L54" s="1">
        <v>93082.19178082187</v>
      </c>
    </row>
    <row r="55" spans="1:12" s="1" customFormat="1">
      <c r="A55" s="3">
        <v>45009</v>
      </c>
      <c r="B55" s="2" t="s">
        <v>15</v>
      </c>
      <c r="C55" s="2">
        <v>16</v>
      </c>
      <c r="D55" s="2">
        <v>1</v>
      </c>
      <c r="E55" s="1">
        <v>0</v>
      </c>
      <c r="F55" s="1">
        <v>0</v>
      </c>
      <c r="G55" s="1">
        <v>0</v>
      </c>
      <c r="H55" s="1">
        <v>0</v>
      </c>
      <c r="I55" s="1">
        <v>107078.313253012</v>
      </c>
      <c r="J55" s="1">
        <v>107078.313253012</v>
      </c>
      <c r="K55" s="1">
        <v>107078.313253012</v>
      </c>
      <c r="L55" s="1">
        <v>107078.313253012</v>
      </c>
    </row>
    <row r="56" spans="1:12" s="1" customFormat="1">
      <c r="A56" s="3">
        <v>45012</v>
      </c>
      <c r="B56" s="2" t="s">
        <v>12</v>
      </c>
      <c r="C56" s="2">
        <v>15</v>
      </c>
      <c r="D56" s="2">
        <v>19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 s="1" customFormat="1">
      <c r="A57" s="3">
        <v>45013</v>
      </c>
      <c r="B57" s="2" t="s">
        <v>13</v>
      </c>
      <c r="C57" s="2">
        <v>14</v>
      </c>
      <c r="D57" s="2">
        <v>18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 s="1" customFormat="1">
      <c r="A58" s="3">
        <v>45014</v>
      </c>
      <c r="B58" s="2" t="s">
        <v>14</v>
      </c>
      <c r="C58" s="2">
        <v>13</v>
      </c>
      <c r="D58" s="2">
        <v>17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 s="1" customFormat="1">
      <c r="A59" s="3">
        <v>45015</v>
      </c>
      <c r="B59" s="2" t="s">
        <v>16</v>
      </c>
      <c r="C59" s="2">
        <v>12</v>
      </c>
      <c r="D59" s="2">
        <v>16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 s="1" customFormat="1">
      <c r="A60" s="3">
        <v>45016</v>
      </c>
      <c r="B60" s="2" t="s">
        <v>15</v>
      </c>
      <c r="C60" s="2">
        <v>11</v>
      </c>
      <c r="D60" s="2">
        <v>15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 s="1" customFormat="1">
      <c r="A61" s="3">
        <v>45019</v>
      </c>
      <c r="B61" s="2" t="s">
        <v>12</v>
      </c>
      <c r="C61" s="2">
        <v>10</v>
      </c>
      <c r="D61" s="2">
        <v>14</v>
      </c>
      <c r="E61" s="1">
        <v>72687.29917131744</v>
      </c>
      <c r="F61" s="1">
        <v>72687.29917131744</v>
      </c>
      <c r="G61" s="1">
        <v>72687.29917131744</v>
      </c>
      <c r="H61" s="1">
        <v>72687.29917131744</v>
      </c>
      <c r="I61" s="1">
        <v>0</v>
      </c>
      <c r="J61" s="1">
        <v>0</v>
      </c>
      <c r="K61" s="1">
        <v>0</v>
      </c>
      <c r="L61" s="1">
        <v>0</v>
      </c>
    </row>
    <row r="62" spans="1:12" s="1" customFormat="1">
      <c r="A62" s="3">
        <v>45020</v>
      </c>
      <c r="B62" s="2" t="s">
        <v>13</v>
      </c>
      <c r="C62" s="2">
        <v>9</v>
      </c>
      <c r="D62" s="2">
        <v>13</v>
      </c>
      <c r="E62" s="1">
        <v>11414.3837899087</v>
      </c>
      <c r="F62" s="1">
        <v>47073.91854962341</v>
      </c>
      <c r="G62" s="1">
        <v>47073.91854962341</v>
      </c>
      <c r="H62" s="1">
        <v>47073.91854962341</v>
      </c>
      <c r="I62" s="1">
        <v>0</v>
      </c>
      <c r="J62" s="1">
        <v>0</v>
      </c>
      <c r="K62" s="1">
        <v>0</v>
      </c>
      <c r="L62" s="1">
        <v>0</v>
      </c>
    </row>
    <row r="63" spans="1:12" s="1" customFormat="1">
      <c r="A63" s="3">
        <v>45021</v>
      </c>
      <c r="B63" s="2" t="s">
        <v>14</v>
      </c>
      <c r="C63" s="2">
        <v>8</v>
      </c>
      <c r="D63" s="2">
        <v>12</v>
      </c>
      <c r="E63" s="1">
        <v>49924.92492492493</v>
      </c>
      <c r="F63" s="1">
        <v>49924.92492492493</v>
      </c>
      <c r="G63" s="1">
        <v>49924.92492492493</v>
      </c>
      <c r="H63" s="1">
        <v>49924.92492492493</v>
      </c>
      <c r="I63" s="1">
        <v>0</v>
      </c>
      <c r="J63" s="1">
        <v>0</v>
      </c>
      <c r="K63" s="1">
        <v>0</v>
      </c>
      <c r="L63" s="1">
        <v>0</v>
      </c>
    </row>
    <row r="64" spans="1:12" s="1" customFormat="1">
      <c r="A64" s="3">
        <v>45022</v>
      </c>
      <c r="B64" s="2" t="s">
        <v>16</v>
      </c>
      <c r="C64" s="2">
        <v>7</v>
      </c>
      <c r="D64" s="2">
        <v>11</v>
      </c>
      <c r="E64" s="1">
        <v>94236.57518911768</v>
      </c>
      <c r="F64" s="1">
        <v>94236.57518911768</v>
      </c>
      <c r="G64" s="1">
        <v>94236.57518911768</v>
      </c>
      <c r="H64" s="1">
        <v>94236.57518911768</v>
      </c>
      <c r="I64" s="1">
        <v>0</v>
      </c>
      <c r="J64" s="1">
        <v>0</v>
      </c>
      <c r="K64" s="1">
        <v>0</v>
      </c>
      <c r="L64" s="1">
        <v>0</v>
      </c>
    </row>
    <row r="65" spans="1:12" s="1" customFormat="1">
      <c r="A65" s="3">
        <v>45026</v>
      </c>
      <c r="B65" s="2" t="s">
        <v>12</v>
      </c>
      <c r="C65" s="2">
        <v>6</v>
      </c>
      <c r="D65" s="2">
        <v>10</v>
      </c>
      <c r="E65" s="1">
        <v>98768.24048798571</v>
      </c>
      <c r="F65" s="1">
        <v>98768.24048798571</v>
      </c>
      <c r="G65" s="1">
        <v>98768.24048798571</v>
      </c>
      <c r="H65" s="1">
        <v>98768.24048798571</v>
      </c>
      <c r="I65" s="1">
        <v>0</v>
      </c>
      <c r="J65" s="1">
        <v>0</v>
      </c>
      <c r="K65" s="1">
        <v>0</v>
      </c>
      <c r="L65" s="1">
        <v>0</v>
      </c>
    </row>
    <row r="66" spans="1:12" s="1" customFormat="1">
      <c r="A66" s="3">
        <v>45027</v>
      </c>
      <c r="B66" s="2" t="s">
        <v>13</v>
      </c>
      <c r="C66" s="2">
        <v>5</v>
      </c>
      <c r="D66" s="2">
        <v>9</v>
      </c>
      <c r="E66" s="1">
        <v>71933.64385041177</v>
      </c>
      <c r="F66" s="1">
        <v>17753.47644120425</v>
      </c>
      <c r="G66" s="1">
        <v>17753.47644120425</v>
      </c>
      <c r="H66" s="1">
        <v>17753.47644120425</v>
      </c>
      <c r="I66" s="1">
        <v>0</v>
      </c>
      <c r="J66" s="1">
        <v>0</v>
      </c>
      <c r="K66" s="1">
        <v>0</v>
      </c>
      <c r="L66" s="1">
        <v>0</v>
      </c>
    </row>
    <row r="67" spans="1:12" s="1" customFormat="1">
      <c r="A67" s="3">
        <v>45028</v>
      </c>
      <c r="B67" s="2" t="s">
        <v>14</v>
      </c>
      <c r="C67" s="2">
        <v>4</v>
      </c>
      <c r="D67" s="2">
        <v>8</v>
      </c>
      <c r="E67" s="1">
        <v>92801.70837903416</v>
      </c>
      <c r="F67" s="1">
        <v>16934.2240834912</v>
      </c>
      <c r="G67" s="1">
        <v>16934.2240834912</v>
      </c>
      <c r="H67" s="1">
        <v>16934.2240834912</v>
      </c>
      <c r="I67" s="1">
        <v>0</v>
      </c>
      <c r="J67" s="1">
        <v>0</v>
      </c>
      <c r="K67" s="1">
        <v>0</v>
      </c>
      <c r="L67" s="1">
        <v>0</v>
      </c>
    </row>
    <row r="68" spans="1:12" s="1" customFormat="1">
      <c r="A68" s="3">
        <v>45029</v>
      </c>
      <c r="B68" s="2" t="s">
        <v>16</v>
      </c>
      <c r="C68" s="2">
        <v>3</v>
      </c>
      <c r="D68" s="2">
        <v>7</v>
      </c>
      <c r="E68" s="1">
        <v>163426.0619714631</v>
      </c>
      <c r="F68" s="1">
        <v>163426.0619714631</v>
      </c>
      <c r="G68" s="1">
        <v>163426.0619714631</v>
      </c>
      <c r="H68" s="1">
        <v>163426.0619714631</v>
      </c>
      <c r="I68" s="1">
        <v>0</v>
      </c>
      <c r="J68" s="1">
        <v>0</v>
      </c>
      <c r="K68" s="1">
        <v>0</v>
      </c>
      <c r="L68" s="1">
        <v>0</v>
      </c>
    </row>
    <row r="69" spans="1:12" s="1" customFormat="1">
      <c r="A69" s="3">
        <v>45030</v>
      </c>
      <c r="B69" s="2" t="s">
        <v>15</v>
      </c>
      <c r="C69" s="2">
        <v>2</v>
      </c>
      <c r="D69" s="2">
        <v>6</v>
      </c>
      <c r="E69" s="1">
        <v>110755.7468421226</v>
      </c>
      <c r="F69" s="1">
        <v>184954.3220870024</v>
      </c>
      <c r="G69" s="1">
        <v>184954.3220870024</v>
      </c>
      <c r="H69" s="1">
        <v>184954.3220870024</v>
      </c>
      <c r="I69" s="1">
        <v>-21426.79282868527</v>
      </c>
      <c r="J69" s="1">
        <v>-18301.79282868527</v>
      </c>
      <c r="K69" s="1">
        <v>-18301.79282868527</v>
      </c>
      <c r="L69" s="1">
        <v>-18301.79282868527</v>
      </c>
    </row>
    <row r="70" spans="1:12" s="1" customFormat="1">
      <c r="A70" s="3">
        <v>45033</v>
      </c>
      <c r="B70" s="2" t="s">
        <v>12</v>
      </c>
      <c r="C70" s="2">
        <v>1</v>
      </c>
      <c r="D70" s="2">
        <v>5</v>
      </c>
      <c r="E70" s="1">
        <v>23629.19132149902</v>
      </c>
      <c r="F70" s="1">
        <v>-15571.99211045365</v>
      </c>
      <c r="G70" s="1">
        <v>-162919.1321499014</v>
      </c>
      <c r="H70" s="1">
        <v>-244197.8961209731</v>
      </c>
      <c r="I70" s="1">
        <v>9976.635514018712</v>
      </c>
      <c r="J70" s="1">
        <v>-120870.3271028038</v>
      </c>
      <c r="K70" s="1">
        <v>-127797.8971962617</v>
      </c>
      <c r="L70" s="1">
        <v>-127797.8971962617</v>
      </c>
    </row>
    <row r="71" spans="1:12" s="1" customFormat="1">
      <c r="A71" s="3">
        <v>45034</v>
      </c>
      <c r="B71" s="2" t="s">
        <v>13</v>
      </c>
      <c r="C71" s="2">
        <v>22</v>
      </c>
      <c r="D71" s="2">
        <v>4</v>
      </c>
      <c r="E71" s="1">
        <v>0</v>
      </c>
      <c r="F71" s="1">
        <v>0</v>
      </c>
      <c r="G71" s="1">
        <v>0</v>
      </c>
      <c r="H71" s="1">
        <v>0</v>
      </c>
      <c r="I71" s="1">
        <v>-36640.41703637977</v>
      </c>
      <c r="J71" s="1">
        <v>30944.98669032832</v>
      </c>
      <c r="K71" s="1">
        <v>30944.98669032832</v>
      </c>
      <c r="L71" s="1">
        <v>30944.98669032832</v>
      </c>
    </row>
    <row r="72" spans="1:12" s="1" customFormat="1">
      <c r="A72" s="3">
        <v>45035</v>
      </c>
      <c r="B72" s="2" t="s">
        <v>14</v>
      </c>
      <c r="C72" s="2">
        <v>21</v>
      </c>
      <c r="D72" s="2">
        <v>3</v>
      </c>
      <c r="E72" s="1">
        <v>0</v>
      </c>
      <c r="F72" s="1">
        <v>0</v>
      </c>
      <c r="G72" s="1">
        <v>0</v>
      </c>
      <c r="H72" s="1">
        <v>0</v>
      </c>
      <c r="I72" s="1">
        <v>-50359.75085910651</v>
      </c>
      <c r="J72" s="1">
        <v>-121252.147766323</v>
      </c>
      <c r="K72" s="1">
        <v>-118605.0257731958</v>
      </c>
      <c r="L72" s="1">
        <v>-118605.0257731958</v>
      </c>
    </row>
    <row r="73" spans="1:12" s="1" customFormat="1">
      <c r="A73" s="3">
        <v>45036</v>
      </c>
      <c r="B73" s="2" t="s">
        <v>16</v>
      </c>
      <c r="C73" s="2">
        <v>20</v>
      </c>
      <c r="D73" s="2">
        <v>2</v>
      </c>
      <c r="E73" s="1">
        <v>0</v>
      </c>
      <c r="F73" s="1">
        <v>0</v>
      </c>
      <c r="G73" s="1">
        <v>0</v>
      </c>
      <c r="H73" s="1">
        <v>0</v>
      </c>
      <c r="I73" s="1">
        <v>15446.59300184163</v>
      </c>
      <c r="J73" s="1">
        <v>60969.15285451197</v>
      </c>
      <c r="K73" s="1">
        <v>98394.33701657459</v>
      </c>
      <c r="L73" s="1">
        <v>98394.33701657459</v>
      </c>
    </row>
    <row r="74" spans="1:12" s="1" customFormat="1">
      <c r="A74" s="3">
        <v>45037</v>
      </c>
      <c r="B74" s="2" t="s">
        <v>15</v>
      </c>
      <c r="C74" s="2">
        <v>19</v>
      </c>
      <c r="D74" s="2">
        <v>1</v>
      </c>
      <c r="E74" s="1">
        <v>0</v>
      </c>
      <c r="F74" s="1">
        <v>0</v>
      </c>
      <c r="G74" s="1">
        <v>0</v>
      </c>
      <c r="H74" s="1">
        <v>0</v>
      </c>
      <c r="I74" s="1">
        <v>14795.68411386594</v>
      </c>
      <c r="J74" s="1">
        <v>-18428.60422405877</v>
      </c>
      <c r="K74" s="1">
        <v>-124701.5610651974</v>
      </c>
      <c r="L74" s="1">
        <v>-167171.7171717172</v>
      </c>
    </row>
    <row r="75" spans="1:12" s="1" customFormat="1">
      <c r="A75" s="3">
        <v>45040</v>
      </c>
      <c r="B75" s="2" t="s">
        <v>12</v>
      </c>
      <c r="C75" s="2">
        <v>18</v>
      </c>
      <c r="D75" s="2">
        <v>21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 s="1" customFormat="1">
      <c r="A76" s="3">
        <v>45041</v>
      </c>
      <c r="B76" s="2" t="s">
        <v>13</v>
      </c>
      <c r="C76" s="2">
        <v>17</v>
      </c>
      <c r="D76" s="2">
        <v>20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 s="1" customFormat="1">
      <c r="A77" s="3">
        <v>45042</v>
      </c>
      <c r="B77" s="2" t="s">
        <v>14</v>
      </c>
      <c r="C77" s="2">
        <v>16</v>
      </c>
      <c r="D77" s="2">
        <v>19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 s="1" customFormat="1">
      <c r="A78" s="3">
        <v>45043</v>
      </c>
      <c r="B78" s="2" t="s">
        <v>16</v>
      </c>
      <c r="C78" s="2">
        <v>15</v>
      </c>
      <c r="D78" s="2">
        <v>18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 s="1" customFormat="1">
      <c r="A79" s="3">
        <v>45044</v>
      </c>
      <c r="B79" s="2" t="s">
        <v>15</v>
      </c>
      <c r="C79" s="2">
        <v>14</v>
      </c>
      <c r="D79" s="2">
        <v>17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 s="1" customFormat="1">
      <c r="A80" s="3">
        <v>45047</v>
      </c>
      <c r="B80" s="2" t="s">
        <v>12</v>
      </c>
      <c r="C80" s="2">
        <v>13</v>
      </c>
      <c r="D80" s="2">
        <v>16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 s="1" customFormat="1">
      <c r="A81" s="3">
        <v>45048</v>
      </c>
      <c r="B81" s="2" t="s">
        <v>13</v>
      </c>
      <c r="C81" s="2">
        <v>12</v>
      </c>
      <c r="D81" s="2">
        <v>15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 s="1" customFormat="1">
      <c r="A82" s="3">
        <v>45049</v>
      </c>
      <c r="B82" s="2" t="s">
        <v>14</v>
      </c>
      <c r="C82" s="2">
        <v>11</v>
      </c>
      <c r="D82" s="2">
        <v>14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 s="1" customFormat="1">
      <c r="A83" s="3">
        <v>45050</v>
      </c>
      <c r="B83" s="2" t="s">
        <v>16</v>
      </c>
      <c r="C83" s="2">
        <v>10</v>
      </c>
      <c r="D83" s="2">
        <v>13</v>
      </c>
      <c r="E83" s="1">
        <v>102702.8625502721</v>
      </c>
      <c r="F83" s="1">
        <v>102702.8625502721</v>
      </c>
      <c r="G83" s="1">
        <v>102702.8625502721</v>
      </c>
      <c r="H83" s="1">
        <v>102702.8625502721</v>
      </c>
      <c r="I83" s="1">
        <v>0</v>
      </c>
      <c r="J83" s="1">
        <v>0</v>
      </c>
      <c r="K83" s="1">
        <v>0</v>
      </c>
      <c r="L83" s="1">
        <v>0</v>
      </c>
    </row>
    <row r="84" spans="1:12" s="1" customFormat="1">
      <c r="A84" s="3">
        <v>45051</v>
      </c>
      <c r="B84" s="2" t="s">
        <v>15</v>
      </c>
      <c r="C84" s="2">
        <v>9</v>
      </c>
      <c r="D84" s="2">
        <v>12</v>
      </c>
      <c r="E84" s="1">
        <v>124877.2632653863</v>
      </c>
      <c r="F84" s="1">
        <v>124877.2632653863</v>
      </c>
      <c r="G84" s="1">
        <v>124877.2632653863</v>
      </c>
      <c r="H84" s="1">
        <v>124877.2632653863</v>
      </c>
      <c r="I84" s="1">
        <v>0</v>
      </c>
      <c r="J84" s="1">
        <v>0</v>
      </c>
      <c r="K84" s="1">
        <v>0</v>
      </c>
      <c r="L84" s="1">
        <v>0</v>
      </c>
    </row>
    <row r="85" spans="1:12" s="1" customFormat="1">
      <c r="A85" s="3">
        <v>45054</v>
      </c>
      <c r="B85" s="2" t="s">
        <v>12</v>
      </c>
      <c r="C85" s="2">
        <v>8</v>
      </c>
      <c r="D85" s="2">
        <v>11</v>
      </c>
      <c r="E85" s="1">
        <v>50172.78043593832</v>
      </c>
      <c r="F85" s="1">
        <v>50172.78043593832</v>
      </c>
      <c r="G85" s="1">
        <v>50172.78043593832</v>
      </c>
      <c r="H85" s="1">
        <v>50172.78043593832</v>
      </c>
      <c r="I85" s="1">
        <v>0</v>
      </c>
      <c r="J85" s="1">
        <v>0</v>
      </c>
      <c r="K85" s="1">
        <v>0</v>
      </c>
      <c r="L85" s="1">
        <v>0</v>
      </c>
    </row>
    <row r="86" spans="1:12" s="1" customFormat="1">
      <c r="A86" s="3">
        <v>45055</v>
      </c>
      <c r="B86" s="2" t="s">
        <v>13</v>
      </c>
      <c r="C86" s="2">
        <v>7</v>
      </c>
      <c r="D86" s="2">
        <v>10</v>
      </c>
      <c r="E86" s="1">
        <v>15242.99621015084</v>
      </c>
      <c r="F86" s="1">
        <v>15242.99621015084</v>
      </c>
      <c r="G86" s="1">
        <v>15242.99621015084</v>
      </c>
      <c r="H86" s="1">
        <v>15242.99621015084</v>
      </c>
      <c r="I86" s="1">
        <v>0</v>
      </c>
      <c r="J86" s="1">
        <v>0</v>
      </c>
      <c r="K86" s="1">
        <v>0</v>
      </c>
      <c r="L86" s="1">
        <v>0</v>
      </c>
    </row>
    <row r="87" spans="1:12" s="1" customFormat="1">
      <c r="A87" s="3">
        <v>45056</v>
      </c>
      <c r="B87" s="2" t="s">
        <v>14</v>
      </c>
      <c r="C87" s="2">
        <v>6</v>
      </c>
      <c r="D87" s="2">
        <v>9</v>
      </c>
      <c r="E87" s="1">
        <v>37563.76136615658</v>
      </c>
      <c r="F87" s="1">
        <v>37563.76136615658</v>
      </c>
      <c r="G87" s="1">
        <v>37563.76136615658</v>
      </c>
      <c r="H87" s="1">
        <v>37563.76136615658</v>
      </c>
      <c r="I87" s="1">
        <v>0</v>
      </c>
      <c r="J87" s="1">
        <v>0</v>
      </c>
      <c r="K87" s="1">
        <v>0</v>
      </c>
      <c r="L87" s="1">
        <v>0</v>
      </c>
    </row>
    <row r="88" spans="1:12" s="1" customFormat="1">
      <c r="A88" s="3">
        <v>45057</v>
      </c>
      <c r="B88" s="2" t="s">
        <v>16</v>
      </c>
      <c r="C88" s="2">
        <v>5</v>
      </c>
      <c r="D88" s="2">
        <v>8</v>
      </c>
      <c r="E88" s="1">
        <v>21988.73322956045</v>
      </c>
      <c r="F88" s="1">
        <v>-115412.1266029204</v>
      </c>
      <c r="G88" s="1">
        <v>-112093.2473500852</v>
      </c>
      <c r="H88" s="1">
        <v>-112093.2473500852</v>
      </c>
      <c r="I88" s="1">
        <v>0</v>
      </c>
      <c r="J88" s="1">
        <v>0</v>
      </c>
      <c r="K88" s="1">
        <v>0</v>
      </c>
      <c r="L88" s="1">
        <v>0</v>
      </c>
    </row>
    <row r="89" spans="1:12" s="1" customFormat="1">
      <c r="A89" s="3">
        <v>45058</v>
      </c>
      <c r="B89" s="2" t="s">
        <v>15</v>
      </c>
      <c r="C89" s="2">
        <v>4</v>
      </c>
      <c r="D89" s="2">
        <v>7</v>
      </c>
      <c r="E89" s="1">
        <v>89603.58299980944</v>
      </c>
      <c r="F89" s="1">
        <v>89603.58299980944</v>
      </c>
      <c r="G89" s="1">
        <v>89603.58299980944</v>
      </c>
      <c r="H89" s="1">
        <v>89603.58299980944</v>
      </c>
      <c r="I89" s="1">
        <v>0</v>
      </c>
      <c r="J89" s="1">
        <v>0</v>
      </c>
      <c r="K89" s="1">
        <v>0</v>
      </c>
      <c r="L89" s="1">
        <v>0</v>
      </c>
    </row>
    <row r="90" spans="1:12" s="1" customFormat="1">
      <c r="A90" s="3">
        <v>45061</v>
      </c>
      <c r="B90" s="2" t="s">
        <v>12</v>
      </c>
      <c r="C90" s="2">
        <v>3</v>
      </c>
      <c r="D90" s="2">
        <v>6</v>
      </c>
      <c r="E90" s="1">
        <v>103291.1318779325</v>
      </c>
      <c r="F90" s="1">
        <v>177837.4500756136</v>
      </c>
      <c r="G90" s="1">
        <v>177837.4500756136</v>
      </c>
      <c r="H90" s="1">
        <v>177837.4500756136</v>
      </c>
      <c r="I90" s="1">
        <v>16858.9174800355</v>
      </c>
      <c r="J90" s="1">
        <v>16858.9174800355</v>
      </c>
      <c r="K90" s="1">
        <v>16858.9174800355</v>
      </c>
      <c r="L90" s="1">
        <v>16858.9174800355</v>
      </c>
    </row>
    <row r="91" spans="1:12" s="1" customFormat="1">
      <c r="A91" s="3">
        <v>45062</v>
      </c>
      <c r="B91" s="2" t="s">
        <v>13</v>
      </c>
      <c r="C91" s="2">
        <v>2</v>
      </c>
      <c r="D91" s="2">
        <v>5</v>
      </c>
      <c r="E91" s="1">
        <v>205579.2936549951</v>
      </c>
      <c r="F91" s="1">
        <v>205579.2936549951</v>
      </c>
      <c r="G91" s="1">
        <v>205579.2936549951</v>
      </c>
      <c r="H91" s="1">
        <v>205579.2936549951</v>
      </c>
      <c r="I91" s="1">
        <v>-41636.26609442059</v>
      </c>
      <c r="J91" s="1">
        <v>104372.3175965665</v>
      </c>
      <c r="K91" s="1">
        <v>104372.3175965665</v>
      </c>
      <c r="L91" s="1">
        <v>104372.3175965665</v>
      </c>
    </row>
    <row r="92" spans="1:12" s="1" customFormat="1">
      <c r="A92" s="3">
        <v>45063</v>
      </c>
      <c r="B92" s="2" t="s">
        <v>14</v>
      </c>
      <c r="C92" s="2">
        <v>1</v>
      </c>
      <c r="D92" s="2">
        <v>4</v>
      </c>
      <c r="E92" s="1">
        <v>-70198.16492804387</v>
      </c>
      <c r="F92" s="1">
        <v>-109595.1039366482</v>
      </c>
      <c r="G92" s="1">
        <v>-183649.9657351709</v>
      </c>
      <c r="H92" s="1">
        <v>-293678.1390390619</v>
      </c>
      <c r="I92" s="1">
        <v>92206.95577501073</v>
      </c>
      <c r="J92" s="1">
        <v>92206.95577501073</v>
      </c>
      <c r="K92" s="1">
        <v>92206.95577501073</v>
      </c>
      <c r="L92" s="1">
        <v>92206.95577501073</v>
      </c>
    </row>
    <row r="93" spans="1:12" s="1" customFormat="1">
      <c r="A93" s="3">
        <v>45064</v>
      </c>
      <c r="B93" s="2" t="s">
        <v>16</v>
      </c>
      <c r="C93" s="2">
        <v>19</v>
      </c>
      <c r="D93" s="2">
        <v>3</v>
      </c>
      <c r="E93" s="1">
        <v>0</v>
      </c>
      <c r="F93" s="1">
        <v>0</v>
      </c>
      <c r="G93" s="1">
        <v>0</v>
      </c>
      <c r="H93" s="1">
        <v>0</v>
      </c>
      <c r="I93" s="1">
        <v>-62972.59983007647</v>
      </c>
      <c r="J93" s="1">
        <v>-118218.9889549703</v>
      </c>
      <c r="K93" s="1">
        <v>-115569.2438402719</v>
      </c>
      <c r="L93" s="1">
        <v>-115569.2438402719</v>
      </c>
    </row>
    <row r="94" spans="1:12" s="1" customFormat="1">
      <c r="A94" s="3">
        <v>45065</v>
      </c>
      <c r="B94" s="2" t="s">
        <v>15</v>
      </c>
      <c r="C94" s="2">
        <v>18</v>
      </c>
      <c r="D94" s="2">
        <v>2</v>
      </c>
      <c r="E94" s="1">
        <v>0</v>
      </c>
      <c r="F94" s="1">
        <v>0</v>
      </c>
      <c r="G94" s="1">
        <v>0</v>
      </c>
      <c r="H94" s="1">
        <v>0</v>
      </c>
      <c r="I94" s="1">
        <v>-67058.25242718446</v>
      </c>
      <c r="J94" s="1">
        <v>74572.81553398058</v>
      </c>
      <c r="K94" s="1">
        <v>103689.3203883495</v>
      </c>
      <c r="L94" s="1">
        <v>103689.3203883495</v>
      </c>
    </row>
    <row r="95" spans="1:12" s="1" customFormat="1">
      <c r="A95" s="3">
        <v>45069</v>
      </c>
      <c r="B95" s="2" t="s">
        <v>13</v>
      </c>
      <c r="C95" s="2">
        <v>17</v>
      </c>
      <c r="D95" s="2">
        <v>1</v>
      </c>
      <c r="E95" s="1">
        <v>0</v>
      </c>
      <c r="F95" s="1">
        <v>0</v>
      </c>
      <c r="G95" s="1">
        <v>0</v>
      </c>
      <c r="H95" s="1">
        <v>0</v>
      </c>
      <c r="I95" s="1">
        <v>88941.90436241611</v>
      </c>
      <c r="J95" s="1">
        <v>93188.96812080538</v>
      </c>
      <c r="K95" s="1">
        <v>87374.16107382548</v>
      </c>
      <c r="L95" s="1">
        <v>87374.16107382548</v>
      </c>
    </row>
    <row r="96" spans="1:12" s="1" customFormat="1">
      <c r="A96" s="3">
        <v>45070</v>
      </c>
      <c r="B96" s="2" t="s">
        <v>14</v>
      </c>
      <c r="C96" s="2">
        <v>16</v>
      </c>
      <c r="D96" s="2">
        <v>23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 s="1" customFormat="1">
      <c r="A97" s="3">
        <v>45071</v>
      </c>
      <c r="B97" s="2" t="s">
        <v>16</v>
      </c>
      <c r="C97" s="2">
        <v>15</v>
      </c>
      <c r="D97" s="2">
        <v>22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 s="1" customFormat="1">
      <c r="A98" s="3">
        <v>45072</v>
      </c>
      <c r="B98" s="2" t="s">
        <v>15</v>
      </c>
      <c r="C98" s="2">
        <v>14</v>
      </c>
      <c r="D98" s="2">
        <v>21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 s="1" customFormat="1">
      <c r="A99" s="3">
        <v>45075</v>
      </c>
      <c r="B99" s="2" t="s">
        <v>12</v>
      </c>
      <c r="C99" s="2">
        <v>13</v>
      </c>
      <c r="D99" s="2">
        <v>20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 s="1" customFormat="1">
      <c r="A100" s="3">
        <v>45076</v>
      </c>
      <c r="B100" s="2" t="s">
        <v>13</v>
      </c>
      <c r="C100" s="2">
        <v>12</v>
      </c>
      <c r="D100" s="2">
        <v>19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 s="1" customFormat="1">
      <c r="A101" s="3">
        <v>45077</v>
      </c>
      <c r="B101" s="2" t="s">
        <v>14</v>
      </c>
      <c r="C101" s="2">
        <v>11</v>
      </c>
      <c r="D101" s="2">
        <v>18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 s="1" customFormat="1">
      <c r="A102" s="3">
        <v>45078</v>
      </c>
      <c r="B102" s="2" t="s">
        <v>16</v>
      </c>
      <c r="C102" s="2">
        <v>10</v>
      </c>
      <c r="D102" s="2">
        <v>17</v>
      </c>
      <c r="E102" s="1">
        <v>64016.04068857589</v>
      </c>
      <c r="F102" s="1">
        <v>-202210.4851330204</v>
      </c>
      <c r="G102" s="1">
        <v>-202210.4851330204</v>
      </c>
      <c r="H102" s="1">
        <v>-202210.4851330204</v>
      </c>
      <c r="I102" s="1">
        <v>0</v>
      </c>
      <c r="J102" s="1">
        <v>0</v>
      </c>
      <c r="K102" s="1">
        <v>0</v>
      </c>
      <c r="L102" s="1">
        <v>0</v>
      </c>
    </row>
    <row r="103" spans="1:12" s="1" customFormat="1">
      <c r="A103" s="3">
        <v>45079</v>
      </c>
      <c r="B103" s="2" t="s">
        <v>15</v>
      </c>
      <c r="C103" s="2">
        <v>9</v>
      </c>
      <c r="D103" s="2">
        <v>16</v>
      </c>
      <c r="E103" s="1">
        <v>22755.05137313319</v>
      </c>
      <c r="F103" s="1">
        <v>22755.05137313319</v>
      </c>
      <c r="G103" s="1">
        <v>22755.05137313319</v>
      </c>
      <c r="H103" s="1">
        <v>22755.05137313319</v>
      </c>
      <c r="I103" s="1">
        <v>0</v>
      </c>
      <c r="J103" s="1">
        <v>0</v>
      </c>
      <c r="K103" s="1">
        <v>0</v>
      </c>
      <c r="L103" s="1">
        <v>0</v>
      </c>
    </row>
    <row r="104" spans="1:12" s="1" customFormat="1">
      <c r="A104" s="3">
        <v>45082</v>
      </c>
      <c r="B104" s="2" t="s">
        <v>12</v>
      </c>
      <c r="C104" s="2">
        <v>8</v>
      </c>
      <c r="D104" s="2">
        <v>15</v>
      </c>
      <c r="E104" s="1">
        <v>37204.03770503971</v>
      </c>
      <c r="F104" s="1">
        <v>37204.03770503971</v>
      </c>
      <c r="G104" s="1">
        <v>37204.03770503971</v>
      </c>
      <c r="H104" s="1">
        <v>37204.03770503971</v>
      </c>
      <c r="I104" s="1">
        <v>0</v>
      </c>
      <c r="J104" s="1">
        <v>0</v>
      </c>
      <c r="K104" s="1">
        <v>0</v>
      </c>
      <c r="L104" s="1">
        <v>0</v>
      </c>
    </row>
    <row r="105" spans="1:12" s="1" customFormat="1">
      <c r="A105" s="3">
        <v>45083</v>
      </c>
      <c r="B105" s="2" t="s">
        <v>13</v>
      </c>
      <c r="C105" s="2">
        <v>7</v>
      </c>
      <c r="D105" s="2">
        <v>14</v>
      </c>
      <c r="E105" s="1">
        <v>65771.5427120669</v>
      </c>
      <c r="F105" s="1">
        <v>111521.8040621266</v>
      </c>
      <c r="G105" s="1">
        <v>111521.8040621266</v>
      </c>
      <c r="H105" s="1">
        <v>111521.8040621266</v>
      </c>
      <c r="I105" s="1">
        <v>0</v>
      </c>
      <c r="J105" s="1">
        <v>0</v>
      </c>
      <c r="K105" s="1">
        <v>0</v>
      </c>
      <c r="L105" s="1">
        <v>0</v>
      </c>
    </row>
    <row r="106" spans="1:12" s="1" customFormat="1">
      <c r="A106" s="3">
        <v>45084</v>
      </c>
      <c r="B106" s="2" t="s">
        <v>14</v>
      </c>
      <c r="C106" s="2">
        <v>6</v>
      </c>
      <c r="D106" s="2">
        <v>13</v>
      </c>
      <c r="E106" s="1">
        <v>78373.35136963137</v>
      </c>
      <c r="F106" s="1">
        <v>78373.35136963137</v>
      </c>
      <c r="G106" s="1">
        <v>78373.35136963137</v>
      </c>
      <c r="H106" s="1">
        <v>78373.35136963137</v>
      </c>
      <c r="I106" s="1">
        <v>0</v>
      </c>
      <c r="J106" s="1">
        <v>0</v>
      </c>
      <c r="K106" s="1">
        <v>0</v>
      </c>
      <c r="L106" s="1">
        <v>0</v>
      </c>
    </row>
    <row r="107" spans="1:12" s="1" customFormat="1">
      <c r="A107" s="3">
        <v>45085</v>
      </c>
      <c r="B107" s="2" t="s">
        <v>16</v>
      </c>
      <c r="C107" s="2">
        <v>5</v>
      </c>
      <c r="D107" s="2">
        <v>12</v>
      </c>
      <c r="E107" s="1">
        <v>9806.178523689312</v>
      </c>
      <c r="F107" s="1">
        <v>-270158.176147334</v>
      </c>
      <c r="G107" s="1">
        <v>-370864.5848804396</v>
      </c>
      <c r="H107" s="1">
        <v>-370864.5848804396</v>
      </c>
      <c r="I107" s="1">
        <v>0</v>
      </c>
      <c r="J107" s="1">
        <v>0</v>
      </c>
      <c r="K107" s="1">
        <v>0</v>
      </c>
      <c r="L107" s="1">
        <v>0</v>
      </c>
    </row>
    <row r="108" spans="1:12" s="1" customFormat="1">
      <c r="A108" s="3">
        <v>45086</v>
      </c>
      <c r="B108" s="2" t="s">
        <v>15</v>
      </c>
      <c r="C108" s="2">
        <v>4</v>
      </c>
      <c r="D108" s="2">
        <v>11</v>
      </c>
      <c r="E108" s="1">
        <v>56313.99317406143</v>
      </c>
      <c r="F108" s="1">
        <v>58304.89192263937</v>
      </c>
      <c r="G108" s="1">
        <v>58304.89192263937</v>
      </c>
      <c r="H108" s="1">
        <v>58304.89192263937</v>
      </c>
      <c r="I108" s="1">
        <v>0</v>
      </c>
      <c r="J108" s="1">
        <v>0</v>
      </c>
      <c r="K108" s="1">
        <v>0</v>
      </c>
      <c r="L108" s="1">
        <v>0</v>
      </c>
    </row>
    <row r="109" spans="1:12" s="1" customFormat="1">
      <c r="A109" s="3">
        <v>45089</v>
      </c>
      <c r="B109" s="2" t="s">
        <v>12</v>
      </c>
      <c r="C109" s="2">
        <v>3</v>
      </c>
      <c r="D109" s="2">
        <v>10</v>
      </c>
      <c r="E109" s="1">
        <v>52228.80601061151</v>
      </c>
      <c r="F109" s="1">
        <v>-312687.3475078425</v>
      </c>
      <c r="G109" s="1">
        <v>-313939.2355059836</v>
      </c>
      <c r="H109" s="1">
        <v>-313939.2355059836</v>
      </c>
      <c r="I109" s="1">
        <v>0</v>
      </c>
      <c r="J109" s="1">
        <v>0</v>
      </c>
      <c r="K109" s="1">
        <v>0</v>
      </c>
      <c r="L109" s="1">
        <v>0</v>
      </c>
    </row>
    <row r="110" spans="1:12" s="1" customFormat="1">
      <c r="A110" s="3">
        <v>45090</v>
      </c>
      <c r="B110" s="2" t="s">
        <v>13</v>
      </c>
      <c r="C110" s="2">
        <v>2</v>
      </c>
      <c r="D110" s="2">
        <v>9</v>
      </c>
      <c r="E110" s="1">
        <v>180292.3929953329</v>
      </c>
      <c r="F110" s="1">
        <v>162435.6775300172</v>
      </c>
      <c r="G110" s="1">
        <v>185168.9337428697</v>
      </c>
      <c r="H110" s="1">
        <v>185168.9337428697</v>
      </c>
      <c r="I110" s="1">
        <v>0</v>
      </c>
      <c r="J110" s="1">
        <v>0</v>
      </c>
      <c r="K110" s="1">
        <v>0</v>
      </c>
      <c r="L110" s="1">
        <v>0</v>
      </c>
    </row>
    <row r="111" spans="1:12" s="1" customFormat="1">
      <c r="A111" s="3">
        <v>45091</v>
      </c>
      <c r="B111" s="2" t="s">
        <v>14</v>
      </c>
      <c r="C111" s="2">
        <v>1</v>
      </c>
      <c r="D111" s="2">
        <v>8</v>
      </c>
      <c r="E111" s="1">
        <v>-97093.45249659997</v>
      </c>
      <c r="F111" s="1">
        <v>-78754.61433844961</v>
      </c>
      <c r="G111" s="1">
        <v>-241276.4717311055</v>
      </c>
      <c r="H111" s="1">
        <v>-340746.065669322</v>
      </c>
      <c r="I111" s="1">
        <v>0</v>
      </c>
      <c r="J111" s="1">
        <v>0</v>
      </c>
      <c r="K111" s="1">
        <v>0</v>
      </c>
      <c r="L111" s="1">
        <v>0</v>
      </c>
    </row>
    <row r="112" spans="1:12" s="1" customFormat="1">
      <c r="A112" s="3">
        <v>45092</v>
      </c>
      <c r="B112" s="2" t="s">
        <v>16</v>
      </c>
      <c r="C112" s="2">
        <v>21</v>
      </c>
      <c r="D112" s="2">
        <v>7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 s="1" customFormat="1">
      <c r="A113" s="3">
        <v>45093</v>
      </c>
      <c r="B113" s="2" t="s">
        <v>15</v>
      </c>
      <c r="C113" s="2">
        <v>20</v>
      </c>
      <c r="D113" s="2">
        <v>6</v>
      </c>
      <c r="E113" s="1">
        <v>0</v>
      </c>
      <c r="F113" s="1">
        <v>0</v>
      </c>
      <c r="G113" s="1">
        <v>0</v>
      </c>
      <c r="H113" s="1">
        <v>0</v>
      </c>
      <c r="I113" s="1">
        <v>76907.71074710345</v>
      </c>
      <c r="J113" s="1">
        <v>76907.71074710345</v>
      </c>
      <c r="K113" s="1">
        <v>76907.71074710345</v>
      </c>
      <c r="L113" s="1">
        <v>76907.71074710345</v>
      </c>
    </row>
    <row r="114" spans="1:12" s="1" customFormat="1">
      <c r="A114" s="3">
        <v>45096</v>
      </c>
      <c r="B114" s="2" t="s">
        <v>12</v>
      </c>
      <c r="C114" s="2">
        <v>19</v>
      </c>
      <c r="D114" s="2">
        <v>5</v>
      </c>
      <c r="E114" s="1">
        <v>0</v>
      </c>
      <c r="F114" s="1">
        <v>0</v>
      </c>
      <c r="G114" s="1">
        <v>0</v>
      </c>
      <c r="H114" s="1">
        <v>0</v>
      </c>
      <c r="I114" s="1">
        <v>55697.94952681388</v>
      </c>
      <c r="J114" s="1">
        <v>55697.94952681388</v>
      </c>
      <c r="K114" s="1">
        <v>55697.94952681388</v>
      </c>
      <c r="L114" s="1">
        <v>55697.94952681388</v>
      </c>
    </row>
    <row r="115" spans="1:12" s="1" customFormat="1">
      <c r="A115" s="3">
        <v>45097</v>
      </c>
      <c r="B115" s="2" t="s">
        <v>13</v>
      </c>
      <c r="C115" s="2">
        <v>18</v>
      </c>
      <c r="D115" s="2">
        <v>4</v>
      </c>
      <c r="E115" s="1">
        <v>0</v>
      </c>
      <c r="F115" s="1">
        <v>0</v>
      </c>
      <c r="G115" s="1">
        <v>0</v>
      </c>
      <c r="H115" s="1">
        <v>0</v>
      </c>
      <c r="I115" s="1">
        <v>41281.19001919385</v>
      </c>
      <c r="J115" s="1">
        <v>-41252.39923224566</v>
      </c>
      <c r="K115" s="1">
        <v>-32149.71209213052</v>
      </c>
      <c r="L115" s="1">
        <v>-32149.71209213052</v>
      </c>
    </row>
    <row r="116" spans="1:12" s="1" customFormat="1">
      <c r="A116" s="3">
        <v>45098</v>
      </c>
      <c r="B116" s="2" t="s">
        <v>14</v>
      </c>
      <c r="C116" s="2">
        <v>17</v>
      </c>
      <c r="D116" s="2">
        <v>3</v>
      </c>
      <c r="E116" s="1">
        <v>0</v>
      </c>
      <c r="F116" s="1">
        <v>0</v>
      </c>
      <c r="G116" s="1">
        <v>0</v>
      </c>
      <c r="H116" s="1">
        <v>0</v>
      </c>
      <c r="I116" s="1">
        <v>95231.33116883114</v>
      </c>
      <c r="J116" s="1">
        <v>95231.33116883114</v>
      </c>
      <c r="K116" s="1">
        <v>95231.33116883114</v>
      </c>
      <c r="L116" s="1">
        <v>95231.33116883114</v>
      </c>
    </row>
    <row r="117" spans="1:12" s="1" customFormat="1">
      <c r="A117" s="3">
        <v>45099</v>
      </c>
      <c r="B117" s="2" t="s">
        <v>16</v>
      </c>
      <c r="C117" s="2">
        <v>16</v>
      </c>
      <c r="D117" s="2">
        <v>2</v>
      </c>
      <c r="E117" s="1">
        <v>0</v>
      </c>
      <c r="F117" s="1">
        <v>0</v>
      </c>
      <c r="G117" s="1">
        <v>0</v>
      </c>
      <c r="H117" s="1">
        <v>0</v>
      </c>
      <c r="I117" s="1">
        <v>98728.89674126424</v>
      </c>
      <c r="J117" s="1">
        <v>91872.79151943466</v>
      </c>
      <c r="K117" s="1">
        <v>91872.79151943466</v>
      </c>
      <c r="L117" s="1">
        <v>91872.79151943466</v>
      </c>
    </row>
    <row r="118" spans="1:12" s="1" customFormat="1">
      <c r="A118" s="3">
        <v>45100</v>
      </c>
      <c r="B118" s="2" t="s">
        <v>15</v>
      </c>
      <c r="C118" s="2">
        <v>15</v>
      </c>
      <c r="D118" s="2">
        <v>1</v>
      </c>
      <c r="E118" s="1">
        <v>0</v>
      </c>
      <c r="F118" s="1">
        <v>0</v>
      </c>
      <c r="G118" s="1">
        <v>0</v>
      </c>
      <c r="H118" s="1">
        <v>0</v>
      </c>
      <c r="I118" s="1">
        <v>-50780.03120124805</v>
      </c>
      <c r="J118" s="1">
        <v>-67843.21372854915</v>
      </c>
      <c r="K118" s="1">
        <v>3900.156006240253</v>
      </c>
      <c r="L118" s="1">
        <v>-127769.1107644306</v>
      </c>
    </row>
    <row r="119" spans="1:12" s="1" customFormat="1">
      <c r="A119" s="3">
        <v>45103</v>
      </c>
      <c r="B119" s="2" t="s">
        <v>12</v>
      </c>
      <c r="C119" s="2">
        <v>14</v>
      </c>
      <c r="D119" s="2">
        <v>19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 s="1" customFormat="1">
      <c r="A120" s="3">
        <v>45104</v>
      </c>
      <c r="B120" s="2" t="s">
        <v>13</v>
      </c>
      <c r="C120" s="2">
        <v>13</v>
      </c>
      <c r="D120" s="2">
        <v>18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 s="1" customFormat="1">
      <c r="A121" s="3">
        <v>45105</v>
      </c>
      <c r="B121" s="2" t="s">
        <v>14</v>
      </c>
      <c r="C121" s="2">
        <v>12</v>
      </c>
      <c r="D121" s="2">
        <v>17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 s="1" customFormat="1">
      <c r="A122" s="3">
        <v>45106</v>
      </c>
      <c r="B122" s="2" t="s">
        <v>16</v>
      </c>
      <c r="C122" s="2">
        <v>11</v>
      </c>
      <c r="D122" s="2">
        <v>16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 s="1" customFormat="1">
      <c r="A123" s="3">
        <v>45107</v>
      </c>
      <c r="B123" s="2" t="s">
        <v>15</v>
      </c>
      <c r="C123" s="2">
        <v>10</v>
      </c>
      <c r="D123" s="2">
        <v>15</v>
      </c>
      <c r="E123" s="1">
        <v>63162.76558824663</v>
      </c>
      <c r="F123" s="1">
        <v>63162.76558824663</v>
      </c>
      <c r="G123" s="1">
        <v>63162.76558824663</v>
      </c>
      <c r="H123" s="1">
        <v>63162.76558824663</v>
      </c>
      <c r="I123" s="1">
        <v>0</v>
      </c>
      <c r="J123" s="1">
        <v>0</v>
      </c>
      <c r="K123" s="1">
        <v>0</v>
      </c>
      <c r="L123" s="1">
        <v>0</v>
      </c>
    </row>
    <row r="124" spans="1:12" s="1" customFormat="1">
      <c r="A124" s="3">
        <v>45110</v>
      </c>
      <c r="B124" s="2" t="s">
        <v>12</v>
      </c>
      <c r="C124" s="2">
        <v>9</v>
      </c>
      <c r="D124" s="2">
        <v>14</v>
      </c>
      <c r="E124" s="1">
        <v>16463.74148097097</v>
      </c>
      <c r="F124" s="1">
        <v>16463.74148097097</v>
      </c>
      <c r="G124" s="1">
        <v>16463.74148097097</v>
      </c>
      <c r="H124" s="1">
        <v>16463.74148097097</v>
      </c>
      <c r="I124" s="1">
        <v>0</v>
      </c>
      <c r="J124" s="1">
        <v>0</v>
      </c>
      <c r="K124" s="1">
        <v>0</v>
      </c>
      <c r="L124" s="1">
        <v>0</v>
      </c>
    </row>
    <row r="125" spans="1:12" s="1" customFormat="1">
      <c r="A125" s="3">
        <v>45112</v>
      </c>
      <c r="B125" s="2" t="s">
        <v>14</v>
      </c>
      <c r="C125" s="2">
        <v>8</v>
      </c>
      <c r="D125" s="2">
        <v>13</v>
      </c>
      <c r="E125" s="1">
        <v>59649.65843605695</v>
      </c>
      <c r="F125" s="1">
        <v>59649.65843605695</v>
      </c>
      <c r="G125" s="1">
        <v>59649.65843605695</v>
      </c>
      <c r="H125" s="1">
        <v>59649.65843605695</v>
      </c>
      <c r="I125" s="1">
        <v>0</v>
      </c>
      <c r="J125" s="1">
        <v>0</v>
      </c>
      <c r="K125" s="1">
        <v>0</v>
      </c>
      <c r="L125" s="1">
        <v>0</v>
      </c>
    </row>
    <row r="126" spans="1:12" s="1" customFormat="1">
      <c r="A126" s="3">
        <v>45113</v>
      </c>
      <c r="B126" s="2" t="s">
        <v>16</v>
      </c>
      <c r="C126" s="2">
        <v>7</v>
      </c>
      <c r="D126" s="2">
        <v>12</v>
      </c>
      <c r="E126" s="1">
        <v>156855.2019216334</v>
      </c>
      <c r="F126" s="1">
        <v>156855.2019216334</v>
      </c>
      <c r="G126" s="1">
        <v>156855.2019216334</v>
      </c>
      <c r="H126" s="1">
        <v>156855.2019216334</v>
      </c>
      <c r="I126" s="1">
        <v>0</v>
      </c>
      <c r="J126" s="1">
        <v>0</v>
      </c>
      <c r="K126" s="1">
        <v>0</v>
      </c>
      <c r="L126" s="1">
        <v>0</v>
      </c>
    </row>
    <row r="127" spans="1:12" s="1" customFormat="1">
      <c r="A127" s="3">
        <v>45114</v>
      </c>
      <c r="B127" s="2" t="s">
        <v>15</v>
      </c>
      <c r="C127" s="2">
        <v>6</v>
      </c>
      <c r="D127" s="2">
        <v>11</v>
      </c>
      <c r="E127" s="1">
        <v>48799.83574734956</v>
      </c>
      <c r="F127" s="1">
        <v>48799.83574734956</v>
      </c>
      <c r="G127" s="1">
        <v>48799.83574734956</v>
      </c>
      <c r="H127" s="1">
        <v>48799.83574734956</v>
      </c>
      <c r="I127" s="1">
        <v>0</v>
      </c>
      <c r="J127" s="1">
        <v>0</v>
      </c>
      <c r="K127" s="1">
        <v>0</v>
      </c>
      <c r="L127" s="1">
        <v>0</v>
      </c>
    </row>
    <row r="128" spans="1:12" s="1" customFormat="1">
      <c r="A128" s="3">
        <v>45117</v>
      </c>
      <c r="B128" s="2" t="s">
        <v>12</v>
      </c>
      <c r="C128" s="2">
        <v>5</v>
      </c>
      <c r="D128" s="2">
        <v>10</v>
      </c>
      <c r="E128" s="1">
        <v>81243.12431243125</v>
      </c>
      <c r="F128" s="1">
        <v>81243.12431243125</v>
      </c>
      <c r="G128" s="1">
        <v>81243.12431243125</v>
      </c>
      <c r="H128" s="1">
        <v>81243.12431243125</v>
      </c>
      <c r="I128" s="1">
        <v>0</v>
      </c>
      <c r="J128" s="1">
        <v>0</v>
      </c>
      <c r="K128" s="1">
        <v>0</v>
      </c>
      <c r="L128" s="1">
        <v>0</v>
      </c>
    </row>
    <row r="129" spans="1:12" s="1" customFormat="1">
      <c r="A129" s="3">
        <v>45118</v>
      </c>
      <c r="B129" s="2" t="s">
        <v>13</v>
      </c>
      <c r="C129" s="2">
        <v>4</v>
      </c>
      <c r="D129" s="2">
        <v>9</v>
      </c>
      <c r="E129" s="1">
        <v>18579.08453547699</v>
      </c>
      <c r="F129" s="1">
        <v>24547.59020665858</v>
      </c>
      <c r="G129" s="1">
        <v>24547.59020665858</v>
      </c>
      <c r="H129" s="1">
        <v>24547.59020665858</v>
      </c>
      <c r="I129" s="1">
        <v>0</v>
      </c>
      <c r="J129" s="1">
        <v>0</v>
      </c>
      <c r="K129" s="1">
        <v>0</v>
      </c>
      <c r="L129" s="1">
        <v>0</v>
      </c>
    </row>
    <row r="130" spans="1:12" s="1" customFormat="1">
      <c r="A130" s="3">
        <v>45119</v>
      </c>
      <c r="B130" s="2" t="s">
        <v>14</v>
      </c>
      <c r="C130" s="2">
        <v>3</v>
      </c>
      <c r="D130" s="2">
        <v>8</v>
      </c>
      <c r="E130" s="1">
        <v>147946.6858789625</v>
      </c>
      <c r="F130" s="1">
        <v>147946.6858789625</v>
      </c>
      <c r="G130" s="1">
        <v>147946.6858789625</v>
      </c>
      <c r="H130" s="1">
        <v>147946.6858789625</v>
      </c>
      <c r="I130" s="1">
        <v>0</v>
      </c>
      <c r="J130" s="1">
        <v>0</v>
      </c>
      <c r="K130" s="1">
        <v>0</v>
      </c>
      <c r="L130" s="1">
        <v>0</v>
      </c>
    </row>
    <row r="131" spans="1:12" s="1" customFormat="1">
      <c r="A131" s="3">
        <v>45120</v>
      </c>
      <c r="B131" s="2" t="s">
        <v>16</v>
      </c>
      <c r="C131" s="2">
        <v>2</v>
      </c>
      <c r="D131" s="2">
        <v>7</v>
      </c>
      <c r="E131" s="1">
        <v>170508.8432463272</v>
      </c>
      <c r="F131" s="1">
        <v>170508.8432463272</v>
      </c>
      <c r="G131" s="1">
        <v>170508.8432463272</v>
      </c>
      <c r="H131" s="1">
        <v>170508.8432463272</v>
      </c>
      <c r="I131" s="1">
        <v>0</v>
      </c>
      <c r="J131" s="1">
        <v>0</v>
      </c>
      <c r="K131" s="1">
        <v>0</v>
      </c>
      <c r="L131" s="1">
        <v>0</v>
      </c>
    </row>
    <row r="132" spans="1:12" s="1" customFormat="1">
      <c r="A132" s="3">
        <v>45124</v>
      </c>
      <c r="B132" s="2" t="s">
        <v>12</v>
      </c>
      <c r="C132" s="2">
        <v>1</v>
      </c>
      <c r="D132" s="2">
        <v>6</v>
      </c>
      <c r="E132" s="1">
        <v>108267.0546979502</v>
      </c>
      <c r="F132" s="1">
        <v>253141.6073171613</v>
      </c>
      <c r="G132" s="1">
        <v>252507.1400166299</v>
      </c>
      <c r="H132" s="1">
        <v>252507.1400166299</v>
      </c>
      <c r="I132" s="1">
        <v>67441.39849026621</v>
      </c>
      <c r="J132" s="1">
        <v>67441.39849026621</v>
      </c>
      <c r="K132" s="1">
        <v>67441.39849026621</v>
      </c>
      <c r="L132" s="1">
        <v>67441.39849026621</v>
      </c>
    </row>
    <row r="133" spans="1:12" s="1" customFormat="1">
      <c r="A133" s="3">
        <v>45125</v>
      </c>
      <c r="B133" s="2" t="s">
        <v>13</v>
      </c>
      <c r="C133" s="2">
        <v>22</v>
      </c>
      <c r="D133" s="2">
        <v>5</v>
      </c>
      <c r="E133" s="1">
        <v>0</v>
      </c>
      <c r="F133" s="1">
        <v>0</v>
      </c>
      <c r="G133" s="1">
        <v>0</v>
      </c>
      <c r="H133" s="1">
        <v>0</v>
      </c>
      <c r="I133" s="1">
        <v>11890.48760991207</v>
      </c>
      <c r="J133" s="1">
        <v>11890.48760991207</v>
      </c>
      <c r="K133" s="1">
        <v>11890.48760991207</v>
      </c>
      <c r="L133" s="1">
        <v>11890.48760991207</v>
      </c>
    </row>
    <row r="134" spans="1:12" s="1" customFormat="1">
      <c r="A134" s="3">
        <v>45126</v>
      </c>
      <c r="B134" s="2" t="s">
        <v>14</v>
      </c>
      <c r="C134" s="2">
        <v>21</v>
      </c>
      <c r="D134" s="2">
        <v>4</v>
      </c>
      <c r="E134" s="1">
        <v>0</v>
      </c>
      <c r="F134" s="1">
        <v>0</v>
      </c>
      <c r="G134" s="1">
        <v>0</v>
      </c>
      <c r="H134" s="1">
        <v>0</v>
      </c>
      <c r="I134" s="1">
        <v>74459.87654320987</v>
      </c>
      <c r="J134" s="1">
        <v>74459.87654320987</v>
      </c>
      <c r="K134" s="1">
        <v>74459.87654320987</v>
      </c>
      <c r="L134" s="1">
        <v>74459.87654320987</v>
      </c>
    </row>
    <row r="135" spans="1:12" s="1" customFormat="1">
      <c r="A135" s="3">
        <v>45127</v>
      </c>
      <c r="B135" s="2" t="s">
        <v>16</v>
      </c>
      <c r="C135" s="2">
        <v>20</v>
      </c>
      <c r="D135" s="2">
        <v>3</v>
      </c>
      <c r="E135" s="1">
        <v>0</v>
      </c>
      <c r="F135" s="1">
        <v>0</v>
      </c>
      <c r="G135" s="1">
        <v>0</v>
      </c>
      <c r="H135" s="1">
        <v>0</v>
      </c>
      <c r="I135" s="1">
        <v>-30478.9899768697</v>
      </c>
      <c r="J135" s="1">
        <v>-88304.74171164226</v>
      </c>
      <c r="K135" s="1">
        <v>20528.14186584426</v>
      </c>
      <c r="L135" s="1">
        <v>20528.14186584426</v>
      </c>
    </row>
    <row r="136" spans="1:12" s="1" customFormat="1">
      <c r="A136" s="3">
        <v>45128</v>
      </c>
      <c r="B136" s="2" t="s">
        <v>15</v>
      </c>
      <c r="C136" s="2">
        <v>19</v>
      </c>
      <c r="D136" s="2">
        <v>2</v>
      </c>
      <c r="E136" s="1">
        <v>0</v>
      </c>
      <c r="F136" s="1">
        <v>0</v>
      </c>
      <c r="G136" s="1">
        <v>0</v>
      </c>
      <c r="H136" s="1">
        <v>0</v>
      </c>
      <c r="I136" s="1">
        <v>29471.54471544715</v>
      </c>
      <c r="J136" s="1">
        <v>29471.54471544715</v>
      </c>
      <c r="K136" s="1">
        <v>29471.54471544715</v>
      </c>
      <c r="L136" s="1">
        <v>29471.54471544715</v>
      </c>
    </row>
    <row r="137" spans="1:12" s="1" customFormat="1">
      <c r="A137" s="3">
        <v>45131</v>
      </c>
      <c r="B137" s="2" t="s">
        <v>12</v>
      </c>
      <c r="C137" s="2">
        <v>18</v>
      </c>
      <c r="D137" s="2">
        <v>1</v>
      </c>
      <c r="E137" s="1">
        <v>0</v>
      </c>
      <c r="F137" s="1">
        <v>0</v>
      </c>
      <c r="G137" s="1">
        <v>0</v>
      </c>
      <c r="H137" s="1">
        <v>0</v>
      </c>
      <c r="I137" s="1">
        <v>-82067.4707877874</v>
      </c>
      <c r="J137" s="1">
        <v>-76413.49415755748</v>
      </c>
      <c r="K137" s="1">
        <v>96061.06294760648</v>
      </c>
      <c r="L137" s="1">
        <v>96061.06294760648</v>
      </c>
    </row>
    <row r="138" spans="1:12" s="1" customFormat="1">
      <c r="A138" s="3">
        <v>45132</v>
      </c>
      <c r="B138" s="2" t="s">
        <v>13</v>
      </c>
      <c r="C138" s="2">
        <v>17</v>
      </c>
      <c r="D138" s="2">
        <v>22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1:12" s="1" customFormat="1">
      <c r="A139" s="3">
        <v>45133</v>
      </c>
      <c r="B139" s="2" t="s">
        <v>14</v>
      </c>
      <c r="C139" s="2">
        <v>16</v>
      </c>
      <c r="D139" s="2">
        <v>21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 s="1" customFormat="1">
      <c r="A140" s="3">
        <v>45134</v>
      </c>
      <c r="B140" s="2" t="s">
        <v>16</v>
      </c>
      <c r="C140" s="2">
        <v>15</v>
      </c>
      <c r="D140" s="2">
        <v>20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 spans="1:12" s="1" customFormat="1">
      <c r="A141" s="3">
        <v>45135</v>
      </c>
      <c r="B141" s="2" t="s">
        <v>15</v>
      </c>
      <c r="C141" s="2">
        <v>14</v>
      </c>
      <c r="D141" s="2">
        <v>19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1:12" s="1" customFormat="1">
      <c r="A142" s="3">
        <v>45138</v>
      </c>
      <c r="B142" s="2" t="s">
        <v>12</v>
      </c>
      <c r="C142" s="2">
        <v>13</v>
      </c>
      <c r="D142" s="2">
        <v>18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 s="1" customFormat="1">
      <c r="A143" s="3">
        <v>45139</v>
      </c>
      <c r="B143" s="2" t="s">
        <v>13</v>
      </c>
      <c r="C143" s="2">
        <v>12</v>
      </c>
      <c r="D143" s="2">
        <v>17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 s="1" customFormat="1">
      <c r="A144" s="3">
        <v>45140</v>
      </c>
      <c r="B144" s="2" t="s">
        <v>14</v>
      </c>
      <c r="C144" s="2">
        <v>11</v>
      </c>
      <c r="D144" s="2">
        <v>16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 s="1" customFormat="1">
      <c r="A145" s="3">
        <v>45141</v>
      </c>
      <c r="B145" s="2" t="s">
        <v>16</v>
      </c>
      <c r="C145" s="2">
        <v>10</v>
      </c>
      <c r="D145" s="2">
        <v>15</v>
      </c>
      <c r="E145" s="1">
        <v>18331.47698123393</v>
      </c>
      <c r="F145" s="1">
        <v>-141487.7818280006</v>
      </c>
      <c r="G145" s="1">
        <v>-141487.7818280006</v>
      </c>
      <c r="H145" s="1">
        <v>-141487.7818280006</v>
      </c>
      <c r="I145" s="1">
        <v>0</v>
      </c>
      <c r="J145" s="1">
        <v>0</v>
      </c>
      <c r="K145" s="1">
        <v>0</v>
      </c>
      <c r="L145" s="1">
        <v>0</v>
      </c>
    </row>
    <row r="146" spans="1:12" s="1" customFormat="1">
      <c r="A146" s="3">
        <v>45142</v>
      </c>
      <c r="B146" s="2" t="s">
        <v>15</v>
      </c>
      <c r="C146" s="2">
        <v>9</v>
      </c>
      <c r="D146" s="2">
        <v>14</v>
      </c>
      <c r="E146" s="1">
        <v>-829.9368919274182</v>
      </c>
      <c r="F146" s="1">
        <v>-829.9368919274182</v>
      </c>
      <c r="G146" s="1">
        <v>-829.9368919274182</v>
      </c>
      <c r="H146" s="1">
        <v>-829.9368919274182</v>
      </c>
      <c r="I146" s="1">
        <v>0</v>
      </c>
      <c r="J146" s="1">
        <v>0</v>
      </c>
      <c r="K146" s="1">
        <v>0</v>
      </c>
      <c r="L146" s="1">
        <v>0</v>
      </c>
    </row>
    <row r="147" spans="1:12" s="1" customFormat="1">
      <c r="A147" s="3">
        <v>45145</v>
      </c>
      <c r="B147" s="2" t="s">
        <v>12</v>
      </c>
      <c r="C147" s="2">
        <v>8</v>
      </c>
      <c r="D147" s="2">
        <v>13</v>
      </c>
      <c r="E147" s="1">
        <v>65409.5701540957</v>
      </c>
      <c r="F147" s="1">
        <v>65409.5701540957</v>
      </c>
      <c r="G147" s="1">
        <v>65409.5701540957</v>
      </c>
      <c r="H147" s="1">
        <v>65409.5701540957</v>
      </c>
      <c r="I147" s="1">
        <v>0</v>
      </c>
      <c r="J147" s="1">
        <v>0</v>
      </c>
      <c r="K147" s="1">
        <v>0</v>
      </c>
      <c r="L147" s="1">
        <v>0</v>
      </c>
    </row>
    <row r="148" spans="1:12" s="1" customFormat="1">
      <c r="A148" s="3">
        <v>45146</v>
      </c>
      <c r="B148" s="2" t="s">
        <v>13</v>
      </c>
      <c r="C148" s="2">
        <v>7</v>
      </c>
      <c r="D148" s="2">
        <v>12</v>
      </c>
      <c r="E148" s="1">
        <v>39494.10304158908</v>
      </c>
      <c r="F148" s="1">
        <v>-121492.0448234179</v>
      </c>
      <c r="G148" s="1">
        <v>-121492.0448234179</v>
      </c>
      <c r="H148" s="1">
        <v>-121492.0448234179</v>
      </c>
      <c r="I148" s="1">
        <v>0</v>
      </c>
      <c r="J148" s="1">
        <v>0</v>
      </c>
      <c r="K148" s="1">
        <v>0</v>
      </c>
      <c r="L148" s="1">
        <v>0</v>
      </c>
    </row>
    <row r="149" spans="1:12" s="1" customFormat="1">
      <c r="A149" s="3">
        <v>45147</v>
      </c>
      <c r="B149" s="2" t="s">
        <v>14</v>
      </c>
      <c r="C149" s="2">
        <v>6</v>
      </c>
      <c r="D149" s="2">
        <v>11</v>
      </c>
      <c r="E149" s="1">
        <v>47055.96107055961</v>
      </c>
      <c r="F149" s="1">
        <v>47055.96107055961</v>
      </c>
      <c r="G149" s="1">
        <v>47055.96107055961</v>
      </c>
      <c r="H149" s="1">
        <v>47055.96107055961</v>
      </c>
      <c r="I149" s="1">
        <v>0</v>
      </c>
      <c r="J149" s="1">
        <v>0</v>
      </c>
      <c r="K149" s="1">
        <v>0</v>
      </c>
      <c r="L149" s="1">
        <v>0</v>
      </c>
    </row>
    <row r="150" spans="1:12" s="1" customFormat="1">
      <c r="A150" s="3">
        <v>45148</v>
      </c>
      <c r="B150" s="2" t="s">
        <v>16</v>
      </c>
      <c r="C150" s="2">
        <v>5</v>
      </c>
      <c r="D150" s="2">
        <v>10</v>
      </c>
      <c r="E150" s="1">
        <v>83689.20899993625</v>
      </c>
      <c r="F150" s="1">
        <v>83689.20899993625</v>
      </c>
      <c r="G150" s="1">
        <v>83689.20899993625</v>
      </c>
      <c r="H150" s="1">
        <v>83689.20899993625</v>
      </c>
      <c r="I150" s="1">
        <v>0</v>
      </c>
      <c r="J150" s="1">
        <v>0</v>
      </c>
      <c r="K150" s="1">
        <v>0</v>
      </c>
      <c r="L150" s="1">
        <v>0</v>
      </c>
    </row>
    <row r="151" spans="1:12" s="1" customFormat="1">
      <c r="A151" s="3">
        <v>45149</v>
      </c>
      <c r="B151" s="2" t="s">
        <v>15</v>
      </c>
      <c r="C151" s="2">
        <v>4</v>
      </c>
      <c r="D151" s="2">
        <v>9</v>
      </c>
      <c r="E151" s="1">
        <v>104497.3116538188</v>
      </c>
      <c r="F151" s="1">
        <v>104497.3116538188</v>
      </c>
      <c r="G151" s="1">
        <v>104497.3116538188</v>
      </c>
      <c r="H151" s="1">
        <v>104497.3116538188</v>
      </c>
      <c r="I151" s="1">
        <v>0</v>
      </c>
      <c r="J151" s="1">
        <v>0</v>
      </c>
      <c r="K151" s="1">
        <v>0</v>
      </c>
      <c r="L151" s="1">
        <v>0</v>
      </c>
    </row>
    <row r="152" spans="1:12" s="1" customFormat="1">
      <c r="A152" s="3">
        <v>45152</v>
      </c>
      <c r="B152" s="2" t="s">
        <v>12</v>
      </c>
      <c r="C152" s="2">
        <v>3</v>
      </c>
      <c r="D152" s="2">
        <v>8</v>
      </c>
      <c r="E152" s="1">
        <v>91006.45873227096</v>
      </c>
      <c r="F152" s="1">
        <v>91006.45873227096</v>
      </c>
      <c r="G152" s="1">
        <v>91006.45873227096</v>
      </c>
      <c r="H152" s="1">
        <v>91006.45873227096</v>
      </c>
      <c r="I152" s="1">
        <v>0</v>
      </c>
      <c r="J152" s="1">
        <v>0</v>
      </c>
      <c r="K152" s="1">
        <v>0</v>
      </c>
      <c r="L152" s="1">
        <v>0</v>
      </c>
    </row>
    <row r="153" spans="1:12" s="1" customFormat="1">
      <c r="A153" s="3">
        <v>45154</v>
      </c>
      <c r="B153" s="2" t="s">
        <v>14</v>
      </c>
      <c r="C153" s="2">
        <v>2</v>
      </c>
      <c r="D153" s="2">
        <v>7</v>
      </c>
      <c r="E153" s="1">
        <v>74872.85336856011</v>
      </c>
      <c r="F153" s="1">
        <v>18072.15984147952</v>
      </c>
      <c r="G153" s="1">
        <v>21953.43461030383</v>
      </c>
      <c r="H153" s="1">
        <v>21953.43461030383</v>
      </c>
      <c r="I153" s="1">
        <v>0</v>
      </c>
      <c r="J153" s="1">
        <v>0</v>
      </c>
      <c r="K153" s="1">
        <v>0</v>
      </c>
      <c r="L153" s="1">
        <v>0</v>
      </c>
    </row>
    <row r="154" spans="1:12" s="1" customFormat="1">
      <c r="A154" s="3">
        <v>45155</v>
      </c>
      <c r="B154" s="2" t="s">
        <v>16</v>
      </c>
      <c r="C154" s="2">
        <v>1</v>
      </c>
      <c r="D154" s="2">
        <v>6</v>
      </c>
      <c r="E154" s="1">
        <v>89768.82985877605</v>
      </c>
      <c r="F154" s="1">
        <v>4857.935440484202</v>
      </c>
      <c r="G154" s="1">
        <v>191736.7182246133</v>
      </c>
      <c r="H154" s="1">
        <v>191736.7182246133</v>
      </c>
      <c r="I154" s="1">
        <v>94350.49961568025</v>
      </c>
      <c r="J154" s="1">
        <v>94350.49961568025</v>
      </c>
      <c r="K154" s="1">
        <v>94350.49961568025</v>
      </c>
      <c r="L154" s="1">
        <v>94350.49961568025</v>
      </c>
    </row>
    <row r="155" spans="1:12" s="1" customFormat="1">
      <c r="A155" s="3">
        <v>45156</v>
      </c>
      <c r="B155" s="2" t="s">
        <v>15</v>
      </c>
      <c r="C155" s="2">
        <v>21</v>
      </c>
      <c r="D155" s="2">
        <v>5</v>
      </c>
      <c r="E155" s="1">
        <v>0</v>
      </c>
      <c r="F155" s="1">
        <v>0</v>
      </c>
      <c r="G155" s="1">
        <v>0</v>
      </c>
      <c r="H155" s="1">
        <v>0</v>
      </c>
      <c r="I155" s="1">
        <v>62643.23911382735</v>
      </c>
      <c r="J155" s="1">
        <v>62643.23911382735</v>
      </c>
      <c r="K155" s="1">
        <v>62643.23911382735</v>
      </c>
      <c r="L155" s="1">
        <v>62643.23911382735</v>
      </c>
    </row>
    <row r="156" spans="1:12" s="1" customFormat="1">
      <c r="A156" s="3">
        <v>45159</v>
      </c>
      <c r="B156" s="2" t="s">
        <v>12</v>
      </c>
      <c r="C156" s="2">
        <v>20</v>
      </c>
      <c r="D156" s="2">
        <v>4</v>
      </c>
      <c r="E156" s="1">
        <v>0</v>
      </c>
      <c r="F156" s="1">
        <v>0</v>
      </c>
      <c r="G156" s="1">
        <v>0</v>
      </c>
      <c r="H156" s="1">
        <v>0</v>
      </c>
      <c r="I156" s="1">
        <v>76431.88854489163</v>
      </c>
      <c r="J156" s="1">
        <v>76431.88854489163</v>
      </c>
      <c r="K156" s="1">
        <v>76431.88854489163</v>
      </c>
      <c r="L156" s="1">
        <v>76431.88854489163</v>
      </c>
    </row>
    <row r="157" spans="1:12" s="1" customFormat="1">
      <c r="A157" s="3">
        <v>45160</v>
      </c>
      <c r="B157" s="2" t="s">
        <v>13</v>
      </c>
      <c r="C157" s="2">
        <v>19</v>
      </c>
      <c r="D157" s="2">
        <v>3</v>
      </c>
      <c r="E157" s="1">
        <v>0</v>
      </c>
      <c r="F157" s="1">
        <v>0</v>
      </c>
      <c r="G157" s="1">
        <v>0</v>
      </c>
      <c r="H157" s="1">
        <v>0</v>
      </c>
      <c r="I157" s="1">
        <v>16109.18877354864</v>
      </c>
      <c r="J157" s="1">
        <v>32006.92041522491</v>
      </c>
      <c r="K157" s="1">
        <v>32006.92041522491</v>
      </c>
      <c r="L157" s="1">
        <v>32006.92041522491</v>
      </c>
    </row>
    <row r="158" spans="1:12" s="1" customFormat="1">
      <c r="A158" s="3">
        <v>45161</v>
      </c>
      <c r="B158" s="2" t="s">
        <v>14</v>
      </c>
      <c r="C158" s="2">
        <v>18</v>
      </c>
      <c r="D158" s="2">
        <v>2</v>
      </c>
      <c r="E158" s="1">
        <v>0</v>
      </c>
      <c r="F158" s="1">
        <v>0</v>
      </c>
      <c r="G158" s="1">
        <v>0</v>
      </c>
      <c r="H158" s="1">
        <v>0</v>
      </c>
      <c r="I158" s="1">
        <v>83971.22161315584</v>
      </c>
      <c r="J158" s="1">
        <v>97435.39545810496</v>
      </c>
      <c r="K158" s="1">
        <v>97435.39545810496</v>
      </c>
      <c r="L158" s="1">
        <v>97435.39545810496</v>
      </c>
    </row>
    <row r="159" spans="1:12" s="1" customFormat="1">
      <c r="A159" s="3">
        <v>45162</v>
      </c>
      <c r="B159" s="2" t="s">
        <v>16</v>
      </c>
      <c r="C159" s="2">
        <v>17</v>
      </c>
      <c r="D159" s="2">
        <v>1</v>
      </c>
      <c r="E159" s="1">
        <v>0</v>
      </c>
      <c r="F159" s="1">
        <v>0</v>
      </c>
      <c r="G159" s="1">
        <v>0</v>
      </c>
      <c r="H159" s="1">
        <v>0</v>
      </c>
      <c r="I159" s="1">
        <v>19615.22801302931</v>
      </c>
      <c r="J159" s="1">
        <v>8927.117263843636</v>
      </c>
      <c r="K159" s="1">
        <v>-68912.86644951139</v>
      </c>
      <c r="L159" s="1">
        <v>-119864.6172638437</v>
      </c>
    </row>
    <row r="160" spans="1:12" s="1" customFormat="1">
      <c r="A160" s="3">
        <v>45163</v>
      </c>
      <c r="B160" s="2" t="s">
        <v>15</v>
      </c>
      <c r="C160" s="2">
        <v>16</v>
      </c>
      <c r="D160" s="2">
        <v>21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</row>
    <row r="161" spans="1:12" s="1" customFormat="1">
      <c r="A161" s="3">
        <v>45166</v>
      </c>
      <c r="B161" s="2" t="s">
        <v>12</v>
      </c>
      <c r="C161" s="2">
        <v>15</v>
      </c>
      <c r="D161" s="2">
        <v>20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</row>
    <row r="162" spans="1:12" s="1" customFormat="1">
      <c r="A162" s="3">
        <v>45167</v>
      </c>
      <c r="B162" s="2" t="s">
        <v>13</v>
      </c>
      <c r="C162" s="2">
        <v>14</v>
      </c>
      <c r="D162" s="2">
        <v>19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1:12" s="1" customFormat="1">
      <c r="A163" s="3">
        <v>45168</v>
      </c>
      <c r="B163" s="2" t="s">
        <v>14</v>
      </c>
      <c r="C163" s="2">
        <v>13</v>
      </c>
      <c r="D163" s="2">
        <v>18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</row>
    <row r="164" spans="1:12" s="1" customFormat="1">
      <c r="A164" s="3">
        <v>45169</v>
      </c>
      <c r="B164" s="2" t="s">
        <v>16</v>
      </c>
      <c r="C164" s="2">
        <v>12</v>
      </c>
      <c r="D164" s="2">
        <v>17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1:12" s="1" customFormat="1">
      <c r="A165" s="3">
        <v>45170</v>
      </c>
      <c r="B165" s="2" t="s">
        <v>15</v>
      </c>
      <c r="C165" s="2">
        <v>11</v>
      </c>
      <c r="D165" s="2">
        <v>16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1:12" s="1" customFormat="1">
      <c r="A166" s="3">
        <v>45173</v>
      </c>
      <c r="B166" s="2" t="s">
        <v>12</v>
      </c>
      <c r="C166" s="2">
        <v>10</v>
      </c>
      <c r="D166" s="2">
        <v>15</v>
      </c>
      <c r="E166" s="1">
        <v>7371.412422282232</v>
      </c>
      <c r="F166" s="1">
        <v>7371.412422282232</v>
      </c>
      <c r="G166" s="1">
        <v>7371.412422282232</v>
      </c>
      <c r="H166" s="1">
        <v>7371.412422282232</v>
      </c>
      <c r="I166" s="1">
        <v>0</v>
      </c>
      <c r="J166" s="1">
        <v>0</v>
      </c>
      <c r="K166" s="1">
        <v>0</v>
      </c>
      <c r="L166" s="1">
        <v>0</v>
      </c>
    </row>
    <row r="167" spans="1:12" s="1" customFormat="1">
      <c r="A167" s="3">
        <v>45174</v>
      </c>
      <c r="B167" s="2" t="s">
        <v>13</v>
      </c>
      <c r="C167" s="2">
        <v>9</v>
      </c>
      <c r="D167" s="2">
        <v>14</v>
      </c>
      <c r="E167" s="1">
        <v>-66269.03473937648</v>
      </c>
      <c r="F167" s="1">
        <v>-168292.8926550139</v>
      </c>
      <c r="G167" s="1">
        <v>-80743.25380694789</v>
      </c>
      <c r="H167" s="1">
        <v>-80743.25380694789</v>
      </c>
      <c r="I167" s="1">
        <v>0</v>
      </c>
      <c r="J167" s="1">
        <v>0</v>
      </c>
      <c r="K167" s="1">
        <v>0</v>
      </c>
      <c r="L167" s="1">
        <v>0</v>
      </c>
    </row>
    <row r="168" spans="1:12" s="1" customFormat="1">
      <c r="A168" s="3">
        <v>45175</v>
      </c>
      <c r="B168" s="2" t="s">
        <v>14</v>
      </c>
      <c r="C168" s="2">
        <v>8</v>
      </c>
      <c r="D168" s="2">
        <v>13</v>
      </c>
      <c r="E168" s="1">
        <v>-32819.44444444445</v>
      </c>
      <c r="F168" s="1">
        <v>-40686.72839506173</v>
      </c>
      <c r="G168" s="1">
        <v>-40686.72839506173</v>
      </c>
      <c r="H168" s="1">
        <v>-40686.72839506173</v>
      </c>
      <c r="I168" s="1">
        <v>0</v>
      </c>
      <c r="J168" s="1">
        <v>0</v>
      </c>
      <c r="K168" s="1">
        <v>0</v>
      </c>
      <c r="L168" s="1">
        <v>0</v>
      </c>
    </row>
    <row r="169" spans="1:12" s="1" customFormat="1">
      <c r="A169" s="3">
        <v>45176</v>
      </c>
      <c r="B169" s="2" t="s">
        <v>16</v>
      </c>
      <c r="C169" s="2">
        <v>7</v>
      </c>
      <c r="D169" s="2">
        <v>12</v>
      </c>
      <c r="E169" s="1">
        <v>95024.80705622933</v>
      </c>
      <c r="F169" s="1">
        <v>95024.80705622933</v>
      </c>
      <c r="G169" s="1">
        <v>95024.80705622933</v>
      </c>
      <c r="H169" s="1">
        <v>95024.80705622933</v>
      </c>
      <c r="I169" s="1">
        <v>0</v>
      </c>
      <c r="J169" s="1">
        <v>0</v>
      </c>
      <c r="K169" s="1">
        <v>0</v>
      </c>
      <c r="L169" s="1">
        <v>0</v>
      </c>
    </row>
    <row r="170" spans="1:12" s="1" customFormat="1">
      <c r="A170" s="3">
        <v>45177</v>
      </c>
      <c r="B170" s="2" t="s">
        <v>15</v>
      </c>
      <c r="C170" s="2">
        <v>6</v>
      </c>
      <c r="D170" s="2">
        <v>11</v>
      </c>
      <c r="E170" s="1">
        <v>148276.8763933614</v>
      </c>
      <c r="F170" s="1">
        <v>148276.8763933614</v>
      </c>
      <c r="G170" s="1">
        <v>148276.8763933614</v>
      </c>
      <c r="H170" s="1">
        <v>148276.8763933614</v>
      </c>
      <c r="I170" s="1">
        <v>0</v>
      </c>
      <c r="J170" s="1">
        <v>0</v>
      </c>
      <c r="K170" s="1">
        <v>0</v>
      </c>
      <c r="L170" s="1">
        <v>0</v>
      </c>
    </row>
    <row r="171" spans="1:12" s="1" customFormat="1">
      <c r="A171" s="3">
        <v>45180</v>
      </c>
      <c r="B171" s="2" t="s">
        <v>12</v>
      </c>
      <c r="C171" s="2">
        <v>5</v>
      </c>
      <c r="D171" s="2">
        <v>10</v>
      </c>
      <c r="E171" s="1">
        <v>128639.1333784699</v>
      </c>
      <c r="F171" s="1">
        <v>128639.1333784699</v>
      </c>
      <c r="G171" s="1">
        <v>128639.1333784699</v>
      </c>
      <c r="H171" s="1">
        <v>128639.1333784699</v>
      </c>
      <c r="I171" s="1">
        <v>0</v>
      </c>
      <c r="J171" s="1">
        <v>0</v>
      </c>
      <c r="K171" s="1">
        <v>0</v>
      </c>
      <c r="L171" s="1">
        <v>0</v>
      </c>
    </row>
    <row r="172" spans="1:12" s="1" customFormat="1">
      <c r="A172" s="3">
        <v>45181</v>
      </c>
      <c r="B172" s="2" t="s">
        <v>13</v>
      </c>
      <c r="C172" s="2">
        <v>4</v>
      </c>
      <c r="D172" s="2">
        <v>9</v>
      </c>
      <c r="E172" s="1">
        <v>42979.88136733323</v>
      </c>
      <c r="F172" s="1">
        <v>28909.06867241485</v>
      </c>
      <c r="G172" s="1">
        <v>28909.06867241485</v>
      </c>
      <c r="H172" s="1">
        <v>28909.06867241485</v>
      </c>
      <c r="I172" s="1">
        <v>0</v>
      </c>
      <c r="J172" s="1">
        <v>0</v>
      </c>
      <c r="K172" s="1">
        <v>0</v>
      </c>
      <c r="L172" s="1">
        <v>0</v>
      </c>
    </row>
    <row r="173" spans="1:12" s="1" customFormat="1">
      <c r="A173" s="3">
        <v>45182</v>
      </c>
      <c r="B173" s="2" t="s">
        <v>14</v>
      </c>
      <c r="C173" s="2">
        <v>3</v>
      </c>
      <c r="D173" s="2">
        <v>8</v>
      </c>
      <c r="E173" s="1">
        <v>86800.8442635308</v>
      </c>
      <c r="F173" s="1">
        <v>120797.5275139454</v>
      </c>
      <c r="G173" s="1">
        <v>120797.5275139454</v>
      </c>
      <c r="H173" s="1">
        <v>120797.5275139454</v>
      </c>
      <c r="I173" s="1">
        <v>0</v>
      </c>
      <c r="J173" s="1">
        <v>0</v>
      </c>
      <c r="K173" s="1">
        <v>0</v>
      </c>
      <c r="L173" s="1">
        <v>0</v>
      </c>
    </row>
    <row r="174" spans="1:12" s="1" customFormat="1">
      <c r="A174" s="3">
        <v>45183</v>
      </c>
      <c r="B174" s="2" t="s">
        <v>16</v>
      </c>
      <c r="C174" s="2">
        <v>2</v>
      </c>
      <c r="D174" s="2">
        <v>7</v>
      </c>
      <c r="E174" s="1">
        <v>157971.1019275437</v>
      </c>
      <c r="F174" s="1">
        <v>165439.9565623963</v>
      </c>
      <c r="G174" s="1">
        <v>165439.9565623963</v>
      </c>
      <c r="H174" s="1">
        <v>165439.9565623963</v>
      </c>
      <c r="I174" s="1">
        <v>0</v>
      </c>
      <c r="J174" s="1">
        <v>0</v>
      </c>
      <c r="K174" s="1">
        <v>0</v>
      </c>
      <c r="L174" s="1">
        <v>0</v>
      </c>
    </row>
    <row r="175" spans="1:12" s="1" customFormat="1">
      <c r="A175" s="3">
        <v>45184</v>
      </c>
      <c r="B175" s="2" t="s">
        <v>15</v>
      </c>
      <c r="C175" s="2">
        <v>1</v>
      </c>
      <c r="D175" s="2">
        <v>6</v>
      </c>
      <c r="E175" s="1">
        <v>-27510.82697463394</v>
      </c>
      <c r="F175" s="1">
        <v>-82603.18769702148</v>
      </c>
      <c r="G175" s="1">
        <v>-91366.40839053706</v>
      </c>
      <c r="H175" s="1">
        <v>234253.0124031464</v>
      </c>
      <c r="I175" s="1">
        <v>81393.2002956393</v>
      </c>
      <c r="J175" s="1">
        <v>81393.2002956393</v>
      </c>
      <c r="K175" s="1">
        <v>81393.2002956393</v>
      </c>
      <c r="L175" s="1">
        <v>81393.2002956393</v>
      </c>
    </row>
    <row r="176" spans="1:12" s="1" customFormat="1">
      <c r="A176" s="3">
        <v>45187</v>
      </c>
      <c r="B176" s="2" t="s">
        <v>12</v>
      </c>
      <c r="C176" s="2">
        <v>21</v>
      </c>
      <c r="D176" s="2">
        <v>5</v>
      </c>
      <c r="E176" s="1">
        <v>0</v>
      </c>
      <c r="F176" s="1">
        <v>0</v>
      </c>
      <c r="G176" s="1">
        <v>0</v>
      </c>
      <c r="H176" s="1">
        <v>0</v>
      </c>
      <c r="I176" s="1">
        <v>-11156.8293605751</v>
      </c>
      <c r="J176" s="1">
        <v>-1702.610669693528</v>
      </c>
      <c r="K176" s="1">
        <v>-1702.610669693528</v>
      </c>
      <c r="L176" s="1">
        <v>-1702.610669693528</v>
      </c>
    </row>
    <row r="177" spans="1:12" s="1" customFormat="1">
      <c r="A177" s="3">
        <v>45188</v>
      </c>
      <c r="B177" s="2" t="s">
        <v>13</v>
      </c>
      <c r="C177" s="2">
        <v>20</v>
      </c>
      <c r="D177" s="2">
        <v>4</v>
      </c>
      <c r="E177" s="1">
        <v>0</v>
      </c>
      <c r="F177" s="1">
        <v>0</v>
      </c>
      <c r="G177" s="1">
        <v>0</v>
      </c>
      <c r="H177" s="1">
        <v>0</v>
      </c>
      <c r="I177" s="1">
        <v>-65234.375</v>
      </c>
      <c r="J177" s="1">
        <v>-137849.2647058824</v>
      </c>
      <c r="K177" s="1">
        <v>-148046.875</v>
      </c>
      <c r="L177" s="1">
        <v>-148046.875</v>
      </c>
    </row>
    <row r="178" spans="1:12" s="1" customFormat="1">
      <c r="A178" s="3">
        <v>45189</v>
      </c>
      <c r="B178" s="2" t="s">
        <v>14</v>
      </c>
      <c r="C178" s="2">
        <v>19</v>
      </c>
      <c r="D178" s="2">
        <v>3</v>
      </c>
      <c r="E178" s="1">
        <v>0</v>
      </c>
      <c r="F178" s="1">
        <v>0</v>
      </c>
      <c r="G178" s="1">
        <v>0</v>
      </c>
      <c r="H178" s="1">
        <v>0</v>
      </c>
      <c r="I178" s="1">
        <v>42636.36363636364</v>
      </c>
      <c r="J178" s="1">
        <v>42636.36363636364</v>
      </c>
      <c r="K178" s="1">
        <v>42636.36363636364</v>
      </c>
      <c r="L178" s="1">
        <v>42636.36363636364</v>
      </c>
    </row>
    <row r="179" spans="1:12" s="1" customFormat="1">
      <c r="A179" s="3">
        <v>45190</v>
      </c>
      <c r="B179" s="2" t="s">
        <v>16</v>
      </c>
      <c r="C179" s="2">
        <v>18</v>
      </c>
      <c r="D179" s="2">
        <v>2</v>
      </c>
      <c r="E179" s="1">
        <v>0</v>
      </c>
      <c r="F179" s="1">
        <v>0</v>
      </c>
      <c r="G179" s="1">
        <v>0</v>
      </c>
      <c r="H179" s="1">
        <v>0</v>
      </c>
      <c r="I179" s="1">
        <v>108692.2653958944</v>
      </c>
      <c r="J179" s="1">
        <v>108692.2653958944</v>
      </c>
      <c r="K179" s="1">
        <v>108692.2653958944</v>
      </c>
      <c r="L179" s="1">
        <v>108692.2653958944</v>
      </c>
    </row>
    <row r="180" spans="1:12" s="1" customFormat="1">
      <c r="A180" s="3">
        <v>45191</v>
      </c>
      <c r="B180" s="2" t="s">
        <v>15</v>
      </c>
      <c r="C180" s="2">
        <v>17</v>
      </c>
      <c r="D180" s="2">
        <v>1</v>
      </c>
      <c r="E180" s="1">
        <v>0</v>
      </c>
      <c r="F180" s="1">
        <v>0</v>
      </c>
      <c r="G180" s="1">
        <v>0</v>
      </c>
      <c r="H180" s="1">
        <v>0</v>
      </c>
      <c r="I180" s="1">
        <v>93738.08616088447</v>
      </c>
      <c r="J180" s="1">
        <v>89468.16622188335</v>
      </c>
      <c r="K180" s="1">
        <v>89468.16622188335</v>
      </c>
      <c r="L180" s="1">
        <v>89468.16622188335</v>
      </c>
    </row>
    <row r="181" spans="1:12" s="1" customFormat="1">
      <c r="A181" s="3">
        <v>45194</v>
      </c>
      <c r="B181" s="2" t="s">
        <v>12</v>
      </c>
      <c r="C181" s="2">
        <v>16</v>
      </c>
      <c r="D181" s="2">
        <v>21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 s="1" customFormat="1">
      <c r="A182" s="3">
        <v>45195</v>
      </c>
      <c r="B182" s="2" t="s">
        <v>13</v>
      </c>
      <c r="C182" s="2">
        <v>15</v>
      </c>
      <c r="D182" s="2">
        <v>20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 s="1" customFormat="1">
      <c r="A183" s="3">
        <v>45196</v>
      </c>
      <c r="B183" s="2" t="s">
        <v>14</v>
      </c>
      <c r="C183" s="2">
        <v>14</v>
      </c>
      <c r="D183" s="2">
        <v>19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 s="1" customFormat="1">
      <c r="A184" s="3">
        <v>45197</v>
      </c>
      <c r="B184" s="2" t="s">
        <v>16</v>
      </c>
      <c r="C184" s="2">
        <v>13</v>
      </c>
      <c r="D184" s="2">
        <v>18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</row>
    <row r="185" spans="1:12" s="1" customFormat="1">
      <c r="A185" s="3">
        <v>45198</v>
      </c>
      <c r="B185" s="2" t="s">
        <v>15</v>
      </c>
      <c r="C185" s="2">
        <v>12</v>
      </c>
      <c r="D185" s="2">
        <v>17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 s="1" customFormat="1">
      <c r="A186" s="3">
        <v>45202</v>
      </c>
      <c r="B186" s="2" t="s">
        <v>13</v>
      </c>
      <c r="C186" s="2">
        <v>11</v>
      </c>
      <c r="D186" s="2">
        <v>16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 s="1" customFormat="1">
      <c r="A187" s="3">
        <v>45203</v>
      </c>
      <c r="B187" s="2" t="s">
        <v>14</v>
      </c>
      <c r="C187" s="2">
        <v>10</v>
      </c>
      <c r="D187" s="2">
        <v>15</v>
      </c>
      <c r="E187" s="1">
        <v>68778.22303298544</v>
      </c>
      <c r="F187" s="1">
        <v>-212102.6346481653</v>
      </c>
      <c r="G187" s="1">
        <v>-212102.6346481653</v>
      </c>
      <c r="H187" s="1">
        <v>-212102.6346481653</v>
      </c>
      <c r="I187" s="1">
        <v>0</v>
      </c>
      <c r="J187" s="1">
        <v>0</v>
      </c>
      <c r="K187" s="1">
        <v>0</v>
      </c>
      <c r="L187" s="1">
        <v>0</v>
      </c>
    </row>
    <row r="188" spans="1:12" s="1" customFormat="1">
      <c r="A188" s="3">
        <v>45204</v>
      </c>
      <c r="B188" s="2" t="s">
        <v>16</v>
      </c>
      <c r="C188" s="2">
        <v>9</v>
      </c>
      <c r="D188" s="2">
        <v>14</v>
      </c>
      <c r="E188" s="1">
        <v>219782.2056004274</v>
      </c>
      <c r="F188" s="1">
        <v>219782.2056004274</v>
      </c>
      <c r="G188" s="1">
        <v>219782.2056004274</v>
      </c>
      <c r="H188" s="1">
        <v>219782.2056004274</v>
      </c>
      <c r="I188" s="1">
        <v>0</v>
      </c>
      <c r="J188" s="1">
        <v>0</v>
      </c>
      <c r="K188" s="1">
        <v>0</v>
      </c>
      <c r="L188" s="1">
        <v>0</v>
      </c>
    </row>
    <row r="189" spans="1:12" s="1" customFormat="1">
      <c r="A189" s="3">
        <v>45205</v>
      </c>
      <c r="B189" s="2" t="s">
        <v>15</v>
      </c>
      <c r="C189" s="2">
        <v>8</v>
      </c>
      <c r="D189" s="2">
        <v>13</v>
      </c>
      <c r="E189" s="1">
        <v>126917.1284959402</v>
      </c>
      <c r="F189" s="1">
        <v>126917.1284959402</v>
      </c>
      <c r="G189" s="1">
        <v>126917.1284959402</v>
      </c>
      <c r="H189" s="1">
        <v>126917.1284959402</v>
      </c>
      <c r="I189" s="1">
        <v>0</v>
      </c>
      <c r="J189" s="1">
        <v>0</v>
      </c>
      <c r="K189" s="1">
        <v>0</v>
      </c>
      <c r="L189" s="1">
        <v>0</v>
      </c>
    </row>
    <row r="190" spans="1:12" s="1" customFormat="1">
      <c r="A190" s="3">
        <v>45208</v>
      </c>
      <c r="B190" s="2" t="s">
        <v>12</v>
      </c>
      <c r="C190" s="2">
        <v>7</v>
      </c>
      <c r="D190" s="2">
        <v>12</v>
      </c>
      <c r="E190" s="1">
        <v>113629.3196962653</v>
      </c>
      <c r="F190" s="1">
        <v>113629.3196962653</v>
      </c>
      <c r="G190" s="1">
        <v>113629.3196962653</v>
      </c>
      <c r="H190" s="1">
        <v>113629.3196962653</v>
      </c>
      <c r="I190" s="1">
        <v>0</v>
      </c>
      <c r="J190" s="1">
        <v>0</v>
      </c>
      <c r="K190" s="1">
        <v>0</v>
      </c>
      <c r="L190" s="1">
        <v>0</v>
      </c>
    </row>
    <row r="191" spans="1:12" s="1" customFormat="1">
      <c r="A191" s="3">
        <v>45209</v>
      </c>
      <c r="B191" s="2" t="s">
        <v>13</v>
      </c>
      <c r="C191" s="2">
        <v>6</v>
      </c>
      <c r="D191" s="2">
        <v>11</v>
      </c>
      <c r="E191" s="1">
        <v>95214.84374999999</v>
      </c>
      <c r="F191" s="1">
        <v>95214.84374999999</v>
      </c>
      <c r="G191" s="1">
        <v>95214.84374999999</v>
      </c>
      <c r="H191" s="1">
        <v>95214.84374999999</v>
      </c>
      <c r="I191" s="1">
        <v>0</v>
      </c>
      <c r="J191" s="1">
        <v>0</v>
      </c>
      <c r="K191" s="1">
        <v>0</v>
      </c>
      <c r="L191" s="1">
        <v>0</v>
      </c>
    </row>
    <row r="192" spans="1:12" s="1" customFormat="1">
      <c r="A192" s="3">
        <v>45210</v>
      </c>
      <c r="B192" s="2" t="s">
        <v>14</v>
      </c>
      <c r="C192" s="2">
        <v>5</v>
      </c>
      <c r="D192" s="2">
        <v>10</v>
      </c>
      <c r="E192" s="1">
        <v>-51141.46416963317</v>
      </c>
      <c r="F192" s="1">
        <v>-38832.99798792756</v>
      </c>
      <c r="G192" s="1">
        <v>-38832.99798792756</v>
      </c>
      <c r="H192" s="1">
        <v>-38832.99798792756</v>
      </c>
      <c r="I192" s="1">
        <v>0</v>
      </c>
      <c r="J192" s="1">
        <v>0</v>
      </c>
      <c r="K192" s="1">
        <v>0</v>
      </c>
      <c r="L192" s="1">
        <v>0</v>
      </c>
    </row>
    <row r="193" spans="1:12" s="1" customFormat="1">
      <c r="A193" s="3">
        <v>45211</v>
      </c>
      <c r="B193" s="2" t="s">
        <v>16</v>
      </c>
      <c r="C193" s="2">
        <v>4</v>
      </c>
      <c r="D193" s="2">
        <v>9</v>
      </c>
      <c r="E193" s="1">
        <v>156327.3385907546</v>
      </c>
      <c r="F193" s="1">
        <v>152401.1027761749</v>
      </c>
      <c r="G193" s="1">
        <v>152401.1027761749</v>
      </c>
      <c r="H193" s="1">
        <v>152401.1027761749</v>
      </c>
      <c r="I193" s="1">
        <v>0</v>
      </c>
      <c r="J193" s="1">
        <v>0</v>
      </c>
      <c r="K193" s="1">
        <v>0</v>
      </c>
      <c r="L193" s="1">
        <v>0</v>
      </c>
    </row>
    <row r="194" spans="1:12" s="1" customFormat="1">
      <c r="A194" s="3">
        <v>45212</v>
      </c>
      <c r="B194" s="2" t="s">
        <v>15</v>
      </c>
      <c r="C194" s="2">
        <v>3</v>
      </c>
      <c r="D194" s="2">
        <v>8</v>
      </c>
      <c r="E194" s="1">
        <v>99186.66156836503</v>
      </c>
      <c r="F194" s="1">
        <v>111851.9580664691</v>
      </c>
      <c r="G194" s="1">
        <v>111851.9580664691</v>
      </c>
      <c r="H194" s="1">
        <v>111851.9580664691</v>
      </c>
      <c r="I194" s="1">
        <v>0</v>
      </c>
      <c r="J194" s="1">
        <v>0</v>
      </c>
      <c r="K194" s="1">
        <v>0</v>
      </c>
      <c r="L194" s="1">
        <v>0</v>
      </c>
    </row>
    <row r="195" spans="1:12" s="1" customFormat="1">
      <c r="A195" s="3">
        <v>45215</v>
      </c>
      <c r="B195" s="2" t="s">
        <v>12</v>
      </c>
      <c r="C195" s="2">
        <v>2</v>
      </c>
      <c r="D195" s="2">
        <v>7</v>
      </c>
      <c r="E195" s="1">
        <v>-59354.5326559344</v>
      </c>
      <c r="F195" s="1">
        <v>143784.0484789129</v>
      </c>
      <c r="G195" s="1">
        <v>143784.0484789129</v>
      </c>
      <c r="H195" s="1">
        <v>143784.0484789129</v>
      </c>
      <c r="I195" s="1">
        <v>0</v>
      </c>
      <c r="J195" s="1">
        <v>0</v>
      </c>
      <c r="K195" s="1">
        <v>0</v>
      </c>
      <c r="L195" s="1">
        <v>0</v>
      </c>
    </row>
    <row r="196" spans="1:12" s="1" customFormat="1">
      <c r="A196" s="3">
        <v>45216</v>
      </c>
      <c r="B196" s="2" t="s">
        <v>13</v>
      </c>
      <c r="C196" s="2">
        <v>1</v>
      </c>
      <c r="D196" s="2">
        <v>6</v>
      </c>
      <c r="E196" s="1">
        <v>70089.62946992331</v>
      </c>
      <c r="F196" s="1">
        <v>48295.19204114949</v>
      </c>
      <c r="G196" s="1">
        <v>249586.5032186528</v>
      </c>
      <c r="H196" s="1">
        <v>249586.5032186528</v>
      </c>
      <c r="I196" s="1">
        <v>62942.12218649518</v>
      </c>
      <c r="J196" s="1">
        <v>62942.12218649518</v>
      </c>
      <c r="K196" s="1">
        <v>62942.12218649518</v>
      </c>
      <c r="L196" s="1">
        <v>62942.12218649518</v>
      </c>
    </row>
    <row r="197" spans="1:12" s="1" customFormat="1">
      <c r="A197" s="3">
        <v>45217</v>
      </c>
      <c r="B197" s="2" t="s">
        <v>14</v>
      </c>
      <c r="C197" s="2">
        <v>0</v>
      </c>
      <c r="D197" s="2">
        <v>5</v>
      </c>
      <c r="E197" s="1">
        <v>0</v>
      </c>
      <c r="F197" s="1">
        <v>0</v>
      </c>
      <c r="G197" s="1">
        <v>0</v>
      </c>
      <c r="H197" s="1">
        <v>0</v>
      </c>
      <c r="I197" s="1">
        <v>83846.40311082308</v>
      </c>
      <c r="J197" s="1">
        <v>83846.40311082308</v>
      </c>
      <c r="K197" s="1">
        <v>83846.40311082308</v>
      </c>
      <c r="L197" s="1">
        <v>83846.40311082308</v>
      </c>
    </row>
    <row r="198" spans="1:12" s="1" customFormat="1">
      <c r="A198" s="3">
        <v>45218</v>
      </c>
      <c r="B198" s="2" t="s">
        <v>16</v>
      </c>
      <c r="C198" s="2">
        <v>0</v>
      </c>
      <c r="D198" s="2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</row>
    <row r="199" spans="1:12" s="1" customFormat="1">
      <c r="A199" s="3">
        <v>45219</v>
      </c>
      <c r="B199" s="2" t="s">
        <v>15</v>
      </c>
      <c r="C199" s="2">
        <v>14</v>
      </c>
      <c r="D199" s="2">
        <v>3</v>
      </c>
      <c r="E199" s="1">
        <v>0</v>
      </c>
      <c r="F199" s="1">
        <v>0</v>
      </c>
      <c r="G199" s="1">
        <v>0</v>
      </c>
      <c r="H199" s="1">
        <v>0</v>
      </c>
      <c r="I199" s="1">
        <v>85544.21768707484</v>
      </c>
      <c r="J199" s="1">
        <v>85544.21768707484</v>
      </c>
      <c r="K199" s="1">
        <v>85544.21768707484</v>
      </c>
      <c r="L199" s="1">
        <v>85544.21768707484</v>
      </c>
    </row>
    <row r="200" spans="1:12" s="1" customFormat="1">
      <c r="A200" s="3">
        <v>45222</v>
      </c>
      <c r="B200" s="2" t="s">
        <v>12</v>
      </c>
      <c r="C200" s="2">
        <v>13</v>
      </c>
      <c r="D200" s="2">
        <v>2</v>
      </c>
      <c r="E200" s="1">
        <v>0</v>
      </c>
      <c r="F200" s="1">
        <v>0</v>
      </c>
      <c r="G200" s="1">
        <v>0</v>
      </c>
      <c r="H200" s="1">
        <v>0</v>
      </c>
      <c r="I200" s="1">
        <v>54048.07358556057</v>
      </c>
      <c r="J200" s="1">
        <v>70982.29781325928</v>
      </c>
      <c r="K200" s="1">
        <v>70982.29781325928</v>
      </c>
      <c r="L200" s="1">
        <v>70982.29781325928</v>
      </c>
    </row>
    <row r="201" spans="1:12" s="1" customFormat="1">
      <c r="A201" s="3">
        <v>45223</v>
      </c>
      <c r="B201" s="2" t="s">
        <v>13</v>
      </c>
      <c r="C201" s="2">
        <v>12</v>
      </c>
      <c r="D201" s="2">
        <v>1</v>
      </c>
      <c r="E201" s="1">
        <v>0</v>
      </c>
      <c r="F201" s="1">
        <v>0</v>
      </c>
      <c r="G201" s="1">
        <v>0</v>
      </c>
      <c r="H201" s="1">
        <v>0</v>
      </c>
      <c r="I201" s="1">
        <v>86567.29131175469</v>
      </c>
      <c r="J201" s="1">
        <v>91712.09540034071</v>
      </c>
      <c r="K201" s="1">
        <v>94305.79216354343</v>
      </c>
      <c r="L201" s="1">
        <v>94305.79216354343</v>
      </c>
    </row>
    <row r="202" spans="1:12" s="1" customFormat="1">
      <c r="A202" s="3">
        <v>45224</v>
      </c>
      <c r="B202" s="2" t="s">
        <v>14</v>
      </c>
      <c r="C202" s="2">
        <v>11</v>
      </c>
      <c r="D202" s="2">
        <v>16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 s="1" customFormat="1">
      <c r="A203" s="3">
        <v>45225</v>
      </c>
      <c r="B203" s="2" t="s">
        <v>16</v>
      </c>
      <c r="C203" s="2">
        <v>10</v>
      </c>
      <c r="D203" s="2">
        <v>15</v>
      </c>
      <c r="E203" s="1">
        <v>15108.34168336673</v>
      </c>
      <c r="F203" s="1">
        <v>15108.34168336673</v>
      </c>
      <c r="G203" s="1">
        <v>15108.34168336673</v>
      </c>
      <c r="H203" s="1">
        <v>15108.34168336673</v>
      </c>
      <c r="I203" s="1">
        <v>0</v>
      </c>
      <c r="J203" s="1">
        <v>0</v>
      </c>
      <c r="K203" s="1">
        <v>0</v>
      </c>
      <c r="L203" s="1">
        <v>0</v>
      </c>
    </row>
    <row r="204" spans="1:12" s="1" customFormat="1">
      <c r="A204" s="3">
        <v>45229</v>
      </c>
      <c r="B204" s="2" t="s">
        <v>12</v>
      </c>
      <c r="C204" s="2">
        <v>9</v>
      </c>
      <c r="D204" s="2">
        <v>14</v>
      </c>
      <c r="E204" s="1">
        <v>-118440.2585119798</v>
      </c>
      <c r="F204" s="1">
        <v>-76355.61160151324</v>
      </c>
      <c r="G204" s="1">
        <v>-76355.61160151324</v>
      </c>
      <c r="H204" s="1">
        <v>-76355.61160151324</v>
      </c>
      <c r="I204" s="1">
        <v>0</v>
      </c>
      <c r="J204" s="1">
        <v>0</v>
      </c>
      <c r="K204" s="1">
        <v>0</v>
      </c>
      <c r="L204" s="1">
        <v>0</v>
      </c>
    </row>
    <row r="205" spans="1:12" s="1" customFormat="1">
      <c r="A205" s="3">
        <v>45230</v>
      </c>
      <c r="B205" s="2" t="s">
        <v>13</v>
      </c>
      <c r="C205" s="2">
        <v>8</v>
      </c>
      <c r="D205" s="2">
        <v>13</v>
      </c>
      <c r="E205" s="1">
        <v>99974.13347128815</v>
      </c>
      <c r="F205" s="1">
        <v>99974.13347128815</v>
      </c>
      <c r="G205" s="1">
        <v>99974.13347128815</v>
      </c>
      <c r="H205" s="1">
        <v>99974.13347128815</v>
      </c>
      <c r="I205" s="1">
        <v>0</v>
      </c>
      <c r="J205" s="1">
        <v>0</v>
      </c>
      <c r="K205" s="1">
        <v>0</v>
      </c>
      <c r="L205" s="1">
        <v>0</v>
      </c>
    </row>
    <row r="206" spans="1:12" s="1" customFormat="1">
      <c r="A206" s="3">
        <v>45231</v>
      </c>
      <c r="B206" s="2" t="s">
        <v>14</v>
      </c>
      <c r="C206" s="2">
        <v>7</v>
      </c>
      <c r="D206" s="2">
        <v>12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</row>
    <row r="207" spans="1:12" s="1" customFormat="1">
      <c r="A207" s="3">
        <v>45232</v>
      </c>
      <c r="B207" s="2" t="s">
        <v>16</v>
      </c>
      <c r="C207" s="2">
        <v>6</v>
      </c>
      <c r="D207" s="2">
        <v>11</v>
      </c>
      <c r="E207" s="1">
        <v>5381.444647997893</v>
      </c>
      <c r="F207" s="1">
        <v>5381.444647997893</v>
      </c>
      <c r="G207" s="1">
        <v>5381.444647997893</v>
      </c>
      <c r="H207" s="1">
        <v>5381.444647997893</v>
      </c>
      <c r="I207" s="1">
        <v>0</v>
      </c>
      <c r="J207" s="1">
        <v>0</v>
      </c>
      <c r="K207" s="1">
        <v>0</v>
      </c>
      <c r="L207" s="1">
        <v>0</v>
      </c>
    </row>
    <row r="208" spans="1:12" s="1" customFormat="1">
      <c r="A208" s="3">
        <v>45233</v>
      </c>
      <c r="B208" s="2" t="s">
        <v>15</v>
      </c>
      <c r="C208" s="2">
        <v>5</v>
      </c>
      <c r="D208" s="2">
        <v>10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1:12" s="1" customFormat="1">
      <c r="A209" s="3">
        <v>45237</v>
      </c>
      <c r="B209" s="2" t="s">
        <v>13</v>
      </c>
      <c r="C209" s="2">
        <v>4</v>
      </c>
      <c r="D209" s="2">
        <v>9</v>
      </c>
      <c r="E209" s="1">
        <v>-50129.81643790309</v>
      </c>
      <c r="F209" s="1">
        <v>-85935.17446667769</v>
      </c>
      <c r="G209" s="1">
        <v>-85935.17446667769</v>
      </c>
      <c r="H209" s="1">
        <v>-85935.17446667769</v>
      </c>
      <c r="I209" s="1">
        <v>0</v>
      </c>
      <c r="J209" s="1">
        <v>0</v>
      </c>
      <c r="K209" s="1">
        <v>0</v>
      </c>
      <c r="L209" s="1">
        <v>0</v>
      </c>
    </row>
    <row r="210" spans="1:12" s="1" customFormat="1">
      <c r="A210" s="3">
        <v>45239</v>
      </c>
      <c r="B210" s="2" t="s">
        <v>16</v>
      </c>
      <c r="C210" s="2">
        <v>3</v>
      </c>
      <c r="D210" s="2">
        <v>8</v>
      </c>
      <c r="E210" s="1">
        <v>142692.2941404461</v>
      </c>
      <c r="F210" s="1">
        <v>142692.2941404461</v>
      </c>
      <c r="G210" s="1">
        <v>142692.2941404461</v>
      </c>
      <c r="H210" s="1">
        <v>142692.2941404461</v>
      </c>
      <c r="I210" s="1">
        <v>0</v>
      </c>
      <c r="J210" s="1">
        <v>0</v>
      </c>
      <c r="K210" s="1">
        <v>0</v>
      </c>
      <c r="L210" s="1">
        <v>0</v>
      </c>
    </row>
    <row r="211" spans="1:12" s="1" customFormat="1">
      <c r="A211" s="3">
        <v>45240</v>
      </c>
      <c r="B211" s="2" t="s">
        <v>15</v>
      </c>
      <c r="C211" s="2">
        <v>2</v>
      </c>
      <c r="D211" s="2">
        <v>7</v>
      </c>
      <c r="E211" s="1">
        <v>115577.2733641586</v>
      </c>
      <c r="F211" s="1">
        <v>115577.2733641586</v>
      </c>
      <c r="G211" s="1">
        <v>115577.2733641586</v>
      </c>
      <c r="H211" s="1">
        <v>115577.2733641586</v>
      </c>
      <c r="I211" s="1">
        <v>0</v>
      </c>
      <c r="J211" s="1">
        <v>0</v>
      </c>
      <c r="K211" s="1">
        <v>0</v>
      </c>
      <c r="L211" s="1">
        <v>0</v>
      </c>
    </row>
    <row r="212" spans="1:12" s="1" customFormat="1">
      <c r="A212" s="3">
        <v>45242</v>
      </c>
      <c r="B212" s="2" t="s">
        <v>17</v>
      </c>
      <c r="C212" s="2">
        <v>1</v>
      </c>
      <c r="D212" s="2">
        <v>6</v>
      </c>
      <c r="E212" s="1">
        <v>46646.02683178534</v>
      </c>
      <c r="F212" s="1">
        <v>46646.02683178534</v>
      </c>
      <c r="G212" s="1">
        <v>46646.02683178534</v>
      </c>
      <c r="H212" s="1">
        <v>46646.02683178534</v>
      </c>
      <c r="I212" s="1">
        <v>42843.07288246881</v>
      </c>
      <c r="J212" s="1">
        <v>42843.07288246881</v>
      </c>
      <c r="K212" s="1">
        <v>42843.07288246881</v>
      </c>
      <c r="L212" s="1">
        <v>42843.07288246881</v>
      </c>
    </row>
    <row r="213" spans="1:12" s="1" customFormat="1">
      <c r="A213" s="3">
        <v>45246</v>
      </c>
      <c r="B213" s="2" t="s">
        <v>16</v>
      </c>
      <c r="C213" s="2">
        <v>17</v>
      </c>
      <c r="D213" s="2">
        <v>5</v>
      </c>
      <c r="E213" s="1">
        <v>0</v>
      </c>
      <c r="F213" s="1">
        <v>0</v>
      </c>
      <c r="G213" s="1">
        <v>0</v>
      </c>
      <c r="H213" s="1">
        <v>0</v>
      </c>
      <c r="I213" s="1">
        <v>-148611.1111111111</v>
      </c>
      <c r="J213" s="1">
        <v>-192365.0568181818</v>
      </c>
      <c r="K213" s="1">
        <v>-192365.0568181818</v>
      </c>
      <c r="L213" s="1">
        <v>-192365.0568181818</v>
      </c>
    </row>
    <row r="214" spans="1:12" s="1" customFormat="1">
      <c r="A214" s="3">
        <v>45247</v>
      </c>
      <c r="B214" s="2" t="s">
        <v>15</v>
      </c>
      <c r="C214" s="2">
        <v>16</v>
      </c>
      <c r="D214" s="2">
        <v>4</v>
      </c>
      <c r="E214" s="1">
        <v>0</v>
      </c>
      <c r="F214" s="1">
        <v>0</v>
      </c>
      <c r="G214" s="1">
        <v>0</v>
      </c>
      <c r="H214" s="1">
        <v>0</v>
      </c>
      <c r="I214" s="1">
        <v>-39952.32708468001</v>
      </c>
      <c r="J214" s="1">
        <v>-48816.25727213961</v>
      </c>
      <c r="K214" s="1">
        <v>-49208.14479638008</v>
      </c>
      <c r="L214" s="1">
        <v>-49208.14479638008</v>
      </c>
    </row>
    <row r="215" spans="1:12" s="1" customFormat="1">
      <c r="A215" s="3">
        <v>45251</v>
      </c>
      <c r="B215" s="2" t="s">
        <v>13</v>
      </c>
      <c r="C215" s="2">
        <v>15</v>
      </c>
      <c r="D215" s="2">
        <v>3</v>
      </c>
      <c r="E215" s="1">
        <v>0</v>
      </c>
      <c r="F215" s="1">
        <v>0</v>
      </c>
      <c r="G215" s="1">
        <v>0</v>
      </c>
      <c r="H215" s="1">
        <v>0</v>
      </c>
      <c r="I215" s="1">
        <v>10114.10788381743</v>
      </c>
      <c r="J215" s="1">
        <v>10114.10788381743</v>
      </c>
      <c r="K215" s="1">
        <v>10114.10788381743</v>
      </c>
      <c r="L215" s="1">
        <v>10114.10788381743</v>
      </c>
    </row>
    <row r="216" spans="1:12" s="1" customFormat="1">
      <c r="A216" s="3">
        <v>45252</v>
      </c>
      <c r="B216" s="2" t="s">
        <v>14</v>
      </c>
      <c r="C216" s="2">
        <v>14</v>
      </c>
      <c r="D216" s="2">
        <v>2</v>
      </c>
      <c r="E216" s="1">
        <v>0</v>
      </c>
      <c r="F216" s="1">
        <v>0</v>
      </c>
      <c r="G216" s="1">
        <v>0</v>
      </c>
      <c r="H216" s="1">
        <v>0</v>
      </c>
      <c r="I216" s="1">
        <v>87154.23669467786</v>
      </c>
      <c r="J216" s="1">
        <v>87154.23669467786</v>
      </c>
      <c r="K216" s="1">
        <v>87154.23669467786</v>
      </c>
      <c r="L216" s="1">
        <v>87154.23669467786</v>
      </c>
    </row>
    <row r="217" spans="1:12" s="1" customFormat="1">
      <c r="A217" s="3">
        <v>45253</v>
      </c>
      <c r="B217" s="2" t="s">
        <v>16</v>
      </c>
      <c r="C217" s="2">
        <v>13</v>
      </c>
      <c r="D217" s="2">
        <v>1</v>
      </c>
      <c r="E217" s="1">
        <v>0</v>
      </c>
      <c r="F217" s="1">
        <v>0</v>
      </c>
      <c r="G217" s="1">
        <v>0</v>
      </c>
      <c r="H217" s="1">
        <v>0</v>
      </c>
      <c r="I217" s="1">
        <v>26197.50086775425</v>
      </c>
      <c r="J217" s="1">
        <v>45209.99652898299</v>
      </c>
      <c r="K217" s="1">
        <v>45209.99652898299</v>
      </c>
      <c r="L217" s="1">
        <v>45209.99652898299</v>
      </c>
    </row>
    <row r="218" spans="1:12" s="1" customFormat="1">
      <c r="A218" s="3">
        <v>45254</v>
      </c>
      <c r="B218" s="2" t="s">
        <v>15</v>
      </c>
      <c r="C218" s="2">
        <v>12</v>
      </c>
      <c r="D218" s="2">
        <v>13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 s="1" customFormat="1">
      <c r="A219" s="3">
        <v>45260</v>
      </c>
      <c r="B219" s="2" t="s">
        <v>16</v>
      </c>
      <c r="C219" s="2">
        <v>11</v>
      </c>
      <c r="D219" s="2">
        <v>12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1:12" s="1" customFormat="1">
      <c r="A220" s="3">
        <v>45261</v>
      </c>
      <c r="B220" s="2" t="s">
        <v>15</v>
      </c>
      <c r="C220" s="2">
        <v>10</v>
      </c>
      <c r="D220" s="2">
        <v>11</v>
      </c>
      <c r="E220" s="1">
        <v>112246.1527650903</v>
      </c>
      <c r="F220" s="1">
        <v>112246.1527650903</v>
      </c>
      <c r="G220" s="1">
        <v>112246.1527650903</v>
      </c>
      <c r="H220" s="1">
        <v>112246.1527650903</v>
      </c>
      <c r="I220" s="1">
        <v>0</v>
      </c>
      <c r="J220" s="1">
        <v>0</v>
      </c>
      <c r="K220" s="1">
        <v>0</v>
      </c>
      <c r="L220" s="1">
        <v>0</v>
      </c>
    </row>
    <row r="221" spans="1:12" s="1" customFormat="1">
      <c r="A221" s="3">
        <v>45264</v>
      </c>
      <c r="B221" s="2" t="s">
        <v>12</v>
      </c>
      <c r="C221" s="2">
        <v>9</v>
      </c>
      <c r="D221" s="2">
        <v>10</v>
      </c>
      <c r="E221" s="1">
        <v>48313.9597653579</v>
      </c>
      <c r="F221" s="1">
        <v>48313.9597653579</v>
      </c>
      <c r="G221" s="1">
        <v>48313.9597653579</v>
      </c>
      <c r="H221" s="1">
        <v>48313.9597653579</v>
      </c>
      <c r="I221" s="1">
        <v>0</v>
      </c>
      <c r="J221" s="1">
        <v>0</v>
      </c>
      <c r="K221" s="1">
        <v>0</v>
      </c>
      <c r="L221" s="1">
        <v>0</v>
      </c>
    </row>
    <row r="222" spans="1:12" s="1" customFormat="1">
      <c r="A222" s="3">
        <v>45265</v>
      </c>
      <c r="B222" s="2" t="s">
        <v>13</v>
      </c>
      <c r="C222" s="2">
        <v>8</v>
      </c>
      <c r="D222" s="2">
        <v>9</v>
      </c>
      <c r="E222" s="1">
        <v>93804.45832123148</v>
      </c>
      <c r="F222" s="1">
        <v>93804.45832123148</v>
      </c>
      <c r="G222" s="1">
        <v>93804.45832123148</v>
      </c>
      <c r="H222" s="1">
        <v>93804.45832123148</v>
      </c>
      <c r="I222" s="1">
        <v>0</v>
      </c>
      <c r="J222" s="1">
        <v>0</v>
      </c>
      <c r="K222" s="1">
        <v>0</v>
      </c>
      <c r="L222" s="1">
        <v>0</v>
      </c>
    </row>
    <row r="223" spans="1:12" s="1" customFormat="1">
      <c r="A223" s="3">
        <v>45266</v>
      </c>
      <c r="B223" s="2" t="s">
        <v>14</v>
      </c>
      <c r="C223" s="2">
        <v>7</v>
      </c>
      <c r="D223" s="2">
        <v>8</v>
      </c>
      <c r="E223" s="1">
        <v>58604.78339019107</v>
      </c>
      <c r="F223" s="1">
        <v>-107658.3764352005</v>
      </c>
      <c r="G223" s="1">
        <v>-85745.20377095483</v>
      </c>
      <c r="H223" s="1">
        <v>-85745.20377095483</v>
      </c>
      <c r="I223" s="1">
        <v>0</v>
      </c>
      <c r="J223" s="1">
        <v>0</v>
      </c>
      <c r="K223" s="1">
        <v>0</v>
      </c>
      <c r="L223" s="1">
        <v>0</v>
      </c>
    </row>
    <row r="224" spans="1:12" s="1" customFormat="1">
      <c r="A224" s="3">
        <v>45267</v>
      </c>
      <c r="B224" s="2" t="s">
        <v>16</v>
      </c>
      <c r="C224" s="2">
        <v>6</v>
      </c>
      <c r="D224" s="2">
        <v>7</v>
      </c>
      <c r="E224" s="1">
        <v>176543.3979510226</v>
      </c>
      <c r="F224" s="1">
        <v>176543.3979510226</v>
      </c>
      <c r="G224" s="1">
        <v>176543.3979510226</v>
      </c>
      <c r="H224" s="1">
        <v>176543.3979510226</v>
      </c>
      <c r="I224" s="1">
        <v>0</v>
      </c>
      <c r="J224" s="1">
        <v>0</v>
      </c>
      <c r="K224" s="1">
        <v>0</v>
      </c>
      <c r="L224" s="1">
        <v>0</v>
      </c>
    </row>
    <row r="225" spans="1:12" s="1" customFormat="1">
      <c r="A225" s="3">
        <v>45268</v>
      </c>
      <c r="B225" s="2" t="s">
        <v>15</v>
      </c>
      <c r="C225" s="2">
        <v>5</v>
      </c>
      <c r="D225" s="2">
        <v>6</v>
      </c>
      <c r="E225" s="1">
        <v>57761.5213035424</v>
      </c>
      <c r="F225" s="1">
        <v>91310.34743487957</v>
      </c>
      <c r="G225" s="1">
        <v>91310.34743487957</v>
      </c>
      <c r="H225" s="1">
        <v>91310.34743487957</v>
      </c>
      <c r="I225" s="1">
        <v>1831.854994215194</v>
      </c>
      <c r="J225" s="1">
        <v>1831.854994215194</v>
      </c>
      <c r="K225" s="1">
        <v>1831.854994215194</v>
      </c>
      <c r="L225" s="1">
        <v>1831.854994215194</v>
      </c>
    </row>
    <row r="226" spans="1:12" s="1" customFormat="1">
      <c r="A226" s="3">
        <v>45271</v>
      </c>
      <c r="B226" s="2" t="s">
        <v>12</v>
      </c>
      <c r="C226" s="2">
        <v>4</v>
      </c>
      <c r="D226" s="2">
        <v>5</v>
      </c>
      <c r="E226" s="1">
        <v>118882.9391640637</v>
      </c>
      <c r="F226" s="1">
        <v>118882.9391640637</v>
      </c>
      <c r="G226" s="1">
        <v>118882.9391640637</v>
      </c>
      <c r="H226" s="1">
        <v>118882.9391640637</v>
      </c>
      <c r="I226" s="1">
        <v>-158903.2061688312</v>
      </c>
      <c r="J226" s="1">
        <v>-158903.2061688312</v>
      </c>
      <c r="K226" s="1">
        <v>-158903.2061688312</v>
      </c>
      <c r="L226" s="1">
        <v>-158903.2061688312</v>
      </c>
    </row>
    <row r="227" spans="1:12" s="1" customFormat="1">
      <c r="A227" s="3">
        <v>45272</v>
      </c>
      <c r="B227" s="2" t="s">
        <v>13</v>
      </c>
      <c r="C227" s="2">
        <v>3</v>
      </c>
      <c r="D227" s="2">
        <v>4</v>
      </c>
      <c r="E227" s="1">
        <v>151972.6816576844</v>
      </c>
      <c r="F227" s="1">
        <v>-53286.56383571829</v>
      </c>
      <c r="G227" s="1">
        <v>-333442.66864895</v>
      </c>
      <c r="H227" s="1">
        <v>-333442.66864895</v>
      </c>
      <c r="I227" s="1">
        <v>-115512.2950819671</v>
      </c>
      <c r="J227" s="1">
        <v>-115512.2950819671</v>
      </c>
      <c r="K227" s="1">
        <v>-115512.2950819671</v>
      </c>
      <c r="L227" s="1">
        <v>-115512.2950819671</v>
      </c>
    </row>
    <row r="228" spans="1:12" s="1" customFormat="1">
      <c r="A228" s="3">
        <v>45273</v>
      </c>
      <c r="B228" s="2" t="s">
        <v>14</v>
      </c>
      <c r="C228" s="2">
        <v>2</v>
      </c>
      <c r="D228" s="2">
        <v>3</v>
      </c>
      <c r="E228" s="1">
        <v>155023.8677378042</v>
      </c>
      <c r="F228" s="1">
        <v>241180.5798113866</v>
      </c>
      <c r="G228" s="1">
        <v>241180.5798113866</v>
      </c>
      <c r="H228" s="1">
        <v>241180.5798113866</v>
      </c>
      <c r="I228" s="1">
        <v>41080.84358523726</v>
      </c>
      <c r="J228" s="1">
        <v>41080.84358523726</v>
      </c>
      <c r="K228" s="1">
        <v>41080.84358523726</v>
      </c>
      <c r="L228" s="1">
        <v>41080.84358523726</v>
      </c>
    </row>
    <row r="229" spans="1:12" s="1" customFormat="1">
      <c r="A229" s="3">
        <v>45274</v>
      </c>
      <c r="B229" s="2" t="s">
        <v>16</v>
      </c>
      <c r="C229" s="2">
        <v>1</v>
      </c>
      <c r="D229" s="2">
        <v>2</v>
      </c>
      <c r="E229" s="1">
        <v>83159.72887067747</v>
      </c>
      <c r="F229" s="1">
        <v>30400.56676751044</v>
      </c>
      <c r="G229" s="1">
        <v>-112443.9934132424</v>
      </c>
      <c r="H229" s="1">
        <v>-194002.9870179604</v>
      </c>
      <c r="I229" s="1">
        <v>83717.59456013599</v>
      </c>
      <c r="J229" s="1">
        <v>83717.59456013599</v>
      </c>
      <c r="K229" s="1">
        <v>83717.59456013599</v>
      </c>
      <c r="L229" s="1">
        <v>83717.59456013599</v>
      </c>
    </row>
    <row r="230" spans="1:12" s="1" customFormat="1">
      <c r="A230" s="3">
        <v>45275</v>
      </c>
      <c r="B230" s="2" t="s">
        <v>15</v>
      </c>
      <c r="C230" s="2">
        <v>5</v>
      </c>
      <c r="D230" s="2">
        <v>1</v>
      </c>
      <c r="E230" s="1">
        <v>-25773.95941342024</v>
      </c>
      <c r="F230" s="1">
        <v>-25773.95941342024</v>
      </c>
      <c r="G230" s="1">
        <v>-25773.95941342024</v>
      </c>
      <c r="H230" s="1">
        <v>-25773.95941342024</v>
      </c>
      <c r="I230" s="1">
        <v>-28565.55692560624</v>
      </c>
      <c r="J230" s="1">
        <v>-28565.55692560624</v>
      </c>
      <c r="K230" s="1">
        <v>-28565.55692560624</v>
      </c>
      <c r="L230" s="1">
        <v>-28565.55692560624</v>
      </c>
    </row>
    <row r="231" spans="1:12" s="1" customFormat="1">
      <c r="A231" s="3">
        <v>45292</v>
      </c>
      <c r="B231" s="2" t="s">
        <v>12</v>
      </c>
      <c r="C231" s="2">
        <v>4</v>
      </c>
      <c r="D231" s="2">
        <v>5</v>
      </c>
      <c r="E231" s="1">
        <v>-9211.502782931355</v>
      </c>
      <c r="F231" s="1">
        <v>-9211.502782931355</v>
      </c>
      <c r="G231" s="1">
        <v>-9211.502782931355</v>
      </c>
      <c r="H231" s="1">
        <v>-9211.502782931355</v>
      </c>
      <c r="I231" s="1">
        <v>-9687.623566627126</v>
      </c>
      <c r="J231" s="1">
        <v>-9687.623566627126</v>
      </c>
      <c r="K231" s="1">
        <v>-9687.623566627126</v>
      </c>
      <c r="L231" s="1">
        <v>-9687.623566627126</v>
      </c>
    </row>
    <row r="232" spans="1:12" s="1" customFormat="1">
      <c r="A232" s="3">
        <v>45293</v>
      </c>
      <c r="B232" s="2" t="s">
        <v>13</v>
      </c>
      <c r="C232" s="2">
        <v>3</v>
      </c>
      <c r="D232" s="2">
        <v>4</v>
      </c>
      <c r="E232" s="1">
        <v>-10521.59261565517</v>
      </c>
      <c r="F232" s="1">
        <v>-307772.6090619391</v>
      </c>
      <c r="G232" s="1">
        <v>-307772.6090619391</v>
      </c>
      <c r="H232" s="1">
        <v>-307772.6090619391</v>
      </c>
      <c r="I232" s="1">
        <v>-9622.641509433963</v>
      </c>
      <c r="J232" s="1">
        <v>-9622.641509433963</v>
      </c>
      <c r="K232" s="1">
        <v>-9622.641509433963</v>
      </c>
      <c r="L232" s="1">
        <v>-9622.641509433963</v>
      </c>
    </row>
    <row r="233" spans="1:12" s="1" customFormat="1">
      <c r="A233" s="3">
        <v>45294</v>
      </c>
      <c r="B233" s="2" t="s">
        <v>14</v>
      </c>
      <c r="C233" s="2">
        <v>2</v>
      </c>
      <c r="D233" s="2">
        <v>3</v>
      </c>
      <c r="E233" s="1">
        <v>33423.03044036558</v>
      </c>
      <c r="F233" s="1">
        <v>-78650.20016617569</v>
      </c>
      <c r="G233" s="1">
        <v>-78650.20016617569</v>
      </c>
      <c r="H233" s="1">
        <v>-78650.20016617569</v>
      </c>
      <c r="I233" s="1">
        <v>-68655.85168018541</v>
      </c>
      <c r="J233" s="1">
        <v>-68655.85168018541</v>
      </c>
      <c r="K233" s="1">
        <v>-68655.85168018541</v>
      </c>
      <c r="L233" s="1">
        <v>-68655.85168018541</v>
      </c>
    </row>
    <row r="234" spans="1:12" s="1" customFormat="1">
      <c r="A234" s="3">
        <v>45308</v>
      </c>
      <c r="B234" s="2" t="s">
        <v>14</v>
      </c>
      <c r="C234" s="2">
        <v>1</v>
      </c>
      <c r="D234" s="2">
        <v>2</v>
      </c>
      <c r="E234" s="1">
        <v>54817.34652291504</v>
      </c>
      <c r="F234" s="1">
        <v>4066.170204883116</v>
      </c>
      <c r="G234" s="1">
        <v>78081.58274980549</v>
      </c>
      <c r="H234" s="1">
        <v>182560.8536178726</v>
      </c>
      <c r="I234" s="1">
        <v>91880.34188034188</v>
      </c>
      <c r="J234" s="1">
        <v>91880.34188034188</v>
      </c>
      <c r="K234" s="1">
        <v>91880.34188034188</v>
      </c>
      <c r="L234" s="1">
        <v>91880.34188034188</v>
      </c>
    </row>
    <row r="235" spans="1:12" s="1" customFormat="1">
      <c r="A235" s="3">
        <v>45309</v>
      </c>
      <c r="B235" s="2" t="s">
        <v>16</v>
      </c>
      <c r="C235" s="2">
        <v>7</v>
      </c>
      <c r="D235" s="2">
        <v>1</v>
      </c>
      <c r="E235" s="1">
        <v>77086.00770218228</v>
      </c>
      <c r="F235" s="1">
        <v>77086.00770218228</v>
      </c>
      <c r="G235" s="1">
        <v>77086.00770218228</v>
      </c>
      <c r="H235" s="1">
        <v>77086.00770218228</v>
      </c>
      <c r="I235" s="1">
        <v>-120422.1681723419</v>
      </c>
      <c r="J235" s="1">
        <v>-120422.1681723419</v>
      </c>
      <c r="K235" s="1">
        <v>-120422.1681723419</v>
      </c>
      <c r="L235" s="1">
        <v>-120422.1681723419</v>
      </c>
    </row>
    <row r="236" spans="1:12" s="1" customFormat="1">
      <c r="A236" s="3">
        <v>45327</v>
      </c>
      <c r="B236" s="2" t="s">
        <v>12</v>
      </c>
      <c r="C236" s="2">
        <v>6</v>
      </c>
      <c r="D236" s="2">
        <v>12</v>
      </c>
      <c r="E236" s="1">
        <v>77393.90140481546</v>
      </c>
      <c r="F236" s="1">
        <v>77393.90140481546</v>
      </c>
      <c r="G236" s="1">
        <v>77393.90140481546</v>
      </c>
      <c r="H236" s="1">
        <v>77393.90140481546</v>
      </c>
      <c r="I236" s="1">
        <v>0</v>
      </c>
      <c r="J236" s="1">
        <v>0</v>
      </c>
      <c r="K236" s="1">
        <v>0</v>
      </c>
      <c r="L236" s="1">
        <v>0</v>
      </c>
    </row>
    <row r="237" spans="1:12" s="1" customFormat="1">
      <c r="A237" s="3">
        <v>45328</v>
      </c>
      <c r="B237" s="2" t="s">
        <v>13</v>
      </c>
      <c r="C237" s="2">
        <v>5</v>
      </c>
      <c r="D237" s="2">
        <v>11</v>
      </c>
      <c r="E237" s="1">
        <v>111349.3896403827</v>
      </c>
      <c r="F237" s="1">
        <v>111349.3896403827</v>
      </c>
      <c r="G237" s="1">
        <v>111349.3896403827</v>
      </c>
      <c r="H237" s="1">
        <v>111349.3896403827</v>
      </c>
      <c r="I237" s="1">
        <v>0</v>
      </c>
      <c r="J237" s="1">
        <v>0</v>
      </c>
      <c r="K237" s="1">
        <v>0</v>
      </c>
      <c r="L237" s="1">
        <v>0</v>
      </c>
    </row>
    <row r="238" spans="1:12" s="1" customFormat="1">
      <c r="A238" s="3">
        <v>45329</v>
      </c>
      <c r="B238" s="2" t="s">
        <v>14</v>
      </c>
      <c r="C238" s="2">
        <v>4</v>
      </c>
      <c r="D238" s="2">
        <v>10</v>
      </c>
      <c r="E238" s="1">
        <v>82678.66884888161</v>
      </c>
      <c r="F238" s="1">
        <v>82678.66884888161</v>
      </c>
      <c r="G238" s="1">
        <v>82678.66884888161</v>
      </c>
      <c r="H238" s="1">
        <v>82678.66884888161</v>
      </c>
      <c r="I238" s="1">
        <v>0</v>
      </c>
      <c r="J238" s="1">
        <v>0</v>
      </c>
      <c r="K238" s="1">
        <v>0</v>
      </c>
      <c r="L238" s="1">
        <v>0</v>
      </c>
    </row>
    <row r="239" spans="1:12" s="1" customFormat="1">
      <c r="A239" s="3">
        <v>45334</v>
      </c>
      <c r="B239" s="2" t="s">
        <v>12</v>
      </c>
      <c r="C239" s="2">
        <v>3</v>
      </c>
      <c r="D239" s="2">
        <v>9</v>
      </c>
      <c r="E239" s="1">
        <v>-14294.47852760737</v>
      </c>
      <c r="F239" s="1">
        <v>71507.44960560912</v>
      </c>
      <c r="G239" s="1">
        <v>71507.44960560912</v>
      </c>
      <c r="H239" s="1">
        <v>71507.44960560912</v>
      </c>
      <c r="I239" s="1">
        <v>0</v>
      </c>
      <c r="J239" s="1">
        <v>0</v>
      </c>
      <c r="K239" s="1">
        <v>0</v>
      </c>
      <c r="L239" s="1">
        <v>0</v>
      </c>
    </row>
    <row r="240" spans="1:12" s="1" customFormat="1">
      <c r="A240" s="3">
        <v>45335</v>
      </c>
      <c r="B240" s="2" t="s">
        <v>13</v>
      </c>
      <c r="C240" s="2">
        <v>2</v>
      </c>
      <c r="D240" s="2">
        <v>8</v>
      </c>
      <c r="E240" s="1">
        <v>119323.8557558946</v>
      </c>
      <c r="F240" s="1">
        <v>89069.00138696254</v>
      </c>
      <c r="G240" s="1">
        <v>89069.00138696254</v>
      </c>
      <c r="H240" s="1">
        <v>89069.00138696254</v>
      </c>
      <c r="I240" s="1">
        <v>0</v>
      </c>
      <c r="J240" s="1">
        <v>0</v>
      </c>
      <c r="K240" s="1">
        <v>0</v>
      </c>
      <c r="L240" s="1">
        <v>0</v>
      </c>
    </row>
    <row r="241" spans="1:12" s="1" customFormat="1">
      <c r="A241" s="3">
        <v>45336</v>
      </c>
      <c r="B241" s="2" t="s">
        <v>14</v>
      </c>
      <c r="C241" s="2">
        <v>1</v>
      </c>
      <c r="D241" s="2">
        <v>7</v>
      </c>
      <c r="E241" s="1">
        <v>-89214.32251416794</v>
      </c>
      <c r="F241" s="1">
        <v>-55896.44513137559</v>
      </c>
      <c r="G241" s="1">
        <v>-8157.307229950207</v>
      </c>
      <c r="H241" s="1">
        <v>-5753.048256912256</v>
      </c>
      <c r="I241" s="1">
        <v>0</v>
      </c>
      <c r="J241" s="1">
        <v>0</v>
      </c>
      <c r="K241" s="1">
        <v>0</v>
      </c>
      <c r="L241" s="1">
        <v>0</v>
      </c>
    </row>
    <row r="242" spans="1:12" s="1" customFormat="1">
      <c r="A242" s="3">
        <v>45337</v>
      </c>
      <c r="B242" s="2" t="s">
        <v>16</v>
      </c>
      <c r="C242" s="2">
        <v>22</v>
      </c>
      <c r="D242" s="2">
        <v>6</v>
      </c>
      <c r="E242" s="1">
        <v>0</v>
      </c>
      <c r="F242" s="1">
        <v>0</v>
      </c>
      <c r="G242" s="1">
        <v>0</v>
      </c>
      <c r="H242" s="1">
        <v>0</v>
      </c>
      <c r="I242" s="1">
        <v>105801.1049723757</v>
      </c>
      <c r="J242" s="1">
        <v>105801.1049723757</v>
      </c>
      <c r="K242" s="1">
        <v>105801.1049723757</v>
      </c>
      <c r="L242" s="1">
        <v>105801.1049723757</v>
      </c>
    </row>
    <row r="243" spans="1:12" s="1" customFormat="1">
      <c r="A243" s="3">
        <v>45338</v>
      </c>
      <c r="B243" s="2" t="s">
        <v>15</v>
      </c>
      <c r="C243" s="2">
        <v>21</v>
      </c>
      <c r="D243" s="2">
        <v>5</v>
      </c>
      <c r="E243" s="1">
        <v>0</v>
      </c>
      <c r="F243" s="1">
        <v>0</v>
      </c>
      <c r="G243" s="1">
        <v>0</v>
      </c>
      <c r="H243" s="1">
        <v>0</v>
      </c>
      <c r="I243" s="1">
        <v>92876.00994406462</v>
      </c>
      <c r="J243" s="1">
        <v>92876.00994406462</v>
      </c>
      <c r="K243" s="1">
        <v>92876.00994406462</v>
      </c>
      <c r="L243" s="1">
        <v>92876.00994406462</v>
      </c>
    </row>
    <row r="244" spans="1:12" s="1" customFormat="1">
      <c r="A244" s="3">
        <v>45341</v>
      </c>
      <c r="B244" s="2" t="s">
        <v>12</v>
      </c>
      <c r="C244" s="2">
        <v>20</v>
      </c>
      <c r="D244" s="2">
        <v>4</v>
      </c>
      <c r="E244" s="1">
        <v>0</v>
      </c>
      <c r="F244" s="1">
        <v>0</v>
      </c>
      <c r="G244" s="1">
        <v>0</v>
      </c>
      <c r="H244" s="1">
        <v>0</v>
      </c>
      <c r="I244" s="1">
        <v>74710.7969151671</v>
      </c>
      <c r="J244" s="1">
        <v>74710.7969151671</v>
      </c>
      <c r="K244" s="1">
        <v>74710.7969151671</v>
      </c>
      <c r="L244" s="1">
        <v>74710.7969151671</v>
      </c>
    </row>
    <row r="245" spans="1:12" s="1" customFormat="1">
      <c r="A245" s="3">
        <v>45342</v>
      </c>
      <c r="B245" s="2" t="s">
        <v>13</v>
      </c>
      <c r="C245" s="2">
        <v>19</v>
      </c>
      <c r="D245" s="2">
        <v>3</v>
      </c>
      <c r="E245" s="1">
        <v>0</v>
      </c>
      <c r="F245" s="1">
        <v>0</v>
      </c>
      <c r="G245" s="1">
        <v>0</v>
      </c>
      <c r="H245" s="1">
        <v>0</v>
      </c>
      <c r="I245" s="1">
        <v>45934.69910371319</v>
      </c>
      <c r="J245" s="1">
        <v>45934.69910371319</v>
      </c>
      <c r="K245" s="1">
        <v>45934.69910371319</v>
      </c>
      <c r="L245" s="1">
        <v>45934.69910371319</v>
      </c>
    </row>
    <row r="246" spans="1:12" s="1" customFormat="1">
      <c r="A246" s="3">
        <v>45343</v>
      </c>
      <c r="B246" s="2" t="s">
        <v>14</v>
      </c>
      <c r="C246" s="2">
        <v>0</v>
      </c>
      <c r="D246" s="2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 s="1" customFormat="1">
      <c r="A247" s="3">
        <v>45344</v>
      </c>
      <c r="B247" s="2" t="s">
        <v>16</v>
      </c>
      <c r="C247" s="2">
        <v>17</v>
      </c>
      <c r="D247" s="2">
        <v>1</v>
      </c>
      <c r="E247" s="1">
        <v>0</v>
      </c>
      <c r="F247" s="1">
        <v>0</v>
      </c>
      <c r="G247" s="1">
        <v>0</v>
      </c>
      <c r="H247" s="1">
        <v>0</v>
      </c>
      <c r="I247" s="1">
        <v>-86111.11111111109</v>
      </c>
      <c r="J247" s="1">
        <v>-104629.6296296296</v>
      </c>
      <c r="K247" s="1">
        <v>71324.78632478631</v>
      </c>
      <c r="L247" s="1">
        <v>71324.78632478631</v>
      </c>
    </row>
    <row r="248" spans="1:12" s="1" customFormat="1">
      <c r="A248" s="3">
        <v>45345</v>
      </c>
      <c r="B248" s="2" t="s">
        <v>15</v>
      </c>
      <c r="C248" s="2">
        <v>16</v>
      </c>
      <c r="D248" s="2">
        <v>20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</row>
    <row r="249" spans="1:12" s="1" customFormat="1">
      <c r="A249" s="3">
        <v>45348</v>
      </c>
      <c r="B249" s="2" t="s">
        <v>12</v>
      </c>
      <c r="C249" s="2">
        <v>15</v>
      </c>
      <c r="D249" s="2">
        <v>19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 s="1" customFormat="1">
      <c r="A250" s="3">
        <v>45349</v>
      </c>
      <c r="B250" s="2" t="s">
        <v>13</v>
      </c>
      <c r="C250" s="2">
        <v>14</v>
      </c>
      <c r="D250" s="2">
        <v>18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</row>
    <row r="251" spans="1:12" s="1" customFormat="1">
      <c r="A251" s="3">
        <v>45350</v>
      </c>
      <c r="B251" s="2" t="s">
        <v>14</v>
      </c>
      <c r="C251" s="2">
        <v>13</v>
      </c>
      <c r="D251" s="2">
        <v>17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1:12" s="1" customFormat="1">
      <c r="A252" s="3">
        <v>45351</v>
      </c>
      <c r="B252" s="2" t="s">
        <v>16</v>
      </c>
      <c r="C252" s="2">
        <v>12</v>
      </c>
      <c r="D252" s="2">
        <v>16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 s="1" customFormat="1">
      <c r="A253" s="3">
        <v>45352</v>
      </c>
      <c r="B253" s="2" t="s">
        <v>15</v>
      </c>
      <c r="C253" s="2">
        <v>11</v>
      </c>
      <c r="D253" s="2">
        <v>15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 s="1" customFormat="1">
      <c r="A254" s="3">
        <v>45355</v>
      </c>
      <c r="B254" s="2" t="s">
        <v>12</v>
      </c>
      <c r="C254" s="2">
        <v>10</v>
      </c>
      <c r="D254" s="2">
        <v>14</v>
      </c>
      <c r="E254" s="1">
        <v>34659.35760745659</v>
      </c>
      <c r="F254" s="1">
        <v>34659.35760745659</v>
      </c>
      <c r="G254" s="1">
        <v>34659.35760745659</v>
      </c>
      <c r="H254" s="1">
        <v>34659.35760745659</v>
      </c>
      <c r="I254" s="1">
        <v>0</v>
      </c>
      <c r="J254" s="1">
        <v>0</v>
      </c>
      <c r="K254" s="1">
        <v>0</v>
      </c>
      <c r="L254" s="1">
        <v>0</v>
      </c>
    </row>
    <row r="255" spans="1:12" s="1" customFormat="1">
      <c r="A255" s="3">
        <v>45356</v>
      </c>
      <c r="B255" s="2" t="s">
        <v>13</v>
      </c>
      <c r="C255" s="2">
        <v>9</v>
      </c>
      <c r="D255" s="2">
        <v>13</v>
      </c>
      <c r="E255" s="1">
        <v>59624.96587496588</v>
      </c>
      <c r="F255" s="1">
        <v>59624.96587496588</v>
      </c>
      <c r="G255" s="1">
        <v>59624.96587496588</v>
      </c>
      <c r="H255" s="1">
        <v>59624.96587496588</v>
      </c>
      <c r="I255" s="1">
        <v>0</v>
      </c>
      <c r="J255" s="1">
        <v>0</v>
      </c>
      <c r="K255" s="1">
        <v>0</v>
      </c>
      <c r="L255" s="1">
        <v>0</v>
      </c>
    </row>
    <row r="256" spans="1:12" s="1" customFormat="1">
      <c r="A256" s="3">
        <v>45357</v>
      </c>
      <c r="B256" s="2" t="s">
        <v>14</v>
      </c>
      <c r="C256" s="2">
        <v>8</v>
      </c>
      <c r="D256" s="2">
        <v>12</v>
      </c>
      <c r="E256" s="1">
        <v>-60604.45205479456</v>
      </c>
      <c r="F256" s="1">
        <v>-4845.890410958919</v>
      </c>
      <c r="G256" s="1">
        <v>-4845.890410958919</v>
      </c>
      <c r="H256" s="1">
        <v>-4845.890410958919</v>
      </c>
      <c r="I256" s="1">
        <v>0</v>
      </c>
      <c r="J256" s="1">
        <v>0</v>
      </c>
      <c r="K256" s="1">
        <v>0</v>
      </c>
      <c r="L256" s="1">
        <v>0</v>
      </c>
    </row>
    <row r="257" spans="1:12" s="1" customFormat="1">
      <c r="A257" s="3">
        <v>45358</v>
      </c>
      <c r="B257" s="2" t="s">
        <v>16</v>
      </c>
      <c r="C257" s="2">
        <v>7</v>
      </c>
      <c r="D257" s="2">
        <v>11</v>
      </c>
      <c r="E257" s="1">
        <v>49243.19554741058</v>
      </c>
      <c r="F257" s="1">
        <v>49243.19554741058</v>
      </c>
      <c r="G257" s="1">
        <v>49243.19554741058</v>
      </c>
      <c r="H257" s="1">
        <v>49243.19554741058</v>
      </c>
      <c r="I257" s="1">
        <v>0</v>
      </c>
      <c r="J257" s="1">
        <v>0</v>
      </c>
      <c r="K257" s="1">
        <v>0</v>
      </c>
      <c r="L257" s="1">
        <v>0</v>
      </c>
    </row>
    <row r="258" spans="1:12" s="1" customFormat="1">
      <c r="A258" s="3">
        <v>45359</v>
      </c>
      <c r="B258" s="2" t="s">
        <v>15</v>
      </c>
      <c r="C258" s="2">
        <v>6</v>
      </c>
      <c r="D258" s="2">
        <v>10</v>
      </c>
      <c r="E258" s="1">
        <v>-58485.92511615199</v>
      </c>
      <c r="F258" s="1">
        <v>23162.06613828914</v>
      </c>
      <c r="G258" s="1">
        <v>23162.06613828914</v>
      </c>
      <c r="H258" s="1">
        <v>23162.06613828914</v>
      </c>
      <c r="I258" s="1">
        <v>0</v>
      </c>
      <c r="J258" s="1">
        <v>0</v>
      </c>
      <c r="K258" s="1">
        <v>0</v>
      </c>
      <c r="L258" s="1">
        <v>0</v>
      </c>
    </row>
    <row r="259" spans="1:12" s="1" customFormat="1">
      <c r="A259" s="3">
        <v>45362</v>
      </c>
      <c r="B259" s="2" t="s">
        <v>12</v>
      </c>
      <c r="C259" s="2">
        <v>5</v>
      </c>
      <c r="D259" s="2">
        <v>9</v>
      </c>
      <c r="E259" s="1">
        <v>-48136.29127154428</v>
      </c>
      <c r="F259" s="1">
        <v>106648.4391223091</v>
      </c>
      <c r="G259" s="1">
        <v>106648.4391223091</v>
      </c>
      <c r="H259" s="1">
        <v>106648.4391223091</v>
      </c>
      <c r="I259" s="1">
        <v>0</v>
      </c>
      <c r="J259" s="1">
        <v>0</v>
      </c>
      <c r="K259" s="1">
        <v>0</v>
      </c>
      <c r="L259" s="1">
        <v>0</v>
      </c>
    </row>
    <row r="260" spans="1:12" s="1" customFormat="1">
      <c r="A260" s="3">
        <v>45363</v>
      </c>
      <c r="B260" s="2" t="s">
        <v>13</v>
      </c>
      <c r="C260" s="2">
        <v>4</v>
      </c>
      <c r="D260" s="2">
        <v>8</v>
      </c>
      <c r="E260" s="1">
        <v>16442.4565628763</v>
      </c>
      <c r="F260" s="1">
        <v>119826.2515052469</v>
      </c>
      <c r="G260" s="1">
        <v>119826.2515052469</v>
      </c>
      <c r="H260" s="1">
        <v>119826.2515052469</v>
      </c>
      <c r="I260" s="1">
        <v>0</v>
      </c>
      <c r="J260" s="1">
        <v>0</v>
      </c>
      <c r="K260" s="1">
        <v>0</v>
      </c>
      <c r="L260" s="1">
        <v>0</v>
      </c>
    </row>
    <row r="261" spans="1:12" s="1" customFormat="1">
      <c r="A261" s="3">
        <v>45364</v>
      </c>
      <c r="B261" s="2" t="s">
        <v>14</v>
      </c>
      <c r="C261" s="2">
        <v>3</v>
      </c>
      <c r="D261" s="2">
        <v>7</v>
      </c>
      <c r="E261" s="1">
        <v>4002.888682554427</v>
      </c>
      <c r="F261" s="1">
        <v>40192.2349461811</v>
      </c>
      <c r="G261" s="1">
        <v>40192.2349461811</v>
      </c>
      <c r="H261" s="1">
        <v>40192.2349461811</v>
      </c>
      <c r="I261" s="1">
        <v>0</v>
      </c>
      <c r="J261" s="1">
        <v>0</v>
      </c>
      <c r="K261" s="1">
        <v>0</v>
      </c>
      <c r="L261" s="1">
        <v>0</v>
      </c>
    </row>
    <row r="262" spans="1:12" s="1" customFormat="1">
      <c r="A262" s="3">
        <v>45365</v>
      </c>
      <c r="B262" s="2" t="s">
        <v>16</v>
      </c>
      <c r="C262" s="2">
        <v>2</v>
      </c>
      <c r="D262" s="2">
        <v>6</v>
      </c>
      <c r="E262" s="1">
        <v>95361.95286195287</v>
      </c>
      <c r="F262" s="1">
        <v>-87550.50505050506</v>
      </c>
      <c r="G262" s="1">
        <v>15319.86531986533</v>
      </c>
      <c r="H262" s="1">
        <v>15319.86531986533</v>
      </c>
      <c r="I262" s="1">
        <v>55305.75539568345</v>
      </c>
      <c r="J262" s="1">
        <v>55305.75539568345</v>
      </c>
      <c r="K262" s="1">
        <v>55305.75539568345</v>
      </c>
      <c r="L262" s="1">
        <v>55305.75539568345</v>
      </c>
    </row>
    <row r="263" spans="1:12" s="1" customFormat="1">
      <c r="A263" s="3">
        <v>45366</v>
      </c>
      <c r="B263" s="2" t="s">
        <v>15</v>
      </c>
      <c r="C263" s="2">
        <v>1</v>
      </c>
      <c r="D263" s="2">
        <v>5</v>
      </c>
      <c r="E263" s="1">
        <v>-17334.44583966691</v>
      </c>
      <c r="F263" s="1">
        <v>192583.9336461569</v>
      </c>
      <c r="G263" s="1">
        <v>245203.5556143018</v>
      </c>
      <c r="H263" s="1">
        <v>245203.5556143018</v>
      </c>
      <c r="I263" s="1">
        <v>29984.26773455379</v>
      </c>
      <c r="J263" s="1">
        <v>-50107.26544622424</v>
      </c>
      <c r="K263" s="1">
        <v>-112457.0938215104</v>
      </c>
      <c r="L263" s="1">
        <v>-112457.0938215104</v>
      </c>
    </row>
    <row r="264" spans="1:12" s="1" customFormat="1">
      <c r="A264" s="3">
        <v>45369</v>
      </c>
      <c r="B264" s="2" t="s">
        <v>12</v>
      </c>
      <c r="C264" s="2">
        <v>21</v>
      </c>
      <c r="D264" s="2">
        <v>4</v>
      </c>
      <c r="E264" s="1">
        <v>0</v>
      </c>
      <c r="F264" s="1">
        <v>0</v>
      </c>
      <c r="G264" s="1">
        <v>0</v>
      </c>
      <c r="H264" s="1">
        <v>0</v>
      </c>
      <c r="I264" s="1">
        <v>31304.34782608696</v>
      </c>
      <c r="J264" s="1">
        <v>31304.34782608696</v>
      </c>
      <c r="K264" s="1">
        <v>31304.34782608696</v>
      </c>
      <c r="L264" s="1">
        <v>31304.34782608696</v>
      </c>
    </row>
    <row r="265" spans="1:12" s="1" customFormat="1">
      <c r="A265" s="3">
        <v>45370</v>
      </c>
      <c r="B265" s="2" t="s">
        <v>13</v>
      </c>
      <c r="C265" s="2">
        <v>20</v>
      </c>
      <c r="D265" s="2">
        <v>3</v>
      </c>
      <c r="E265" s="1">
        <v>0</v>
      </c>
      <c r="F265" s="1">
        <v>0</v>
      </c>
      <c r="G265" s="1">
        <v>0</v>
      </c>
      <c r="H265" s="1">
        <v>0</v>
      </c>
      <c r="I265" s="1">
        <v>87864.2191142191</v>
      </c>
      <c r="J265" s="1">
        <v>87864.2191142191</v>
      </c>
      <c r="K265" s="1">
        <v>87864.2191142191</v>
      </c>
      <c r="L265" s="1">
        <v>87864.2191142191</v>
      </c>
    </row>
    <row r="266" spans="1:12" s="1" customFormat="1">
      <c r="A266" s="3">
        <v>45371</v>
      </c>
      <c r="B266" s="2" t="s">
        <v>14</v>
      </c>
      <c r="C266" s="2">
        <v>19</v>
      </c>
      <c r="D266" s="2">
        <v>2</v>
      </c>
      <c r="E266" s="1">
        <v>0</v>
      </c>
      <c r="F266" s="1">
        <v>0</v>
      </c>
      <c r="G266" s="1">
        <v>0</v>
      </c>
      <c r="H266" s="1">
        <v>0</v>
      </c>
      <c r="I266" s="1">
        <v>48340.96109839818</v>
      </c>
      <c r="J266" s="1">
        <v>48340.96109839818</v>
      </c>
      <c r="K266" s="1">
        <v>48340.96109839818</v>
      </c>
      <c r="L266" s="1">
        <v>48340.96109839818</v>
      </c>
    </row>
    <row r="267" spans="1:12" s="1" customFormat="1">
      <c r="A267" s="3">
        <v>45372</v>
      </c>
      <c r="B267" s="2" t="s">
        <v>16</v>
      </c>
      <c r="C267" s="2">
        <v>18</v>
      </c>
      <c r="D267" s="2">
        <v>1</v>
      </c>
      <c r="E267" s="1">
        <v>0</v>
      </c>
      <c r="F267" s="1">
        <v>0</v>
      </c>
      <c r="G267" s="1">
        <v>0</v>
      </c>
      <c r="H267" s="1">
        <v>0</v>
      </c>
      <c r="I267" s="1">
        <v>100403.2258064516</v>
      </c>
      <c r="J267" s="1">
        <v>100403.2258064516</v>
      </c>
      <c r="K267" s="1">
        <v>100403.2258064516</v>
      </c>
      <c r="L267" s="1">
        <v>100403.2258064516</v>
      </c>
    </row>
    <row r="268" spans="1:12" s="1" customFormat="1">
      <c r="A268" s="3">
        <v>45373</v>
      </c>
      <c r="B268" s="2" t="s">
        <v>15</v>
      </c>
      <c r="C268" s="2">
        <v>17</v>
      </c>
      <c r="D268" s="2">
        <v>21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</row>
    <row r="269" spans="1:12" s="1" customFormat="1">
      <c r="A269" s="3">
        <v>45376</v>
      </c>
      <c r="B269" s="2" t="s">
        <v>12</v>
      </c>
      <c r="C269" s="2">
        <v>16</v>
      </c>
      <c r="D269" s="2">
        <v>20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1:12" s="1" customFormat="1">
      <c r="A270" s="3">
        <v>45377</v>
      </c>
      <c r="B270" s="2" t="s">
        <v>13</v>
      </c>
      <c r="C270" s="2">
        <v>15</v>
      </c>
      <c r="D270" s="2">
        <v>19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</row>
    <row r="271" spans="1:12" s="1" customFormat="1">
      <c r="A271" s="3">
        <v>45378</v>
      </c>
      <c r="B271" s="2" t="s">
        <v>14</v>
      </c>
      <c r="C271" s="2">
        <v>14</v>
      </c>
      <c r="D271" s="2">
        <v>18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1:12" s="1" customFormat="1">
      <c r="A272" s="3">
        <v>45379</v>
      </c>
      <c r="B272" s="2" t="s">
        <v>16</v>
      </c>
      <c r="C272" s="2">
        <v>13</v>
      </c>
      <c r="D272" s="2">
        <v>17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 s="1" customFormat="1">
      <c r="A273" s="3">
        <v>45383</v>
      </c>
      <c r="B273" s="2" t="s">
        <v>12</v>
      </c>
      <c r="C273" s="2">
        <v>12</v>
      </c>
      <c r="D273" s="2">
        <v>16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1:12" s="1" customFormat="1">
      <c r="A274" s="3">
        <v>45384</v>
      </c>
      <c r="B274" s="2" t="s">
        <v>13</v>
      </c>
      <c r="C274" s="2">
        <v>11</v>
      </c>
      <c r="D274" s="2">
        <v>15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 s="1" customFormat="1">
      <c r="A275" s="3">
        <v>45385</v>
      </c>
      <c r="B275" s="2" t="s">
        <v>14</v>
      </c>
      <c r="C275" s="2">
        <v>10</v>
      </c>
      <c r="D275" s="2">
        <v>14</v>
      </c>
      <c r="E275" s="1">
        <v>101580.5946791862</v>
      </c>
      <c r="F275" s="1">
        <v>101580.5946791862</v>
      </c>
      <c r="G275" s="1">
        <v>101580.5946791862</v>
      </c>
      <c r="H275" s="1">
        <v>101580.5946791862</v>
      </c>
      <c r="I275" s="1">
        <v>0</v>
      </c>
      <c r="J275" s="1">
        <v>0</v>
      </c>
      <c r="K275" s="1">
        <v>0</v>
      </c>
      <c r="L275" s="1">
        <v>0</v>
      </c>
    </row>
    <row r="276" spans="1:12" s="1" customFormat="1">
      <c r="A276" s="3">
        <v>45386</v>
      </c>
      <c r="B276" s="2" t="s">
        <v>16</v>
      </c>
      <c r="C276" s="2">
        <v>9</v>
      </c>
      <c r="D276" s="2">
        <v>13</v>
      </c>
      <c r="E276" s="1">
        <v>9069.167934900768</v>
      </c>
      <c r="F276" s="1">
        <v>9069.167934900768</v>
      </c>
      <c r="G276" s="1">
        <v>9069.167934900768</v>
      </c>
      <c r="H276" s="1">
        <v>9069.167934900768</v>
      </c>
      <c r="I276" s="1">
        <v>0</v>
      </c>
      <c r="J276" s="1">
        <v>0</v>
      </c>
      <c r="K276" s="1">
        <v>0</v>
      </c>
      <c r="L276" s="1">
        <v>0</v>
      </c>
    </row>
    <row r="277" spans="1:12" s="1" customFormat="1">
      <c r="A277" s="3">
        <v>45387</v>
      </c>
      <c r="B277" s="2" t="s">
        <v>15</v>
      </c>
      <c r="C277" s="2">
        <v>8</v>
      </c>
      <c r="D277" s="2">
        <v>12</v>
      </c>
      <c r="E277" s="1">
        <v>-4033.001474926251</v>
      </c>
      <c r="F277" s="1">
        <v>-4033.001474926251</v>
      </c>
      <c r="G277" s="1">
        <v>-4033.001474926251</v>
      </c>
      <c r="H277" s="1">
        <v>-4033.001474926251</v>
      </c>
      <c r="I277" s="1">
        <v>0</v>
      </c>
      <c r="J277" s="1">
        <v>0</v>
      </c>
      <c r="K277" s="1">
        <v>0</v>
      </c>
      <c r="L277" s="1">
        <v>0</v>
      </c>
    </row>
    <row r="278" spans="1:12" s="1" customFormat="1">
      <c r="A278" s="3">
        <v>45390</v>
      </c>
      <c r="B278" s="2" t="s">
        <v>12</v>
      </c>
      <c r="C278" s="2">
        <v>7</v>
      </c>
      <c r="D278" s="2">
        <v>11</v>
      </c>
      <c r="E278" s="1">
        <v>41260.24494375019</v>
      </c>
      <c r="F278" s="1">
        <v>41260.24494375019</v>
      </c>
      <c r="G278" s="1">
        <v>41260.24494375019</v>
      </c>
      <c r="H278" s="1">
        <v>41260.24494375019</v>
      </c>
      <c r="I278" s="1">
        <v>0</v>
      </c>
      <c r="J278" s="1">
        <v>0</v>
      </c>
      <c r="K278" s="1">
        <v>0</v>
      </c>
      <c r="L278" s="1">
        <v>0</v>
      </c>
    </row>
    <row r="279" spans="1:12" s="1" customFormat="1">
      <c r="A279" s="3">
        <v>45391</v>
      </c>
      <c r="B279" s="2" t="s">
        <v>13</v>
      </c>
      <c r="C279" s="2">
        <v>6</v>
      </c>
      <c r="D279" s="2">
        <v>10</v>
      </c>
      <c r="E279" s="1">
        <v>-20991.8310727497</v>
      </c>
      <c r="F279" s="1">
        <v>-15359.1245376079</v>
      </c>
      <c r="G279" s="1">
        <v>-15359.1245376079</v>
      </c>
      <c r="H279" s="1">
        <v>-15359.1245376079</v>
      </c>
      <c r="I279" s="1">
        <v>0</v>
      </c>
      <c r="J279" s="1">
        <v>0</v>
      </c>
      <c r="K279" s="1">
        <v>0</v>
      </c>
      <c r="L279" s="1">
        <v>0</v>
      </c>
    </row>
    <row r="280" spans="1:12" s="1" customFormat="1">
      <c r="A280" s="3">
        <v>45392</v>
      </c>
      <c r="B280" s="2" t="s">
        <v>14</v>
      </c>
      <c r="C280" s="2">
        <v>5</v>
      </c>
      <c r="D280" s="2">
        <v>9</v>
      </c>
      <c r="E280" s="1">
        <v>7006.130364068566</v>
      </c>
      <c r="F280" s="1">
        <v>7006.130364068566</v>
      </c>
      <c r="G280" s="1">
        <v>7006.130364068566</v>
      </c>
      <c r="H280" s="1">
        <v>7006.130364068566</v>
      </c>
      <c r="I280" s="1">
        <v>0</v>
      </c>
      <c r="J280" s="1">
        <v>0</v>
      </c>
      <c r="K280" s="1">
        <v>0</v>
      </c>
      <c r="L280" s="1">
        <v>0</v>
      </c>
    </row>
    <row r="281" spans="1:12" s="1" customFormat="1">
      <c r="A281" s="3">
        <v>45394</v>
      </c>
      <c r="B281" s="2" t="s">
        <v>15</v>
      </c>
      <c r="C281" s="2">
        <v>4</v>
      </c>
      <c r="D281" s="2">
        <v>8</v>
      </c>
      <c r="E281" s="1">
        <v>-232996.297794232</v>
      </c>
      <c r="F281" s="1">
        <v>-321584.7929564758</v>
      </c>
      <c r="G281" s="1">
        <v>-316144.2615810596</v>
      </c>
      <c r="H281" s="1">
        <v>-316144.2615810596</v>
      </c>
      <c r="I281" s="1">
        <v>0</v>
      </c>
      <c r="J281" s="1">
        <v>0</v>
      </c>
      <c r="K281" s="1">
        <v>0</v>
      </c>
      <c r="L281" s="1">
        <v>0</v>
      </c>
    </row>
    <row r="282" spans="1:12" s="1" customFormat="1">
      <c r="A282" s="3">
        <v>45397</v>
      </c>
      <c r="B282" s="2" t="s">
        <v>12</v>
      </c>
      <c r="C282" s="2">
        <v>3</v>
      </c>
      <c r="D282" s="2">
        <v>7</v>
      </c>
      <c r="E282" s="1">
        <v>-30459.66258147005</v>
      </c>
      <c r="F282" s="1">
        <v>29251.25518445754</v>
      </c>
      <c r="G282" s="1">
        <v>29251.25518445754</v>
      </c>
      <c r="H282" s="1">
        <v>29251.25518445754</v>
      </c>
      <c r="I282" s="1">
        <v>0</v>
      </c>
      <c r="J282" s="1">
        <v>0</v>
      </c>
      <c r="K282" s="1">
        <v>0</v>
      </c>
      <c r="L282" s="1">
        <v>0</v>
      </c>
    </row>
    <row r="283" spans="1:12" s="1" customFormat="1">
      <c r="A283" s="3">
        <v>45398</v>
      </c>
      <c r="B283" s="2" t="s">
        <v>13</v>
      </c>
      <c r="C283" s="2">
        <v>2</v>
      </c>
      <c r="D283" s="2">
        <v>6</v>
      </c>
      <c r="E283" s="1">
        <v>181588.9614206602</v>
      </c>
      <c r="F283" s="1">
        <v>181588.9614206602</v>
      </c>
      <c r="G283" s="1">
        <v>181588.9614206602</v>
      </c>
      <c r="H283" s="1">
        <v>181588.9614206602</v>
      </c>
      <c r="I283" s="1">
        <v>20515.8264947245</v>
      </c>
      <c r="J283" s="1">
        <v>20515.8264947245</v>
      </c>
      <c r="K283" s="1">
        <v>20515.8264947245</v>
      </c>
      <c r="L283" s="1">
        <v>20515.8264947245</v>
      </c>
    </row>
    <row r="284" spans="1:12" s="1" customFormat="1">
      <c r="A284" s="3">
        <v>45399</v>
      </c>
      <c r="B284" s="2" t="s">
        <v>14</v>
      </c>
      <c r="C284" s="2">
        <v>1</v>
      </c>
      <c r="D284" s="2">
        <v>5</v>
      </c>
      <c r="E284" s="1">
        <v>115575.7935516121</v>
      </c>
      <c r="F284" s="1">
        <v>-76485.56610847286</v>
      </c>
      <c r="G284" s="1">
        <v>-59688.2029492627</v>
      </c>
      <c r="H284" s="1">
        <v>-137715.5711072232</v>
      </c>
      <c r="I284" s="1">
        <v>-32602.25251926496</v>
      </c>
      <c r="J284" s="1">
        <v>-32602.25251926496</v>
      </c>
      <c r="K284" s="1">
        <v>-32602.25251926496</v>
      </c>
      <c r="L284" s="1">
        <v>-32602.25251926496</v>
      </c>
    </row>
    <row r="285" spans="1:12" s="1" customFormat="1">
      <c r="A285" s="3">
        <v>45400</v>
      </c>
      <c r="B285" s="2" t="s">
        <v>16</v>
      </c>
      <c r="C285" s="2">
        <v>21</v>
      </c>
      <c r="D285" s="2">
        <v>4</v>
      </c>
      <c r="E285" s="1">
        <v>0</v>
      </c>
      <c r="F285" s="1">
        <v>0</v>
      </c>
      <c r="G285" s="1">
        <v>0</v>
      </c>
      <c r="H285" s="1">
        <v>0</v>
      </c>
      <c r="I285" s="1">
        <v>59931.50684931505</v>
      </c>
      <c r="J285" s="1">
        <v>59931.50684931505</v>
      </c>
      <c r="K285" s="1">
        <v>59931.50684931505</v>
      </c>
      <c r="L285" s="1">
        <v>59931.50684931505</v>
      </c>
    </row>
    <row r="286" spans="1:12" s="1" customFormat="1">
      <c r="A286" s="3">
        <v>45401</v>
      </c>
      <c r="B286" s="2" t="s">
        <v>15</v>
      </c>
      <c r="C286" s="2">
        <v>20</v>
      </c>
      <c r="D286" s="2">
        <v>3</v>
      </c>
      <c r="E286" s="1">
        <v>0</v>
      </c>
      <c r="F286" s="1">
        <v>0</v>
      </c>
      <c r="G286" s="1">
        <v>0</v>
      </c>
      <c r="H286" s="1">
        <v>0</v>
      </c>
      <c r="I286" s="1">
        <v>-122191.011235955</v>
      </c>
      <c r="J286" s="1">
        <v>-122191.011235955</v>
      </c>
      <c r="K286" s="1">
        <v>-122191.011235955</v>
      </c>
      <c r="L286" s="1">
        <v>-122191.011235955</v>
      </c>
    </row>
    <row r="287" spans="1:12" s="1" customFormat="1">
      <c r="A287" s="3">
        <v>45404</v>
      </c>
      <c r="B287" s="2" t="s">
        <v>12</v>
      </c>
      <c r="C287" s="2">
        <v>19</v>
      </c>
      <c r="D287" s="2">
        <v>2</v>
      </c>
      <c r="E287" s="1">
        <v>0</v>
      </c>
      <c r="F287" s="1">
        <v>0</v>
      </c>
      <c r="G287" s="1">
        <v>0</v>
      </c>
      <c r="H287" s="1">
        <v>0</v>
      </c>
      <c r="I287" s="1">
        <v>93717.91215059893</v>
      </c>
      <c r="J287" s="1">
        <v>93717.91215059893</v>
      </c>
      <c r="K287" s="1">
        <v>93717.91215059893</v>
      </c>
      <c r="L287" s="1">
        <v>93717.91215059893</v>
      </c>
    </row>
    <row r="288" spans="1:12" s="1" customFormat="1">
      <c r="A288" s="3">
        <v>45405</v>
      </c>
      <c r="B288" s="2" t="s">
        <v>13</v>
      </c>
      <c r="C288" s="2">
        <v>18</v>
      </c>
      <c r="D288" s="2">
        <v>1</v>
      </c>
      <c r="E288" s="1">
        <v>0</v>
      </c>
      <c r="F288" s="1">
        <v>0</v>
      </c>
      <c r="G288" s="1">
        <v>0</v>
      </c>
      <c r="H288" s="1">
        <v>0</v>
      </c>
      <c r="I288" s="1">
        <v>76.81564245809831</v>
      </c>
      <c r="J288" s="1">
        <v>-43917.59776536313</v>
      </c>
      <c r="K288" s="1">
        <v>67039.1061452514</v>
      </c>
      <c r="L288" s="1">
        <v>89462.29050279333</v>
      </c>
    </row>
    <row r="289" spans="1:12" s="1" customFormat="1">
      <c r="A289" s="3">
        <v>45406</v>
      </c>
      <c r="B289" s="2" t="s">
        <v>14</v>
      </c>
      <c r="C289" s="2">
        <v>17</v>
      </c>
      <c r="D289" s="2">
        <v>23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</row>
    <row r="290" spans="1:12" s="1" customFormat="1">
      <c r="A290" s="3">
        <v>45407</v>
      </c>
      <c r="B290" s="2" t="s">
        <v>16</v>
      </c>
      <c r="C290" s="2">
        <v>16</v>
      </c>
      <c r="D290" s="2">
        <v>22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1:12" s="1" customFormat="1">
      <c r="A291" s="3">
        <v>45408</v>
      </c>
      <c r="B291" s="2" t="s">
        <v>15</v>
      </c>
      <c r="C291" s="2">
        <v>15</v>
      </c>
      <c r="D291" s="2">
        <v>21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1:12" s="1" customFormat="1">
      <c r="A292" s="3">
        <v>45411</v>
      </c>
      <c r="B292" s="2" t="s">
        <v>12</v>
      </c>
      <c r="C292" s="2">
        <v>14</v>
      </c>
      <c r="D292" s="2">
        <v>20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 s="1" customFormat="1">
      <c r="A293" s="3">
        <v>45412</v>
      </c>
      <c r="B293" s="2" t="s">
        <v>13</v>
      </c>
      <c r="C293" s="2">
        <v>13</v>
      </c>
      <c r="D293" s="2">
        <v>19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 s="1" customFormat="1">
      <c r="A294" s="3">
        <v>45413</v>
      </c>
      <c r="B294" s="2" t="s">
        <v>14</v>
      </c>
      <c r="C294" s="2">
        <v>12</v>
      </c>
      <c r="D294" s="2">
        <v>18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 s="1" customFormat="1">
      <c r="A295" s="3">
        <v>45414</v>
      </c>
      <c r="B295" s="2" t="s">
        <v>16</v>
      </c>
      <c r="C295" s="2">
        <v>11</v>
      </c>
      <c r="D295" s="2">
        <v>17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 s="1" customFormat="1">
      <c r="A296" s="3">
        <v>45415</v>
      </c>
      <c r="B296" s="2" t="s">
        <v>15</v>
      </c>
      <c r="C296" s="2">
        <v>10</v>
      </c>
      <c r="D296" s="2">
        <v>16</v>
      </c>
      <c r="E296" s="1">
        <v>55110.10253824171</v>
      </c>
      <c r="F296" s="1">
        <v>55110.10253824171</v>
      </c>
      <c r="G296" s="1">
        <v>55110.10253824171</v>
      </c>
      <c r="H296" s="1">
        <v>55110.10253824171</v>
      </c>
      <c r="I296" s="1">
        <v>0</v>
      </c>
      <c r="J296" s="1">
        <v>0</v>
      </c>
      <c r="K296" s="1">
        <v>0</v>
      </c>
      <c r="L296" s="1">
        <v>0</v>
      </c>
    </row>
    <row r="297" spans="1:12" s="1" customFormat="1">
      <c r="A297" s="3">
        <v>45418</v>
      </c>
      <c r="B297" s="2" t="s">
        <v>12</v>
      </c>
      <c r="C297" s="2">
        <v>9</v>
      </c>
      <c r="D297" s="2">
        <v>15</v>
      </c>
      <c r="E297" s="1">
        <v>25060.21235455748</v>
      </c>
      <c r="F297" s="1">
        <v>25060.21235455748</v>
      </c>
      <c r="G297" s="1">
        <v>25060.21235455748</v>
      </c>
      <c r="H297" s="1">
        <v>25060.21235455748</v>
      </c>
      <c r="I297" s="1">
        <v>0</v>
      </c>
      <c r="J297" s="1">
        <v>0</v>
      </c>
      <c r="K297" s="1">
        <v>0</v>
      </c>
      <c r="L297" s="1">
        <v>0</v>
      </c>
    </row>
    <row r="298" spans="1:12" s="1" customFormat="1">
      <c r="A298" s="3">
        <v>45419</v>
      </c>
      <c r="B298" s="2" t="s">
        <v>13</v>
      </c>
      <c r="C298" s="2">
        <v>8</v>
      </c>
      <c r="D298" s="2">
        <v>14</v>
      </c>
      <c r="E298" s="1">
        <v>104822.9177217327</v>
      </c>
      <c r="F298" s="1">
        <v>104822.9177217327</v>
      </c>
      <c r="G298" s="1">
        <v>104822.9177217327</v>
      </c>
      <c r="H298" s="1">
        <v>104822.9177217327</v>
      </c>
      <c r="I298" s="1">
        <v>0</v>
      </c>
      <c r="J298" s="1">
        <v>0</v>
      </c>
      <c r="K298" s="1">
        <v>0</v>
      </c>
      <c r="L298" s="1">
        <v>0</v>
      </c>
    </row>
    <row r="299" spans="1:12" s="1" customFormat="1">
      <c r="A299" s="3">
        <v>45420</v>
      </c>
      <c r="B299" s="2" t="s">
        <v>14</v>
      </c>
      <c r="C299" s="2">
        <v>7</v>
      </c>
      <c r="D299" s="2">
        <v>13</v>
      </c>
      <c r="E299" s="1">
        <v>49759.37829473185</v>
      </c>
      <c r="F299" s="1">
        <v>17379.17899534061</v>
      </c>
      <c r="G299" s="1">
        <v>17379.17899534061</v>
      </c>
      <c r="H299" s="1">
        <v>17379.17899534061</v>
      </c>
      <c r="I299" s="1">
        <v>0</v>
      </c>
      <c r="J299" s="1">
        <v>0</v>
      </c>
      <c r="K299" s="1">
        <v>0</v>
      </c>
      <c r="L299" s="1">
        <v>0</v>
      </c>
    </row>
    <row r="300" spans="1:12" s="1" customFormat="1">
      <c r="A300" s="3">
        <v>45421</v>
      </c>
      <c r="B300" s="2" t="s">
        <v>16</v>
      </c>
      <c r="C300" s="2">
        <v>6</v>
      </c>
      <c r="D300" s="2">
        <v>12</v>
      </c>
      <c r="E300" s="1">
        <v>44414.28762900417</v>
      </c>
      <c r="F300" s="1">
        <v>44414.28762900417</v>
      </c>
      <c r="G300" s="1">
        <v>44414.28762900417</v>
      </c>
      <c r="H300" s="1">
        <v>44414.28762900417</v>
      </c>
      <c r="I300" s="1">
        <v>0</v>
      </c>
      <c r="J300" s="1">
        <v>0</v>
      </c>
      <c r="K300" s="1">
        <v>0</v>
      </c>
      <c r="L300" s="1">
        <v>0</v>
      </c>
    </row>
    <row r="301" spans="1:12" s="1" customFormat="1">
      <c r="A301" s="3">
        <v>45422</v>
      </c>
      <c r="B301" s="2" t="s">
        <v>15</v>
      </c>
      <c r="C301" s="2">
        <v>5</v>
      </c>
      <c r="D301" s="2">
        <v>11</v>
      </c>
      <c r="E301" s="1">
        <v>98845.85876780417</v>
      </c>
      <c r="F301" s="1">
        <v>-55011.84162246904</v>
      </c>
      <c r="G301" s="1">
        <v>-74026.81877314119</v>
      </c>
      <c r="H301" s="1">
        <v>-74026.81877314119</v>
      </c>
      <c r="I301" s="1">
        <v>0</v>
      </c>
      <c r="J301" s="1">
        <v>0</v>
      </c>
      <c r="K301" s="1">
        <v>0</v>
      </c>
      <c r="L301" s="1">
        <v>0</v>
      </c>
    </row>
    <row r="302" spans="1:12" s="1" customFormat="1">
      <c r="A302" s="3">
        <v>45425</v>
      </c>
      <c r="B302" s="2" t="s">
        <v>12</v>
      </c>
      <c r="C302" s="2">
        <v>4</v>
      </c>
      <c r="D302" s="2">
        <v>10</v>
      </c>
      <c r="E302" s="1">
        <v>-53820.82695252679</v>
      </c>
      <c r="F302" s="1">
        <v>49293.85741024332</v>
      </c>
      <c r="G302" s="1">
        <v>49293.85741024332</v>
      </c>
      <c r="H302" s="1">
        <v>49293.85741024332</v>
      </c>
      <c r="I302" s="1">
        <v>0</v>
      </c>
      <c r="J302" s="1">
        <v>0</v>
      </c>
      <c r="K302" s="1">
        <v>0</v>
      </c>
      <c r="L302" s="1">
        <v>0</v>
      </c>
    </row>
    <row r="303" spans="1:12" s="1" customFormat="1">
      <c r="A303" s="3">
        <v>45426</v>
      </c>
      <c r="B303" s="2" t="s">
        <v>13</v>
      </c>
      <c r="C303" s="2">
        <v>3</v>
      </c>
      <c r="D303" s="2">
        <v>9</v>
      </c>
      <c r="E303" s="1">
        <v>76935.86857929922</v>
      </c>
      <c r="F303" s="1">
        <v>-45683.13904659523</v>
      </c>
      <c r="G303" s="1">
        <v>-48123.7612120805</v>
      </c>
      <c r="H303" s="1">
        <v>-48123.7612120805</v>
      </c>
      <c r="I303" s="1">
        <v>0</v>
      </c>
      <c r="J303" s="1">
        <v>0</v>
      </c>
      <c r="K303" s="1">
        <v>0</v>
      </c>
      <c r="L303" s="1">
        <v>0</v>
      </c>
    </row>
    <row r="304" spans="1:12" s="1" customFormat="1">
      <c r="A304" s="3">
        <v>45427</v>
      </c>
      <c r="B304" s="2" t="s">
        <v>14</v>
      </c>
      <c r="C304" s="2">
        <v>2</v>
      </c>
      <c r="D304" s="2">
        <v>8</v>
      </c>
      <c r="E304" s="1">
        <v>-128463.7230373927</v>
      </c>
      <c r="F304" s="1">
        <v>53093.51545067278</v>
      </c>
      <c r="G304" s="1">
        <v>142944.0800595037</v>
      </c>
      <c r="H304" s="1">
        <v>142944.0800595037</v>
      </c>
      <c r="I304" s="1">
        <v>0</v>
      </c>
      <c r="J304" s="1">
        <v>0</v>
      </c>
      <c r="K304" s="1">
        <v>0</v>
      </c>
      <c r="L304" s="1">
        <v>0</v>
      </c>
    </row>
    <row r="305" spans="1:12" s="1" customFormat="1">
      <c r="A305" s="3">
        <v>45428</v>
      </c>
      <c r="B305" s="2" t="s">
        <v>16</v>
      </c>
      <c r="C305" s="2">
        <v>1</v>
      </c>
      <c r="D305" s="2">
        <v>7</v>
      </c>
      <c r="E305" s="1">
        <v>61623.2059834243</v>
      </c>
      <c r="F305" s="1">
        <v>-21086.85398558049</v>
      </c>
      <c r="G305" s="1">
        <v>-195766.7946903847</v>
      </c>
      <c r="H305" s="1">
        <v>10839.90297149788</v>
      </c>
      <c r="I305" s="1">
        <v>0</v>
      </c>
      <c r="J305" s="1">
        <v>0</v>
      </c>
      <c r="K305" s="1">
        <v>0</v>
      </c>
      <c r="L305" s="1">
        <v>0</v>
      </c>
    </row>
    <row r="306" spans="1:12" s="1" customFormat="1">
      <c r="A306" s="3">
        <v>45429</v>
      </c>
      <c r="B306" s="2" t="s">
        <v>15</v>
      </c>
      <c r="C306" s="2">
        <v>21</v>
      </c>
      <c r="D306" s="2">
        <v>6</v>
      </c>
      <c r="E306" s="1">
        <v>0</v>
      </c>
      <c r="F306" s="1">
        <v>0</v>
      </c>
      <c r="G306" s="1">
        <v>0</v>
      </c>
      <c r="H306" s="1">
        <v>0</v>
      </c>
      <c r="I306" s="1">
        <v>1873.256277401359</v>
      </c>
      <c r="J306" s="1">
        <v>25308.88800318852</v>
      </c>
      <c r="K306" s="1">
        <v>25308.88800318852</v>
      </c>
      <c r="L306" s="1">
        <v>25308.88800318852</v>
      </c>
    </row>
    <row r="307" spans="1:12" s="1" customFormat="1">
      <c r="A307" s="3">
        <v>45432</v>
      </c>
      <c r="B307" s="2" t="s">
        <v>12</v>
      </c>
      <c r="C307" s="2">
        <v>20</v>
      </c>
      <c r="D307" s="2">
        <v>5</v>
      </c>
      <c r="E307" s="1">
        <v>0</v>
      </c>
      <c r="F307" s="1">
        <v>0</v>
      </c>
      <c r="G307" s="1">
        <v>0</v>
      </c>
      <c r="H307" s="1">
        <v>0</v>
      </c>
      <c r="I307" s="1">
        <v>-120392.5075301204</v>
      </c>
      <c r="J307" s="1">
        <v>-120392.5075301204</v>
      </c>
      <c r="K307" s="1">
        <v>-120392.5075301204</v>
      </c>
      <c r="L307" s="1">
        <v>-120392.5075301204</v>
      </c>
    </row>
    <row r="308" spans="1:12" s="1" customFormat="1">
      <c r="A308" s="3">
        <v>45433</v>
      </c>
      <c r="B308" s="2" t="s">
        <v>13</v>
      </c>
      <c r="C308" s="2">
        <v>19</v>
      </c>
      <c r="D308" s="2">
        <v>4</v>
      </c>
      <c r="E308" s="1">
        <v>0</v>
      </c>
      <c r="F308" s="1">
        <v>0</v>
      </c>
      <c r="G308" s="1">
        <v>0</v>
      </c>
      <c r="H308" s="1">
        <v>0</v>
      </c>
      <c r="I308" s="1">
        <v>-128963.972201902</v>
      </c>
      <c r="J308" s="1">
        <v>-123340.3438185808</v>
      </c>
      <c r="K308" s="1">
        <v>-125173.7381126554</v>
      </c>
      <c r="L308" s="1">
        <v>-125173.7381126554</v>
      </c>
    </row>
    <row r="309" spans="1:12" s="1" customFormat="1">
      <c r="A309" s="3">
        <v>45434</v>
      </c>
      <c r="B309" s="2" t="s">
        <v>14</v>
      </c>
      <c r="C309" s="2">
        <v>18</v>
      </c>
      <c r="D309" s="2">
        <v>3</v>
      </c>
      <c r="E309" s="1">
        <v>0</v>
      </c>
      <c r="F309" s="1">
        <v>0</v>
      </c>
      <c r="G309" s="1">
        <v>0</v>
      </c>
      <c r="H309" s="1">
        <v>0</v>
      </c>
      <c r="I309" s="1">
        <v>-9288.293424553402</v>
      </c>
      <c r="J309" s="1">
        <v>-78178.44925883695</v>
      </c>
      <c r="K309" s="1">
        <v>-132207.335613835</v>
      </c>
      <c r="L309" s="1">
        <v>-132207.335613835</v>
      </c>
    </row>
    <row r="310" spans="1:12" s="1" customFormat="1">
      <c r="A310" s="3">
        <v>45435</v>
      </c>
      <c r="B310" s="2" t="s">
        <v>16</v>
      </c>
      <c r="C310" s="2">
        <v>17</v>
      </c>
      <c r="D310" s="2">
        <v>2</v>
      </c>
      <c r="E310" s="1">
        <v>0</v>
      </c>
      <c r="F310" s="1">
        <v>0</v>
      </c>
      <c r="G310" s="1">
        <v>0</v>
      </c>
      <c r="H310" s="1">
        <v>0</v>
      </c>
      <c r="I310" s="1">
        <v>-119726.0028653295</v>
      </c>
      <c r="J310" s="1">
        <v>-114393.8037249284</v>
      </c>
      <c r="K310" s="1">
        <v>100505.9097421203</v>
      </c>
      <c r="L310" s="1">
        <v>100505.9097421203</v>
      </c>
    </row>
    <row r="311" spans="1:12" s="1" customFormat="1">
      <c r="A311" s="3">
        <v>45436</v>
      </c>
      <c r="B311" s="2" t="s">
        <v>15</v>
      </c>
      <c r="C311" s="2">
        <v>16</v>
      </c>
      <c r="D311" s="2">
        <v>1</v>
      </c>
      <c r="E311" s="1">
        <v>0</v>
      </c>
      <c r="F311" s="1">
        <v>0</v>
      </c>
      <c r="G311" s="1">
        <v>0</v>
      </c>
      <c r="H311" s="1">
        <v>0</v>
      </c>
      <c r="I311" s="1">
        <v>22214.41947565543</v>
      </c>
      <c r="J311" s="1">
        <v>-13834.26966292134</v>
      </c>
      <c r="K311" s="1">
        <v>-50280.89887640448</v>
      </c>
      <c r="L311" s="1">
        <v>-120529.0262172285</v>
      </c>
    </row>
    <row r="312" spans="1:12" s="1" customFormat="1">
      <c r="A312" s="3">
        <v>45439</v>
      </c>
      <c r="B312" s="2" t="s">
        <v>12</v>
      </c>
      <c r="C312" s="2">
        <v>15</v>
      </c>
      <c r="D312" s="2">
        <v>20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</row>
    <row r="313" spans="1:12" s="1" customFormat="1">
      <c r="A313" s="3">
        <v>45440</v>
      </c>
      <c r="B313" s="2" t="s">
        <v>13</v>
      </c>
      <c r="C313" s="2">
        <v>14</v>
      </c>
      <c r="D313" s="2">
        <v>19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1:12" s="1" customFormat="1">
      <c r="A314" s="3">
        <v>45441</v>
      </c>
      <c r="B314" s="2" t="s">
        <v>14</v>
      </c>
      <c r="C314" s="2">
        <v>13</v>
      </c>
      <c r="D314" s="2">
        <v>18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</row>
    <row r="315" spans="1:12" s="1" customFormat="1">
      <c r="A315" s="3">
        <v>45442</v>
      </c>
      <c r="B315" s="2" t="s">
        <v>16</v>
      </c>
      <c r="C315" s="2">
        <v>12</v>
      </c>
      <c r="D315" s="2">
        <v>17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</row>
    <row r="316" spans="1:12" s="1" customFormat="1">
      <c r="A316" s="3">
        <v>45443</v>
      </c>
      <c r="B316" s="2" t="s">
        <v>15</v>
      </c>
      <c r="C316" s="2">
        <v>11</v>
      </c>
      <c r="D316" s="2">
        <v>16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</row>
    <row r="317" spans="1:12" s="1" customFormat="1">
      <c r="A317" s="3">
        <v>45446</v>
      </c>
      <c r="B317" s="2" t="s">
        <v>12</v>
      </c>
      <c r="C317" s="2">
        <v>10</v>
      </c>
      <c r="D317" s="2">
        <v>15</v>
      </c>
      <c r="E317" s="1">
        <v>151149.2956769135</v>
      </c>
      <c r="F317" s="1">
        <v>-118705.329262369</v>
      </c>
      <c r="G317" s="1">
        <v>-330182.672958157</v>
      </c>
      <c r="H317" s="1">
        <v>-330182.672958157</v>
      </c>
      <c r="I317" s="1">
        <v>0</v>
      </c>
      <c r="J317" s="1">
        <v>0</v>
      </c>
      <c r="K317" s="1">
        <v>0</v>
      </c>
      <c r="L317" s="1">
        <v>0</v>
      </c>
    </row>
    <row r="318" spans="1:12" s="1" customFormat="1">
      <c r="A318" s="3">
        <v>45447</v>
      </c>
      <c r="B318" s="2" t="s">
        <v>13</v>
      </c>
      <c r="C318" s="2">
        <v>9</v>
      </c>
      <c r="D318" s="2">
        <v>14</v>
      </c>
      <c r="E318" s="1">
        <v>137423.2020238525</v>
      </c>
      <c r="F318" s="1">
        <v>137423.2020238525</v>
      </c>
      <c r="G318" s="1">
        <v>137423.2020238525</v>
      </c>
      <c r="H318" s="1">
        <v>137423.2020238525</v>
      </c>
      <c r="I318" s="1">
        <v>0</v>
      </c>
      <c r="J318" s="1">
        <v>0</v>
      </c>
      <c r="K318" s="1">
        <v>0</v>
      </c>
      <c r="L318" s="1">
        <v>0</v>
      </c>
    </row>
    <row r="319" spans="1:12" s="1" customFormat="1">
      <c r="A319" s="3">
        <v>45448</v>
      </c>
      <c r="B319" s="2" t="s">
        <v>14</v>
      </c>
      <c r="C319" s="2">
        <v>8</v>
      </c>
      <c r="D319" s="2">
        <v>13</v>
      </c>
      <c r="E319" s="1">
        <v>62137.36582535539</v>
      </c>
      <c r="F319" s="1">
        <v>62137.36582535539</v>
      </c>
      <c r="G319" s="1">
        <v>62137.36582535539</v>
      </c>
      <c r="H319" s="1">
        <v>62137.36582535539</v>
      </c>
      <c r="I319" s="1">
        <v>0</v>
      </c>
      <c r="J319" s="1">
        <v>0</v>
      </c>
      <c r="K319" s="1">
        <v>0</v>
      </c>
      <c r="L319" s="1">
        <v>0</v>
      </c>
    </row>
    <row r="320" spans="1:12" s="1" customFormat="1">
      <c r="A320" s="3">
        <v>45449</v>
      </c>
      <c r="B320" s="2" t="s">
        <v>16</v>
      </c>
      <c r="C320" s="2">
        <v>7</v>
      </c>
      <c r="D320" s="2">
        <v>12</v>
      </c>
      <c r="E320" s="1">
        <v>18800.05005005007</v>
      </c>
      <c r="F320" s="1">
        <v>23720.14872014873</v>
      </c>
      <c r="G320" s="1">
        <v>23720.14872014873</v>
      </c>
      <c r="H320" s="1">
        <v>23720.14872014873</v>
      </c>
      <c r="I320" s="1">
        <v>0</v>
      </c>
      <c r="J320" s="1">
        <v>0</v>
      </c>
      <c r="K320" s="1">
        <v>0</v>
      </c>
      <c r="L320" s="1">
        <v>0</v>
      </c>
    </row>
    <row r="321" spans="1:12" s="1" customFormat="1">
      <c r="A321" s="3">
        <v>45450</v>
      </c>
      <c r="B321" s="2" t="s">
        <v>15</v>
      </c>
      <c r="C321" s="2">
        <v>6</v>
      </c>
      <c r="D321" s="2">
        <v>11</v>
      </c>
      <c r="E321" s="1">
        <v>90409.63431786218</v>
      </c>
      <c r="F321" s="1">
        <v>90409.63431786218</v>
      </c>
      <c r="G321" s="1">
        <v>90409.63431786218</v>
      </c>
      <c r="H321" s="1">
        <v>90409.63431786218</v>
      </c>
      <c r="I321" s="1">
        <v>0</v>
      </c>
      <c r="J321" s="1">
        <v>0</v>
      </c>
      <c r="K321" s="1">
        <v>0</v>
      </c>
      <c r="L321" s="1">
        <v>0</v>
      </c>
    </row>
    <row r="322" spans="1:12" s="1" customFormat="1">
      <c r="A322" s="3">
        <v>45453</v>
      </c>
      <c r="B322" s="2" t="s">
        <v>12</v>
      </c>
      <c r="C322" s="2">
        <v>5</v>
      </c>
      <c r="D322" s="2">
        <v>10</v>
      </c>
      <c r="E322" s="1">
        <v>106745.2797080087</v>
      </c>
      <c r="F322" s="1">
        <v>-72239.76977609322</v>
      </c>
      <c r="G322" s="1">
        <v>-206824.2437004282</v>
      </c>
      <c r="H322" s="1">
        <v>-206824.2437004282</v>
      </c>
      <c r="I322" s="1">
        <v>0</v>
      </c>
      <c r="J322" s="1">
        <v>0</v>
      </c>
      <c r="K322" s="1">
        <v>0</v>
      </c>
      <c r="L322" s="1">
        <v>0</v>
      </c>
    </row>
    <row r="323" spans="1:12" s="1" customFormat="1">
      <c r="A323" s="3">
        <v>45454</v>
      </c>
      <c r="B323" s="2" t="s">
        <v>13</v>
      </c>
      <c r="C323" s="2">
        <v>4</v>
      </c>
      <c r="D323" s="2">
        <v>9</v>
      </c>
      <c r="E323" s="1">
        <v>11043.38134430728</v>
      </c>
      <c r="F323" s="1">
        <v>61033.95061728396</v>
      </c>
      <c r="G323" s="1">
        <v>61033.95061728396</v>
      </c>
      <c r="H323" s="1">
        <v>61033.95061728396</v>
      </c>
      <c r="I323" s="1">
        <v>0</v>
      </c>
      <c r="J323" s="1">
        <v>0</v>
      </c>
      <c r="K323" s="1">
        <v>0</v>
      </c>
      <c r="L323" s="1">
        <v>0</v>
      </c>
    </row>
    <row r="324" spans="1:12" s="1" customFormat="1">
      <c r="A324" s="3">
        <v>45455</v>
      </c>
      <c r="B324" s="2" t="s">
        <v>14</v>
      </c>
      <c r="C324" s="2">
        <v>3</v>
      </c>
      <c r="D324" s="2">
        <v>8</v>
      </c>
      <c r="E324" s="1">
        <v>-64566.35425156206</v>
      </c>
      <c r="F324" s="1">
        <v>108784.9769084488</v>
      </c>
      <c r="G324" s="1">
        <v>108784.9769084488</v>
      </c>
      <c r="H324" s="1">
        <v>108784.9769084488</v>
      </c>
      <c r="I324" s="1">
        <v>0</v>
      </c>
      <c r="J324" s="1">
        <v>0</v>
      </c>
      <c r="K324" s="1">
        <v>0</v>
      </c>
      <c r="L324" s="1">
        <v>0</v>
      </c>
    </row>
    <row r="325" spans="1:12" s="1" customFormat="1">
      <c r="A325" s="3">
        <v>45456</v>
      </c>
      <c r="B325" s="2" t="s">
        <v>16</v>
      </c>
      <c r="C325" s="2">
        <v>2</v>
      </c>
      <c r="D325" s="2">
        <v>7</v>
      </c>
      <c r="E325" s="1">
        <v>56541.20645709431</v>
      </c>
      <c r="F325" s="1">
        <v>-9216.652506372126</v>
      </c>
      <c r="G325" s="1">
        <v>49745.11469838574</v>
      </c>
      <c r="H325" s="1">
        <v>49745.11469838574</v>
      </c>
      <c r="I325" s="1">
        <v>0</v>
      </c>
      <c r="J325" s="1">
        <v>0</v>
      </c>
      <c r="K325" s="1">
        <v>0</v>
      </c>
      <c r="L325" s="1">
        <v>0</v>
      </c>
    </row>
    <row r="326" spans="1:12" s="1" customFormat="1">
      <c r="A326" s="3">
        <v>45457</v>
      </c>
      <c r="B326" s="2" t="s">
        <v>15</v>
      </c>
      <c r="C326" s="2">
        <v>1</v>
      </c>
      <c r="D326" s="2">
        <v>6</v>
      </c>
      <c r="E326" s="1">
        <v>-22116.26799142537</v>
      </c>
      <c r="F326" s="1">
        <v>91789.44503045357</v>
      </c>
      <c r="G326" s="1">
        <v>188514.4101534588</v>
      </c>
      <c r="H326" s="1">
        <v>188514.4101534588</v>
      </c>
      <c r="I326" s="1">
        <v>30974.20230821453</v>
      </c>
      <c r="J326" s="1">
        <v>30974.20230821453</v>
      </c>
      <c r="K326" s="1">
        <v>30974.20230821453</v>
      </c>
      <c r="L326" s="1">
        <v>30974.20230821453</v>
      </c>
    </row>
    <row r="327" spans="1:12" s="1" customFormat="1">
      <c r="A327" s="3">
        <v>45460</v>
      </c>
      <c r="B327" s="2" t="s">
        <v>12</v>
      </c>
      <c r="C327" s="2">
        <v>21</v>
      </c>
      <c r="D327" s="2">
        <v>5</v>
      </c>
      <c r="E327" s="1">
        <v>0</v>
      </c>
      <c r="F327" s="1">
        <v>0</v>
      </c>
      <c r="G327" s="1">
        <v>0</v>
      </c>
      <c r="H327" s="1">
        <v>0</v>
      </c>
      <c r="I327" s="1">
        <v>93466.60808435857</v>
      </c>
      <c r="J327" s="1">
        <v>93466.60808435857</v>
      </c>
      <c r="K327" s="1">
        <v>93466.60808435857</v>
      </c>
      <c r="L327" s="1">
        <v>93466.60808435857</v>
      </c>
    </row>
    <row r="328" spans="1:12" s="1" customFormat="1">
      <c r="A328" s="3">
        <v>45461</v>
      </c>
      <c r="B328" s="2" t="s">
        <v>13</v>
      </c>
      <c r="C328" s="2">
        <v>20</v>
      </c>
      <c r="D328" s="2">
        <v>4</v>
      </c>
      <c r="E328" s="1">
        <v>0</v>
      </c>
      <c r="F328" s="1">
        <v>0</v>
      </c>
      <c r="G328" s="1">
        <v>0</v>
      </c>
      <c r="H328" s="1">
        <v>0</v>
      </c>
      <c r="I328" s="1">
        <v>23220.64056939502</v>
      </c>
      <c r="J328" s="1">
        <v>23220.64056939502</v>
      </c>
      <c r="K328" s="1">
        <v>23220.64056939502</v>
      </c>
      <c r="L328" s="1">
        <v>23220.64056939502</v>
      </c>
    </row>
    <row r="329" spans="1:12" s="1" customFormat="1">
      <c r="A329" s="3">
        <v>45462</v>
      </c>
      <c r="B329" s="2" t="s">
        <v>14</v>
      </c>
      <c r="C329" s="2">
        <v>19</v>
      </c>
      <c r="D329" s="2">
        <v>3</v>
      </c>
      <c r="E329" s="1">
        <v>0</v>
      </c>
      <c r="F329" s="1">
        <v>0</v>
      </c>
      <c r="G329" s="1">
        <v>0</v>
      </c>
      <c r="H329" s="1">
        <v>0</v>
      </c>
      <c r="I329" s="1">
        <v>93095.93023255814</v>
      </c>
      <c r="J329" s="1">
        <v>93095.93023255814</v>
      </c>
      <c r="K329" s="1">
        <v>93095.93023255814</v>
      </c>
      <c r="L329" s="1">
        <v>93095.93023255814</v>
      </c>
    </row>
    <row r="330" spans="1:12" s="1" customFormat="1">
      <c r="A330" s="3">
        <v>45463</v>
      </c>
      <c r="B330" s="2" t="s">
        <v>16</v>
      </c>
      <c r="C330" s="2">
        <v>18</v>
      </c>
      <c r="D330" s="2">
        <v>2</v>
      </c>
      <c r="E330" s="1">
        <v>0</v>
      </c>
      <c r="F330" s="1">
        <v>0</v>
      </c>
      <c r="G330" s="1">
        <v>0</v>
      </c>
      <c r="H330" s="1">
        <v>0</v>
      </c>
      <c r="I330" s="1">
        <v>-7896.757679180899</v>
      </c>
      <c r="J330" s="1">
        <v>-57811.43344709898</v>
      </c>
      <c r="K330" s="1">
        <v>-120213.3105802048</v>
      </c>
      <c r="L330" s="1">
        <v>-120191.9795221843</v>
      </c>
    </row>
    <row r="331" spans="1:12" s="1" customFormat="1">
      <c r="A331" s="3">
        <v>45464</v>
      </c>
      <c r="B331" s="2" t="s">
        <v>15</v>
      </c>
      <c r="C331" s="2">
        <v>17</v>
      </c>
      <c r="D331" s="2">
        <v>1</v>
      </c>
      <c r="E331" s="1">
        <v>0</v>
      </c>
      <c r="F331" s="1">
        <v>0</v>
      </c>
      <c r="G331" s="1">
        <v>0</v>
      </c>
      <c r="H331" s="1">
        <v>0</v>
      </c>
      <c r="I331" s="1">
        <v>794.3754565376184</v>
      </c>
      <c r="J331" s="1">
        <v>-38011.32213294376</v>
      </c>
      <c r="K331" s="1">
        <v>76150.47479912345</v>
      </c>
      <c r="L331" s="1">
        <v>113581.9941563185</v>
      </c>
    </row>
    <row r="332" spans="1:12" s="1" customFormat="1">
      <c r="A332" s="3">
        <v>45467</v>
      </c>
      <c r="B332" s="2" t="s">
        <v>12</v>
      </c>
      <c r="C332" s="2">
        <v>16</v>
      </c>
      <c r="D332" s="2">
        <v>21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1:12" s="1" customFormat="1">
      <c r="A333" s="3">
        <v>45468</v>
      </c>
      <c r="B333" s="2" t="s">
        <v>13</v>
      </c>
      <c r="C333" s="2">
        <v>15</v>
      </c>
      <c r="D333" s="2">
        <v>20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 s="1" customFormat="1">
      <c r="A334" s="3">
        <v>45469</v>
      </c>
      <c r="B334" s="2" t="s">
        <v>14</v>
      </c>
      <c r="C334" s="2">
        <v>14</v>
      </c>
      <c r="D334" s="2">
        <v>19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</row>
    <row r="335" spans="1:12" s="1" customFormat="1">
      <c r="A335" s="3">
        <v>45470</v>
      </c>
      <c r="B335" s="2" t="s">
        <v>16</v>
      </c>
      <c r="C335" s="2">
        <v>13</v>
      </c>
      <c r="D335" s="2">
        <v>18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</row>
    <row r="336" spans="1:12" s="1" customFormat="1">
      <c r="A336" s="3">
        <v>45471</v>
      </c>
      <c r="B336" s="2" t="s">
        <v>15</v>
      </c>
      <c r="C336" s="2">
        <v>12</v>
      </c>
      <c r="D336" s="2">
        <v>17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</row>
    <row r="337" spans="1:12" s="1" customFormat="1">
      <c r="A337" s="3">
        <v>45474</v>
      </c>
      <c r="B337" s="2" t="s">
        <v>12</v>
      </c>
      <c r="C337" s="2">
        <v>11</v>
      </c>
      <c r="D337" s="2">
        <v>16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 s="1" customFormat="1">
      <c r="A338" s="3">
        <v>45476</v>
      </c>
      <c r="B338" s="2" t="s">
        <v>14</v>
      </c>
      <c r="C338" s="2">
        <v>10</v>
      </c>
      <c r="D338" s="2">
        <v>15</v>
      </c>
      <c r="E338" s="1">
        <v>70485.98907243507</v>
      </c>
      <c r="F338" s="1">
        <v>70485.98907243507</v>
      </c>
      <c r="G338" s="1">
        <v>70485.98907243507</v>
      </c>
      <c r="H338" s="1">
        <v>70485.98907243507</v>
      </c>
      <c r="I338" s="1">
        <v>0</v>
      </c>
      <c r="J338" s="1">
        <v>0</v>
      </c>
      <c r="K338" s="1">
        <v>0</v>
      </c>
      <c r="L338" s="1">
        <v>0</v>
      </c>
    </row>
    <row r="339" spans="1:12" s="1" customFormat="1">
      <c r="A339" s="3">
        <v>45477</v>
      </c>
      <c r="B339" s="2" t="s">
        <v>16</v>
      </c>
      <c r="C339" s="2">
        <v>9</v>
      </c>
      <c r="D339" s="2">
        <v>14</v>
      </c>
      <c r="E339" s="1">
        <v>10678.71280807049</v>
      </c>
      <c r="F339" s="1">
        <v>10678.71280807049</v>
      </c>
      <c r="G339" s="1">
        <v>10678.71280807049</v>
      </c>
      <c r="H339" s="1">
        <v>10678.71280807049</v>
      </c>
      <c r="I339" s="1">
        <v>0</v>
      </c>
      <c r="J339" s="1">
        <v>0</v>
      </c>
      <c r="K339" s="1">
        <v>0</v>
      </c>
      <c r="L339" s="1">
        <v>0</v>
      </c>
    </row>
    <row r="340" spans="1:12" s="1" customFormat="1">
      <c r="A340" s="3">
        <v>45478</v>
      </c>
      <c r="B340" s="2" t="s">
        <v>15</v>
      </c>
      <c r="C340" s="2">
        <v>8</v>
      </c>
      <c r="D340" s="2">
        <v>13</v>
      </c>
      <c r="E340" s="1">
        <v>65270.62265470966</v>
      </c>
      <c r="F340" s="1">
        <v>65270.62265470966</v>
      </c>
      <c r="G340" s="1">
        <v>65270.62265470966</v>
      </c>
      <c r="H340" s="1">
        <v>65270.62265470966</v>
      </c>
      <c r="I340" s="1">
        <v>0</v>
      </c>
      <c r="J340" s="1">
        <v>0</v>
      </c>
      <c r="K340" s="1">
        <v>0</v>
      </c>
      <c r="L340" s="1">
        <v>0</v>
      </c>
    </row>
    <row r="341" spans="1:12" s="1" customFormat="1">
      <c r="A341" s="3">
        <v>45481</v>
      </c>
      <c r="B341" s="2" t="s">
        <v>12</v>
      </c>
      <c r="C341" s="2">
        <v>7</v>
      </c>
      <c r="D341" s="2">
        <v>12</v>
      </c>
      <c r="E341" s="1">
        <v>41337.69818345208</v>
      </c>
      <c r="F341" s="1">
        <v>41337.69818345208</v>
      </c>
      <c r="G341" s="1">
        <v>41337.69818345208</v>
      </c>
      <c r="H341" s="1">
        <v>41337.69818345208</v>
      </c>
      <c r="I341" s="1">
        <v>0</v>
      </c>
      <c r="J341" s="1">
        <v>0</v>
      </c>
      <c r="K341" s="1">
        <v>0</v>
      </c>
      <c r="L341" s="1">
        <v>0</v>
      </c>
    </row>
    <row r="342" spans="1:12" s="1" customFormat="1">
      <c r="A342" s="3">
        <v>45482</v>
      </c>
      <c r="B342" s="2" t="s">
        <v>13</v>
      </c>
      <c r="C342" s="2">
        <v>6</v>
      </c>
      <c r="D342" s="2">
        <v>11</v>
      </c>
      <c r="E342" s="1">
        <v>72971.00275392841</v>
      </c>
      <c r="F342" s="1">
        <v>72971.00275392841</v>
      </c>
      <c r="G342" s="1">
        <v>72971.00275392841</v>
      </c>
      <c r="H342" s="1">
        <v>72971.00275392841</v>
      </c>
      <c r="I342" s="1">
        <v>0</v>
      </c>
      <c r="J342" s="1">
        <v>0</v>
      </c>
      <c r="K342" s="1">
        <v>0</v>
      </c>
      <c r="L342" s="1">
        <v>0</v>
      </c>
    </row>
    <row r="343" spans="1:12" s="1" customFormat="1">
      <c r="A343" s="3">
        <v>45484</v>
      </c>
      <c r="B343" s="2" t="s">
        <v>16</v>
      </c>
      <c r="C343" s="2">
        <v>5</v>
      </c>
      <c r="D343" s="2">
        <v>10</v>
      </c>
      <c r="E343" s="1">
        <v>-98731.74419352761</v>
      </c>
      <c r="F343" s="1">
        <v>67747.53908511871</v>
      </c>
      <c r="G343" s="1">
        <v>67747.53908511871</v>
      </c>
      <c r="H343" s="1">
        <v>67747.53908511871</v>
      </c>
      <c r="I343" s="1">
        <v>0</v>
      </c>
      <c r="J343" s="1">
        <v>0</v>
      </c>
      <c r="K343" s="1">
        <v>0</v>
      </c>
      <c r="L343" s="1">
        <v>0</v>
      </c>
    </row>
    <row r="344" spans="1:12" s="1" customFormat="1">
      <c r="A344" s="3">
        <v>45485</v>
      </c>
      <c r="B344" s="2" t="s">
        <v>15</v>
      </c>
      <c r="C344" s="2">
        <v>4</v>
      </c>
      <c r="D344" s="2">
        <v>9</v>
      </c>
      <c r="E344" s="1">
        <v>67020.03017365903</v>
      </c>
      <c r="F344" s="1">
        <v>66133.27769396205</v>
      </c>
      <c r="G344" s="1">
        <v>66133.27769396205</v>
      </c>
      <c r="H344" s="1">
        <v>66133.27769396205</v>
      </c>
      <c r="I344" s="1">
        <v>0</v>
      </c>
      <c r="J344" s="1">
        <v>0</v>
      </c>
      <c r="K344" s="1">
        <v>0</v>
      </c>
      <c r="L344" s="1">
        <v>0</v>
      </c>
    </row>
    <row r="345" spans="1:12" s="1" customFormat="1">
      <c r="A345" s="3">
        <v>45488</v>
      </c>
      <c r="B345" s="2" t="s">
        <v>12</v>
      </c>
      <c r="C345" s="2">
        <v>3</v>
      </c>
      <c r="D345" s="2">
        <v>8</v>
      </c>
      <c r="E345" s="1">
        <v>20310.18010457686</v>
      </c>
      <c r="F345" s="1">
        <v>110362.4685301143</v>
      </c>
      <c r="G345" s="1">
        <v>110362.4685301143</v>
      </c>
      <c r="H345" s="1">
        <v>110362.4685301143</v>
      </c>
      <c r="I345" s="1">
        <v>0</v>
      </c>
      <c r="J345" s="1">
        <v>0</v>
      </c>
      <c r="K345" s="1">
        <v>0</v>
      </c>
      <c r="L345" s="1">
        <v>0</v>
      </c>
    </row>
    <row r="346" spans="1:12" s="1" customFormat="1">
      <c r="A346" s="3">
        <v>45489</v>
      </c>
      <c r="B346" s="2" t="s">
        <v>13</v>
      </c>
      <c r="C346" s="2">
        <v>2</v>
      </c>
      <c r="D346" s="2">
        <v>7</v>
      </c>
      <c r="E346" s="1">
        <v>36382.12043332573</v>
      </c>
      <c r="F346" s="1">
        <v>117715.2802628583</v>
      </c>
      <c r="G346" s="1">
        <v>161635.0564429552</v>
      </c>
      <c r="H346" s="1">
        <v>161635.0564429552</v>
      </c>
      <c r="I346" s="1">
        <v>0</v>
      </c>
      <c r="J346" s="1">
        <v>0</v>
      </c>
      <c r="K346" s="1">
        <v>0</v>
      </c>
      <c r="L346" s="1">
        <v>0</v>
      </c>
    </row>
    <row r="347" spans="1:12" s="1" customFormat="1">
      <c r="A347" s="3">
        <v>45490</v>
      </c>
      <c r="B347" s="2" t="s">
        <v>14</v>
      </c>
      <c r="C347" s="2">
        <v>1</v>
      </c>
      <c r="D347" s="2">
        <v>6</v>
      </c>
      <c r="E347" s="1">
        <v>135646.6463514532</v>
      </c>
      <c r="F347" s="1">
        <v>88626.7571021331</v>
      </c>
      <c r="G347" s="1">
        <v>-35543.4319604181</v>
      </c>
      <c r="H347" s="1">
        <v>-71504.63645597824</v>
      </c>
      <c r="I347" s="1">
        <v>-125914.6341463414</v>
      </c>
      <c r="J347" s="1">
        <v>-125914.6341463414</v>
      </c>
      <c r="K347" s="1">
        <v>-125914.6341463414</v>
      </c>
      <c r="L347" s="1">
        <v>-125914.6341463414</v>
      </c>
    </row>
    <row r="348" spans="1:12" s="1" customFormat="1">
      <c r="A348" s="3">
        <v>45491</v>
      </c>
      <c r="B348" s="2" t="s">
        <v>16</v>
      </c>
      <c r="C348" s="2">
        <v>20</v>
      </c>
      <c r="D348" s="2">
        <v>5</v>
      </c>
      <c r="E348" s="1">
        <v>0</v>
      </c>
      <c r="F348" s="1">
        <v>0</v>
      </c>
      <c r="G348" s="1">
        <v>0</v>
      </c>
      <c r="H348" s="1">
        <v>0</v>
      </c>
      <c r="I348" s="1">
        <v>-16766.06621226874</v>
      </c>
      <c r="J348" s="1">
        <v>-16139.24050632911</v>
      </c>
      <c r="K348" s="1">
        <v>-5233.690360272635</v>
      </c>
      <c r="L348" s="1">
        <v>-5233.690360272635</v>
      </c>
    </row>
    <row r="349" spans="1:12" s="1" customFormat="1">
      <c r="A349" s="3">
        <v>45492</v>
      </c>
      <c r="B349" s="2" t="s">
        <v>15</v>
      </c>
      <c r="C349" s="2">
        <v>19</v>
      </c>
      <c r="D349" s="2">
        <v>4</v>
      </c>
      <c r="E349" s="1">
        <v>0</v>
      </c>
      <c r="F349" s="1">
        <v>0</v>
      </c>
      <c r="G349" s="1">
        <v>0</v>
      </c>
      <c r="H349" s="1">
        <v>0</v>
      </c>
      <c r="I349" s="1">
        <v>96916.27358490562</v>
      </c>
      <c r="J349" s="1">
        <v>96916.27358490562</v>
      </c>
      <c r="K349" s="1">
        <v>96916.27358490562</v>
      </c>
      <c r="L349" s="1">
        <v>96916.27358490562</v>
      </c>
    </row>
    <row r="350" spans="1:12" s="1" customFormat="1">
      <c r="A350" s="3">
        <v>45495</v>
      </c>
      <c r="B350" s="2" t="s">
        <v>12</v>
      </c>
      <c r="C350" s="2">
        <v>18</v>
      </c>
      <c r="D350" s="2">
        <v>3</v>
      </c>
      <c r="E350" s="1">
        <v>0</v>
      </c>
      <c r="F350" s="1">
        <v>0</v>
      </c>
      <c r="G350" s="1">
        <v>0</v>
      </c>
      <c r="H350" s="1">
        <v>0</v>
      </c>
      <c r="I350" s="1">
        <v>-37338.63531581376</v>
      </c>
      <c r="J350" s="1">
        <v>27858.4601198709</v>
      </c>
      <c r="K350" s="1">
        <v>46911.01890272015</v>
      </c>
      <c r="L350" s="1">
        <v>46911.01890272015</v>
      </c>
    </row>
    <row r="351" spans="1:12" s="1" customFormat="1">
      <c r="A351" s="3">
        <v>45496</v>
      </c>
      <c r="B351" s="2" t="s">
        <v>13</v>
      </c>
      <c r="C351" s="2">
        <v>17</v>
      </c>
      <c r="D351" s="2">
        <v>2</v>
      </c>
      <c r="E351" s="1">
        <v>0</v>
      </c>
      <c r="F351" s="1">
        <v>0</v>
      </c>
      <c r="G351" s="1">
        <v>0</v>
      </c>
      <c r="H351" s="1">
        <v>0</v>
      </c>
      <c r="I351" s="1">
        <v>46508.65896980461</v>
      </c>
      <c r="J351" s="1">
        <v>74267.31793960925</v>
      </c>
      <c r="K351" s="1">
        <v>74267.31793960925</v>
      </c>
      <c r="L351" s="1">
        <v>74267.31793960925</v>
      </c>
    </row>
    <row r="352" spans="1:12" s="1" customFormat="1">
      <c r="A352" s="3">
        <v>45497</v>
      </c>
      <c r="B352" s="2" t="s">
        <v>14</v>
      </c>
      <c r="C352" s="2">
        <v>16</v>
      </c>
      <c r="D352" s="2">
        <v>1</v>
      </c>
      <c r="E352" s="1">
        <v>0</v>
      </c>
      <c r="F352" s="1">
        <v>0</v>
      </c>
      <c r="G352" s="1">
        <v>0</v>
      </c>
      <c r="H352" s="1">
        <v>0</v>
      </c>
      <c r="I352" s="1">
        <v>-45248.8425925926</v>
      </c>
      <c r="J352" s="1">
        <v>-32563.65740740741</v>
      </c>
      <c r="K352" s="1">
        <v>85601.85185185184</v>
      </c>
      <c r="L352" s="1">
        <v>103518.5185185185</v>
      </c>
    </row>
    <row r="353" spans="1:12" s="1" customFormat="1">
      <c r="A353" s="3">
        <v>45498</v>
      </c>
      <c r="B353" s="2" t="s">
        <v>16</v>
      </c>
      <c r="C353" s="2">
        <v>15</v>
      </c>
      <c r="D353" s="2">
        <v>16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 s="1" customFormat="1">
      <c r="A354" s="3">
        <v>45499</v>
      </c>
      <c r="B354" s="2" t="s">
        <v>15</v>
      </c>
      <c r="C354" s="2">
        <v>14</v>
      </c>
      <c r="D354" s="2">
        <v>15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 s="1" customFormat="1">
      <c r="A355" s="3">
        <v>45502</v>
      </c>
      <c r="B355" s="2" t="s">
        <v>12</v>
      </c>
      <c r="C355" s="2">
        <v>13</v>
      </c>
      <c r="D355" s="2">
        <v>14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</row>
    <row r="356" spans="1:12" s="1" customFormat="1">
      <c r="A356" s="3">
        <v>45503</v>
      </c>
      <c r="B356" s="2" t="s">
        <v>13</v>
      </c>
      <c r="C356" s="2">
        <v>12</v>
      </c>
      <c r="D356" s="2">
        <v>13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 s="1" customFormat="1">
      <c r="A357" s="3">
        <v>45504</v>
      </c>
      <c r="B357" s="2" t="s">
        <v>14</v>
      </c>
      <c r="C357" s="2">
        <v>11</v>
      </c>
      <c r="D357" s="2">
        <v>12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 s="1" customFormat="1">
      <c r="A358" s="3">
        <v>45505</v>
      </c>
      <c r="B358" s="2" t="s">
        <v>16</v>
      </c>
      <c r="C358" s="2">
        <v>10</v>
      </c>
      <c r="D358" s="2">
        <v>11</v>
      </c>
      <c r="E358" s="1">
        <v>-4000.609487691715</v>
      </c>
      <c r="F358" s="1">
        <v>-76549.96106050858</v>
      </c>
      <c r="G358" s="1">
        <v>-76549.96106050858</v>
      </c>
      <c r="H358" s="1">
        <v>-76549.96106050858</v>
      </c>
      <c r="I358" s="1">
        <v>0</v>
      </c>
      <c r="J358" s="1">
        <v>0</v>
      </c>
      <c r="K358" s="1">
        <v>0</v>
      </c>
      <c r="L358" s="1">
        <v>0</v>
      </c>
    </row>
    <row r="359" spans="1:12" s="1" customFormat="1">
      <c r="A359" s="3">
        <v>45506</v>
      </c>
      <c r="B359" s="2" t="s">
        <v>15</v>
      </c>
      <c r="C359" s="2">
        <v>9</v>
      </c>
      <c r="D359" s="2">
        <v>10</v>
      </c>
      <c r="E359" s="1">
        <v>86395.26072880073</v>
      </c>
      <c r="F359" s="1">
        <v>-314255.7002135427</v>
      </c>
      <c r="G359" s="1">
        <v>-329502.479851209</v>
      </c>
      <c r="H359" s="1">
        <v>-329502.479851209</v>
      </c>
      <c r="I359" s="1">
        <v>0</v>
      </c>
      <c r="J359" s="1">
        <v>0</v>
      </c>
      <c r="K359" s="1">
        <v>0</v>
      </c>
      <c r="L359" s="1">
        <v>0</v>
      </c>
    </row>
    <row r="360" spans="1:12" s="1" customFormat="1">
      <c r="A360" s="3">
        <v>45509</v>
      </c>
      <c r="B360" s="2" t="s">
        <v>12</v>
      </c>
      <c r="C360" s="2">
        <v>8</v>
      </c>
      <c r="D360" s="2">
        <v>9</v>
      </c>
      <c r="E360" s="1">
        <v>201559.6396137693</v>
      </c>
      <c r="F360" s="1">
        <v>201559.6396137693</v>
      </c>
      <c r="G360" s="1">
        <v>201559.6396137693</v>
      </c>
      <c r="H360" s="1">
        <v>201559.6396137693</v>
      </c>
      <c r="I360" s="1">
        <v>0</v>
      </c>
      <c r="J360" s="1">
        <v>0</v>
      </c>
      <c r="K360" s="1">
        <v>0</v>
      </c>
      <c r="L360" s="1">
        <v>0</v>
      </c>
    </row>
    <row r="361" spans="1:12" s="1" customFormat="1">
      <c r="A361" s="3">
        <v>45510</v>
      </c>
      <c r="B361" s="2" t="s">
        <v>13</v>
      </c>
      <c r="C361" s="2">
        <v>7</v>
      </c>
      <c r="D361" s="2">
        <v>8</v>
      </c>
      <c r="E361" s="1">
        <v>100505.7906777238</v>
      </c>
      <c r="F361" s="1">
        <v>100505.7906777238</v>
      </c>
      <c r="G361" s="1">
        <v>100505.7906777238</v>
      </c>
      <c r="H361" s="1">
        <v>100505.7906777238</v>
      </c>
      <c r="I361" s="1">
        <v>0</v>
      </c>
      <c r="J361" s="1">
        <v>0</v>
      </c>
      <c r="K361" s="1">
        <v>0</v>
      </c>
      <c r="L361" s="1">
        <v>0</v>
      </c>
    </row>
    <row r="362" spans="1:12" s="1" customFormat="1">
      <c r="A362" s="3">
        <v>45511</v>
      </c>
      <c r="B362" s="2" t="s">
        <v>14</v>
      </c>
      <c r="C362" s="2">
        <v>6</v>
      </c>
      <c r="D362" s="2">
        <v>7</v>
      </c>
      <c r="E362" s="1">
        <v>107275.6479676558</v>
      </c>
      <c r="F362" s="1">
        <v>107275.6479676558</v>
      </c>
      <c r="G362" s="1">
        <v>107275.6479676558</v>
      </c>
      <c r="H362" s="1">
        <v>107275.6479676558</v>
      </c>
      <c r="I362" s="1">
        <v>0</v>
      </c>
      <c r="J362" s="1">
        <v>0</v>
      </c>
      <c r="K362" s="1">
        <v>0</v>
      </c>
      <c r="L362" s="1">
        <v>0</v>
      </c>
    </row>
    <row r="363" spans="1:12" s="1" customFormat="1">
      <c r="A363" s="3">
        <v>45512</v>
      </c>
      <c r="B363" s="2" t="s">
        <v>16</v>
      </c>
      <c r="C363" s="2">
        <v>5</v>
      </c>
      <c r="D363" s="2">
        <v>6</v>
      </c>
      <c r="E363" s="1">
        <v>129369.7052439964</v>
      </c>
      <c r="F363" s="1">
        <v>135405.7270881468</v>
      </c>
      <c r="G363" s="1">
        <v>135405.7270881468</v>
      </c>
      <c r="H363" s="1">
        <v>135405.7270881468</v>
      </c>
      <c r="I363" s="1">
        <v>59608.12086874409</v>
      </c>
      <c r="J363" s="1">
        <v>59608.12086874409</v>
      </c>
      <c r="K363" s="1">
        <v>59608.12086874409</v>
      </c>
      <c r="L363" s="1">
        <v>59608.12086874409</v>
      </c>
    </row>
    <row r="364" spans="1:12" s="1" customFormat="1">
      <c r="A364" s="3">
        <v>45513</v>
      </c>
      <c r="B364" s="2" t="s">
        <v>15</v>
      </c>
      <c r="C364" s="2">
        <v>4</v>
      </c>
      <c r="D364" s="2">
        <v>5</v>
      </c>
      <c r="E364" s="1">
        <v>101274.591299529</v>
      </c>
      <c r="F364" s="1">
        <v>101274.591299529</v>
      </c>
      <c r="G364" s="1">
        <v>101274.591299529</v>
      </c>
      <c r="H364" s="1">
        <v>101274.591299529</v>
      </c>
      <c r="I364" s="1">
        <v>31105.4579093432</v>
      </c>
      <c r="J364" s="1">
        <v>31105.4579093432</v>
      </c>
      <c r="K364" s="1">
        <v>31105.4579093432</v>
      </c>
      <c r="L364" s="1">
        <v>31105.4579093432</v>
      </c>
    </row>
    <row r="365" spans="1:12" s="1" customFormat="1">
      <c r="A365" s="3">
        <v>45516</v>
      </c>
      <c r="B365" s="2" t="s">
        <v>12</v>
      </c>
      <c r="C365" s="2">
        <v>3</v>
      </c>
      <c r="D365" s="2">
        <v>4</v>
      </c>
      <c r="E365" s="1">
        <v>99701.0001031034</v>
      </c>
      <c r="F365" s="1">
        <v>-51001.82149362481</v>
      </c>
      <c r="G365" s="1">
        <v>-196979.0700072172</v>
      </c>
      <c r="H365" s="1">
        <v>-196979.0700072172</v>
      </c>
      <c r="I365" s="1">
        <v>-70062.97795771481</v>
      </c>
      <c r="J365" s="1">
        <v>-70062.97795771481</v>
      </c>
      <c r="K365" s="1">
        <v>-70062.97795771481</v>
      </c>
      <c r="L365" s="1">
        <v>-70062.97795771481</v>
      </c>
    </row>
    <row r="366" spans="1:12" s="1" customFormat="1">
      <c r="A366" s="3">
        <v>45517</v>
      </c>
      <c r="B366" s="2" t="s">
        <v>13</v>
      </c>
      <c r="C366" s="2">
        <v>2</v>
      </c>
      <c r="D366" s="2">
        <v>3</v>
      </c>
      <c r="E366" s="1">
        <v>138991.5531517094</v>
      </c>
      <c r="F366" s="1">
        <v>74891.49305555556</v>
      </c>
      <c r="G366" s="1">
        <v>112371.4610042735</v>
      </c>
      <c r="H366" s="1">
        <v>112371.4610042735</v>
      </c>
      <c r="I366" s="1">
        <v>28198.07427785419</v>
      </c>
      <c r="J366" s="1">
        <v>28198.07427785419</v>
      </c>
      <c r="K366" s="1">
        <v>28198.07427785419</v>
      </c>
      <c r="L366" s="1">
        <v>28198.07427785419</v>
      </c>
    </row>
    <row r="367" spans="1:12" s="1" customFormat="1">
      <c r="A367" s="3">
        <v>45518</v>
      </c>
      <c r="B367" s="2" t="s">
        <v>14</v>
      </c>
      <c r="C367" s="2">
        <v>1</v>
      </c>
      <c r="D367" s="2">
        <v>2</v>
      </c>
      <c r="E367" s="1">
        <v>-62182.39564428311</v>
      </c>
      <c r="F367" s="1">
        <v>15531.52517308597</v>
      </c>
      <c r="G367" s="1">
        <v>30483.29636351416</v>
      </c>
      <c r="H367" s="1">
        <v>31323.51952678631</v>
      </c>
      <c r="I367" s="1">
        <v>-110651.9742883379</v>
      </c>
      <c r="J367" s="1">
        <v>-109521.349862259</v>
      </c>
      <c r="K367" s="1">
        <v>-109521.349862259</v>
      </c>
      <c r="L367" s="1">
        <v>-109521.349862259</v>
      </c>
    </row>
    <row r="368" spans="1:12" s="1" customFormat="1">
      <c r="A368" s="3">
        <v>45527</v>
      </c>
      <c r="B368" s="2" t="s">
        <v>15</v>
      </c>
      <c r="C368" s="2">
        <v>18</v>
      </c>
      <c r="D368" s="2">
        <v>1</v>
      </c>
      <c r="E368" s="1">
        <v>0</v>
      </c>
      <c r="F368" s="1">
        <v>0</v>
      </c>
      <c r="G368" s="1">
        <v>0</v>
      </c>
      <c r="H368" s="1">
        <v>0</v>
      </c>
      <c r="I368" s="1">
        <v>96977.55791505791</v>
      </c>
      <c r="J368" s="1">
        <v>97556.70849420849</v>
      </c>
      <c r="K368" s="1">
        <v>101170.3667953668</v>
      </c>
      <c r="L368" s="1">
        <v>101170.3667953668</v>
      </c>
    </row>
    <row r="369" spans="1:12" s="1" customFormat="1">
      <c r="A369" s="3">
        <v>45530</v>
      </c>
      <c r="B369" s="2" t="s">
        <v>12</v>
      </c>
      <c r="C369" s="2">
        <v>17</v>
      </c>
      <c r="D369" s="2">
        <v>21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1:12" s="1" customFormat="1">
      <c r="A370" s="3">
        <v>45531</v>
      </c>
      <c r="B370" s="2" t="s">
        <v>13</v>
      </c>
      <c r="C370" s="2">
        <v>16</v>
      </c>
      <c r="D370" s="2">
        <v>20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</row>
    <row r="371" spans="1:12" s="1" customFormat="1">
      <c r="A371" s="3">
        <v>45532</v>
      </c>
      <c r="B371" s="2" t="s">
        <v>14</v>
      </c>
      <c r="C371" s="2">
        <v>15</v>
      </c>
      <c r="D371" s="2">
        <v>19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</row>
    <row r="372" spans="1:12" s="1" customFormat="1">
      <c r="A372" s="3">
        <v>45533</v>
      </c>
      <c r="B372" s="2" t="s">
        <v>16</v>
      </c>
      <c r="C372" s="2">
        <v>14</v>
      </c>
      <c r="D372" s="2">
        <v>18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 s="1" customFormat="1">
      <c r="A373" s="3">
        <v>45534</v>
      </c>
      <c r="B373" s="2" t="s">
        <v>15</v>
      </c>
      <c r="C373" s="2">
        <v>13</v>
      </c>
      <c r="D373" s="2">
        <v>17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 s="1" customFormat="1">
      <c r="A374" s="3">
        <v>45537</v>
      </c>
      <c r="B374" s="2" t="s">
        <v>12</v>
      </c>
      <c r="C374" s="2">
        <v>12</v>
      </c>
      <c r="D374" s="2">
        <v>16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</row>
    <row r="375" spans="1:12" s="1" customFormat="1">
      <c r="A375" s="3">
        <v>45538</v>
      </c>
      <c r="B375" s="2" t="s">
        <v>13</v>
      </c>
      <c r="C375" s="2">
        <v>11</v>
      </c>
      <c r="D375" s="2">
        <v>15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 s="1" customFormat="1">
      <c r="A376" s="3">
        <v>45539</v>
      </c>
      <c r="B376" s="2" t="s">
        <v>14</v>
      </c>
      <c r="C376" s="2">
        <v>10</v>
      </c>
      <c r="D376" s="2">
        <v>14</v>
      </c>
      <c r="E376" s="1">
        <v>-319966.8099871766</v>
      </c>
      <c r="F376" s="1">
        <v>-116014.1811872973</v>
      </c>
      <c r="G376" s="1">
        <v>-116014.1811872973</v>
      </c>
      <c r="H376" s="1">
        <v>-116014.1811872973</v>
      </c>
      <c r="I376" s="1">
        <v>0</v>
      </c>
      <c r="J376" s="1">
        <v>0</v>
      </c>
      <c r="K376" s="1">
        <v>0</v>
      </c>
      <c r="L376" s="1">
        <v>0</v>
      </c>
    </row>
    <row r="377" spans="1:12" s="1" customFormat="1">
      <c r="A377" s="3">
        <v>45540</v>
      </c>
      <c r="B377" s="2" t="s">
        <v>16</v>
      </c>
      <c r="C377" s="2">
        <v>9</v>
      </c>
      <c r="D377" s="2">
        <v>13</v>
      </c>
      <c r="E377" s="1">
        <v>124344.6048632219</v>
      </c>
      <c r="F377" s="1">
        <v>124344.6048632219</v>
      </c>
      <c r="G377" s="1">
        <v>124344.6048632219</v>
      </c>
      <c r="H377" s="1">
        <v>124344.6048632219</v>
      </c>
      <c r="I377" s="1">
        <v>0</v>
      </c>
      <c r="J377" s="1">
        <v>0</v>
      </c>
      <c r="K377" s="1">
        <v>0</v>
      </c>
      <c r="L377" s="1">
        <v>0</v>
      </c>
    </row>
    <row r="378" spans="1:12" s="1" customFormat="1">
      <c r="A378" s="3">
        <v>45541</v>
      </c>
      <c r="B378" s="2" t="s">
        <v>15</v>
      </c>
      <c r="C378" s="2">
        <v>8</v>
      </c>
      <c r="D378" s="2">
        <v>12</v>
      </c>
      <c r="E378" s="1">
        <v>5583.199877983679</v>
      </c>
      <c r="F378" s="1">
        <v>-57891.02417448333</v>
      </c>
      <c r="G378" s="1">
        <v>-57891.02417448333</v>
      </c>
      <c r="H378" s="1">
        <v>-57891.02417448333</v>
      </c>
      <c r="I378" s="1">
        <v>0</v>
      </c>
      <c r="J378" s="1">
        <v>0</v>
      </c>
      <c r="K378" s="1">
        <v>0</v>
      </c>
      <c r="L378" s="1">
        <v>0</v>
      </c>
    </row>
    <row r="379" spans="1:12" s="1" customFormat="1">
      <c r="A379" s="3">
        <v>45544</v>
      </c>
      <c r="B379" s="2" t="s">
        <v>12</v>
      </c>
      <c r="C379" s="2">
        <v>7</v>
      </c>
      <c r="D379" s="2">
        <v>11</v>
      </c>
      <c r="E379" s="1">
        <v>70098.88965995834</v>
      </c>
      <c r="F379" s="1">
        <v>133809.4687331328</v>
      </c>
      <c r="G379" s="1">
        <v>133809.4687331328</v>
      </c>
      <c r="H379" s="1">
        <v>133809.4687331328</v>
      </c>
      <c r="I379" s="1">
        <v>0</v>
      </c>
      <c r="J379" s="1">
        <v>0</v>
      </c>
      <c r="K379" s="1">
        <v>0</v>
      </c>
      <c r="L379" s="1">
        <v>0</v>
      </c>
    </row>
    <row r="380" spans="1:12" s="1" customFormat="1">
      <c r="A380" s="3">
        <v>45545</v>
      </c>
      <c r="B380" s="2" t="s">
        <v>13</v>
      </c>
      <c r="C380" s="2">
        <v>6</v>
      </c>
      <c r="D380" s="2">
        <v>10</v>
      </c>
      <c r="E380" s="1">
        <v>110297.7977977978</v>
      </c>
      <c r="F380" s="1">
        <v>-311952.3369523369</v>
      </c>
      <c r="G380" s="1">
        <v>-311948.4869484869</v>
      </c>
      <c r="H380" s="1">
        <v>-311948.4869484869</v>
      </c>
      <c r="I380" s="1">
        <v>0</v>
      </c>
      <c r="J380" s="1">
        <v>0</v>
      </c>
      <c r="K380" s="1">
        <v>0</v>
      </c>
      <c r="L380" s="1">
        <v>0</v>
      </c>
    </row>
    <row r="381" spans="1:12" s="1" customFormat="1">
      <c r="A381" s="3">
        <v>45546</v>
      </c>
      <c r="B381" s="2" t="s">
        <v>14</v>
      </c>
      <c r="C381" s="2">
        <v>5</v>
      </c>
      <c r="D381" s="2">
        <v>9</v>
      </c>
      <c r="E381" s="1">
        <v>-259979.8306574008</v>
      </c>
      <c r="F381" s="1">
        <v>101176.2121575206</v>
      </c>
      <c r="G381" s="1">
        <v>101176.2121575206</v>
      </c>
      <c r="H381" s="1">
        <v>101176.2121575206</v>
      </c>
      <c r="I381" s="1">
        <v>0</v>
      </c>
      <c r="J381" s="1">
        <v>0</v>
      </c>
      <c r="K381" s="1">
        <v>0</v>
      </c>
      <c r="L381" s="1">
        <v>0</v>
      </c>
    </row>
    <row r="382" spans="1:12" s="1" customFormat="1">
      <c r="A382" s="3">
        <v>45547</v>
      </c>
      <c r="B382" s="2" t="s">
        <v>16</v>
      </c>
      <c r="C382" s="2">
        <v>4</v>
      </c>
      <c r="D382" s="2">
        <v>8</v>
      </c>
      <c r="E382" s="1">
        <v>-81798.82812500001</v>
      </c>
      <c r="F382" s="1">
        <v>65371.09375</v>
      </c>
      <c r="G382" s="1">
        <v>65371.09375</v>
      </c>
      <c r="H382" s="1">
        <v>65371.09375</v>
      </c>
      <c r="I382" s="1">
        <v>0</v>
      </c>
      <c r="J382" s="1">
        <v>0</v>
      </c>
      <c r="K382" s="1">
        <v>0</v>
      </c>
      <c r="L382" s="1">
        <v>0</v>
      </c>
    </row>
    <row r="383" spans="1:12" s="1" customFormat="1">
      <c r="A383" s="3">
        <v>45548</v>
      </c>
      <c r="B383" s="2" t="s">
        <v>15</v>
      </c>
      <c r="C383" s="2">
        <v>3</v>
      </c>
      <c r="D383" s="2">
        <v>7</v>
      </c>
      <c r="E383" s="1">
        <v>16639.96643399323</v>
      </c>
      <c r="F383" s="1">
        <v>11872.06774230462</v>
      </c>
      <c r="G383" s="1">
        <v>11872.06774230462</v>
      </c>
      <c r="H383" s="1">
        <v>11872.06774230462</v>
      </c>
      <c r="I383" s="1">
        <v>0</v>
      </c>
      <c r="J383" s="1">
        <v>0</v>
      </c>
      <c r="K383" s="1">
        <v>0</v>
      </c>
      <c r="L383" s="1">
        <v>0</v>
      </c>
    </row>
    <row r="384" spans="1:12" s="1" customFormat="1">
      <c r="A384" s="3">
        <v>45551</v>
      </c>
      <c r="B384" s="2" t="s">
        <v>12</v>
      </c>
      <c r="C384" s="2">
        <v>2</v>
      </c>
      <c r="D384" s="2">
        <v>6</v>
      </c>
      <c r="E384" s="1">
        <v>103067.7497407535</v>
      </c>
      <c r="F384" s="1">
        <v>-109610.3621769021</v>
      </c>
      <c r="G384" s="1">
        <v>44196.72005223337</v>
      </c>
      <c r="H384" s="1">
        <v>44196.72005223337</v>
      </c>
      <c r="I384" s="1">
        <v>34187.33681462141</v>
      </c>
      <c r="J384" s="1">
        <v>49390.77458659704</v>
      </c>
      <c r="K384" s="1">
        <v>49390.77458659704</v>
      </c>
      <c r="L384" s="1">
        <v>49390.77458659704</v>
      </c>
    </row>
    <row r="385" spans="1:12" s="1" customFormat="1">
      <c r="A385" s="3">
        <v>45552</v>
      </c>
      <c r="B385" s="2" t="s">
        <v>13</v>
      </c>
      <c r="C385" s="2">
        <v>1</v>
      </c>
      <c r="D385" s="2">
        <v>5</v>
      </c>
      <c r="E385" s="1">
        <v>-46962.27477477478</v>
      </c>
      <c r="F385" s="1">
        <v>34781.34384384383</v>
      </c>
      <c r="G385" s="1">
        <v>-101013.5135135135</v>
      </c>
      <c r="H385" s="1">
        <v>-177496.2462462463</v>
      </c>
      <c r="I385" s="1">
        <v>66127.69485903815</v>
      </c>
      <c r="J385" s="1">
        <v>66127.69485903815</v>
      </c>
      <c r="K385" s="1">
        <v>66127.69485903815</v>
      </c>
      <c r="L385" s="1">
        <v>66127.69485903815</v>
      </c>
    </row>
    <row r="386" spans="1:12" s="1" customFormat="1">
      <c r="A386" s="3">
        <v>45553</v>
      </c>
      <c r="B386" s="2" t="s">
        <v>14</v>
      </c>
      <c r="C386" s="2">
        <v>21</v>
      </c>
      <c r="D386" s="2">
        <v>4</v>
      </c>
      <c r="E386" s="1">
        <v>0</v>
      </c>
      <c r="F386" s="1">
        <v>0</v>
      </c>
      <c r="G386" s="1">
        <v>0</v>
      </c>
      <c r="H386" s="1">
        <v>0</v>
      </c>
      <c r="I386" s="1">
        <v>47048.75962360992</v>
      </c>
      <c r="J386" s="1">
        <v>47048.75962360992</v>
      </c>
      <c r="K386" s="1">
        <v>47048.75962360992</v>
      </c>
      <c r="L386" s="1">
        <v>47048.75962360992</v>
      </c>
    </row>
    <row r="387" spans="1:12" s="1" customFormat="1">
      <c r="A387" s="3">
        <v>45554</v>
      </c>
      <c r="B387" s="2" t="s">
        <v>16</v>
      </c>
      <c r="C387" s="2">
        <v>20</v>
      </c>
      <c r="D387" s="2">
        <v>3</v>
      </c>
      <c r="E387" s="1">
        <v>0</v>
      </c>
      <c r="F387" s="1">
        <v>0</v>
      </c>
      <c r="G387" s="1">
        <v>0</v>
      </c>
      <c r="H387" s="1">
        <v>0</v>
      </c>
      <c r="I387" s="1">
        <v>96716.51495448635</v>
      </c>
      <c r="J387" s="1">
        <v>96716.51495448635</v>
      </c>
      <c r="K387" s="1">
        <v>96716.51495448635</v>
      </c>
      <c r="L387" s="1">
        <v>96716.51495448635</v>
      </c>
    </row>
    <row r="388" spans="1:12" s="1" customFormat="1">
      <c r="A388" s="3">
        <v>45555</v>
      </c>
      <c r="B388" s="2" t="s">
        <v>15</v>
      </c>
      <c r="C388" s="2">
        <v>19</v>
      </c>
      <c r="D388" s="2">
        <v>2</v>
      </c>
      <c r="E388" s="1">
        <v>0</v>
      </c>
      <c r="F388" s="1">
        <v>0</v>
      </c>
      <c r="G388" s="1">
        <v>0</v>
      </c>
      <c r="H388" s="1">
        <v>0</v>
      </c>
      <c r="I388" s="1">
        <v>-7066.369804919423</v>
      </c>
      <c r="J388" s="1">
        <v>-30958.43935538592</v>
      </c>
      <c r="K388" s="1">
        <v>-30958.43935538592</v>
      </c>
      <c r="L388" s="1">
        <v>-30958.43935538592</v>
      </c>
    </row>
    <row r="389" spans="1:12" s="1" customFormat="1">
      <c r="A389" s="3">
        <v>45558</v>
      </c>
      <c r="B389" s="2" t="s">
        <v>12</v>
      </c>
      <c r="C389" s="2">
        <v>18</v>
      </c>
      <c r="D389" s="2">
        <v>1</v>
      </c>
      <c r="E389" s="1">
        <v>0</v>
      </c>
      <c r="F389" s="1">
        <v>0</v>
      </c>
      <c r="G389" s="1">
        <v>0</v>
      </c>
      <c r="H389" s="1">
        <v>0</v>
      </c>
      <c r="I389" s="1">
        <v>-13187.70226537217</v>
      </c>
      <c r="J389" s="1">
        <v>-14704.6925566343</v>
      </c>
      <c r="K389" s="1">
        <v>-107200.6472491909</v>
      </c>
      <c r="L389" s="1">
        <v>-171925.5663430421</v>
      </c>
    </row>
    <row r="390" spans="1:12" s="1" customFormat="1">
      <c r="A390" s="3">
        <v>45559</v>
      </c>
      <c r="B390" s="2" t="s">
        <v>13</v>
      </c>
      <c r="C390" s="2">
        <v>17</v>
      </c>
      <c r="D390" s="2">
        <v>22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1:12" s="1" customFormat="1">
      <c r="A391" s="3">
        <v>45560</v>
      </c>
      <c r="B391" s="2" t="s">
        <v>14</v>
      </c>
      <c r="C391" s="2">
        <v>16</v>
      </c>
      <c r="D391" s="2">
        <v>21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 s="1" customFormat="1">
      <c r="A392" s="3">
        <v>45561</v>
      </c>
      <c r="B392" s="2" t="s">
        <v>16</v>
      </c>
      <c r="C392" s="2">
        <v>15</v>
      </c>
      <c r="D392" s="2">
        <v>20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 s="1" customFormat="1">
      <c r="A393" s="3">
        <v>45562</v>
      </c>
      <c r="B393" s="2" t="s">
        <v>15</v>
      </c>
      <c r="C393" s="2">
        <v>14</v>
      </c>
      <c r="D393" s="2">
        <v>19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1:12" s="1" customFormat="1">
      <c r="A394" s="3">
        <v>45565</v>
      </c>
      <c r="B394" s="2" t="s">
        <v>12</v>
      </c>
      <c r="C394" s="2">
        <v>13</v>
      </c>
      <c r="D394" s="2">
        <v>18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</row>
    <row r="395" spans="1:12" s="1" customFormat="1">
      <c r="A395" s="3">
        <v>45566</v>
      </c>
      <c r="B395" s="2" t="s">
        <v>13</v>
      </c>
      <c r="C395" s="2">
        <v>12</v>
      </c>
      <c r="D395" s="2">
        <v>17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</row>
    <row r="396" spans="1:12" s="1" customFormat="1">
      <c r="A396" s="3">
        <v>45568</v>
      </c>
      <c r="B396" s="2" t="s">
        <v>16</v>
      </c>
      <c r="C396" s="2">
        <v>11</v>
      </c>
      <c r="D396" s="2">
        <v>16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 s="1" customFormat="1">
      <c r="A397" s="3">
        <v>45569</v>
      </c>
      <c r="B397" s="2" t="s">
        <v>15</v>
      </c>
      <c r="C397" s="2">
        <v>10</v>
      </c>
      <c r="D397" s="2">
        <v>15</v>
      </c>
      <c r="E397" s="1">
        <v>233060.6723050459</v>
      </c>
      <c r="F397" s="1">
        <v>233060.6723050459</v>
      </c>
      <c r="G397" s="1">
        <v>233060.6723050459</v>
      </c>
      <c r="H397" s="1">
        <v>233060.6723050459</v>
      </c>
      <c r="I397" s="1">
        <v>0</v>
      </c>
      <c r="J397" s="1">
        <v>0</v>
      </c>
      <c r="K397" s="1">
        <v>0</v>
      </c>
      <c r="L397" s="1">
        <v>0</v>
      </c>
    </row>
    <row r="398" spans="1:12" s="1" customFormat="1">
      <c r="A398" s="3">
        <v>45572</v>
      </c>
      <c r="B398" s="2" t="s">
        <v>12</v>
      </c>
      <c r="C398" s="2">
        <v>9</v>
      </c>
      <c r="D398" s="2">
        <v>14</v>
      </c>
      <c r="E398" s="1">
        <v>44501.40624443732</v>
      </c>
      <c r="F398" s="1">
        <v>44501.40624443732</v>
      </c>
      <c r="G398" s="1">
        <v>44501.40624443732</v>
      </c>
      <c r="H398" s="1">
        <v>44501.40624443732</v>
      </c>
      <c r="I398" s="1">
        <v>0</v>
      </c>
      <c r="J398" s="1">
        <v>0</v>
      </c>
      <c r="K398" s="1">
        <v>0</v>
      </c>
      <c r="L398" s="1">
        <v>0</v>
      </c>
    </row>
    <row r="399" spans="1:12" s="1" customFormat="1">
      <c r="A399" s="3">
        <v>45573</v>
      </c>
      <c r="B399" s="2" t="s">
        <v>13</v>
      </c>
      <c r="C399" s="2">
        <v>8</v>
      </c>
      <c r="D399" s="2">
        <v>13</v>
      </c>
      <c r="E399" s="1">
        <v>71950.60483870968</v>
      </c>
      <c r="F399" s="1">
        <v>741972.8517797552</v>
      </c>
      <c r="G399" s="1">
        <v>741972.8517797552</v>
      </c>
      <c r="H399" s="1">
        <v>741972.8517797552</v>
      </c>
      <c r="I399" s="1">
        <v>0</v>
      </c>
      <c r="J399" s="1">
        <v>0</v>
      </c>
      <c r="K399" s="1">
        <v>0</v>
      </c>
      <c r="L399" s="1">
        <v>0</v>
      </c>
    </row>
    <row r="400" spans="1:12" s="1" customFormat="1">
      <c r="A400" s="3">
        <v>45574</v>
      </c>
      <c r="B400" s="2" t="s">
        <v>14</v>
      </c>
      <c r="C400" s="2">
        <v>7</v>
      </c>
      <c r="D400" s="2">
        <v>12</v>
      </c>
      <c r="E400" s="1">
        <v>58832.48004009882</v>
      </c>
      <c r="F400" s="1">
        <v>58832.48004009882</v>
      </c>
      <c r="G400" s="1">
        <v>58832.48004009882</v>
      </c>
      <c r="H400" s="1">
        <v>58832.48004009882</v>
      </c>
      <c r="I400" s="1">
        <v>0</v>
      </c>
      <c r="J400" s="1">
        <v>0</v>
      </c>
      <c r="K400" s="1">
        <v>0</v>
      </c>
      <c r="L400" s="1">
        <v>0</v>
      </c>
    </row>
    <row r="401" spans="1:12" s="1" customFormat="1">
      <c r="A401" s="3">
        <v>45575</v>
      </c>
      <c r="B401" s="2" t="s">
        <v>16</v>
      </c>
      <c r="C401" s="2">
        <v>6</v>
      </c>
      <c r="D401" s="2">
        <v>11</v>
      </c>
      <c r="E401" s="1">
        <v>-131121.1686682201</v>
      </c>
      <c r="F401" s="1">
        <v>-224153.0740276035</v>
      </c>
      <c r="G401" s="1">
        <v>-224153.0740276035</v>
      </c>
      <c r="H401" s="1">
        <v>-224153.0740276035</v>
      </c>
      <c r="I401" s="1">
        <v>0</v>
      </c>
      <c r="J401" s="1">
        <v>0</v>
      </c>
      <c r="K401" s="1">
        <v>0</v>
      </c>
      <c r="L401" s="1">
        <v>0</v>
      </c>
    </row>
    <row r="402" spans="1:12" s="1" customFormat="1">
      <c r="A402" s="3">
        <v>45576</v>
      </c>
      <c r="B402" s="2" t="s">
        <v>15</v>
      </c>
      <c r="C402" s="2">
        <v>5</v>
      </c>
      <c r="D402" s="2">
        <v>10</v>
      </c>
      <c r="E402" s="1">
        <v>9161.892118501955</v>
      </c>
      <c r="F402" s="1">
        <v>9161.892118501955</v>
      </c>
      <c r="G402" s="1">
        <v>9161.892118501955</v>
      </c>
      <c r="H402" s="1">
        <v>9161.892118501955</v>
      </c>
      <c r="I402" s="1">
        <v>0</v>
      </c>
      <c r="J402" s="1">
        <v>0</v>
      </c>
      <c r="K402" s="1">
        <v>0</v>
      </c>
      <c r="L402" s="1">
        <v>0</v>
      </c>
    </row>
    <row r="403" spans="1:12" s="1" customFormat="1">
      <c r="A403" s="3">
        <v>45579</v>
      </c>
      <c r="B403" s="2" t="s">
        <v>12</v>
      </c>
      <c r="C403" s="2">
        <v>4</v>
      </c>
      <c r="D403" s="2">
        <v>9</v>
      </c>
      <c r="E403" s="1">
        <v>248200.8479067303</v>
      </c>
      <c r="F403" s="1">
        <v>248200.8479067303</v>
      </c>
      <c r="G403" s="1">
        <v>248200.8479067303</v>
      </c>
      <c r="H403" s="1">
        <v>248200.8479067303</v>
      </c>
      <c r="I403" s="1">
        <v>0</v>
      </c>
      <c r="J403" s="1">
        <v>0</v>
      </c>
      <c r="K403" s="1">
        <v>0</v>
      </c>
      <c r="L403" s="1">
        <v>0</v>
      </c>
    </row>
    <row r="404" spans="1:12" s="1" customFormat="1">
      <c r="A404" s="3">
        <v>45580</v>
      </c>
      <c r="B404" s="2" t="s">
        <v>13</v>
      </c>
      <c r="C404" s="2">
        <v>3</v>
      </c>
      <c r="D404" s="2">
        <v>8</v>
      </c>
      <c r="E404" s="1">
        <v>134780.0521847782</v>
      </c>
      <c r="F404" s="1">
        <v>134780.0521847782</v>
      </c>
      <c r="G404" s="1">
        <v>134780.0521847782</v>
      </c>
      <c r="H404" s="1">
        <v>134780.0521847782</v>
      </c>
      <c r="I404" s="1">
        <v>0</v>
      </c>
      <c r="J404" s="1">
        <v>0</v>
      </c>
      <c r="K404" s="1">
        <v>0</v>
      </c>
      <c r="L404" s="1">
        <v>0</v>
      </c>
    </row>
    <row r="405" spans="1:12" s="1" customFormat="1">
      <c r="A405" s="3">
        <v>45581</v>
      </c>
      <c r="B405" s="2" t="s">
        <v>14</v>
      </c>
      <c r="C405" s="2">
        <v>2</v>
      </c>
      <c r="D405" s="2">
        <v>7</v>
      </c>
      <c r="E405" s="1">
        <v>257499.1602284179</v>
      </c>
      <c r="F405" s="1">
        <v>257499.1602284179</v>
      </c>
      <c r="G405" s="1">
        <v>257499.1602284179</v>
      </c>
      <c r="H405" s="1">
        <v>257499.1602284179</v>
      </c>
      <c r="I405" s="1">
        <v>0</v>
      </c>
      <c r="J405" s="1">
        <v>0</v>
      </c>
      <c r="K405" s="1">
        <v>0</v>
      </c>
      <c r="L405" s="1">
        <v>0</v>
      </c>
    </row>
    <row r="406" spans="1:12" s="1" customFormat="1">
      <c r="A406" s="3">
        <v>45582</v>
      </c>
      <c r="B406" s="2" t="s">
        <v>16</v>
      </c>
      <c r="C406" s="2">
        <v>1</v>
      </c>
      <c r="D406" s="2">
        <v>6</v>
      </c>
      <c r="E406" s="1">
        <v>-96477.58291889465</v>
      </c>
      <c r="F406" s="1">
        <v>253992.6335863591</v>
      </c>
      <c r="G406" s="1">
        <v>253992.6335863591</v>
      </c>
      <c r="H406" s="1">
        <v>253992.6335863591</v>
      </c>
      <c r="I406" s="1">
        <v>73290.24186822351</v>
      </c>
      <c r="J406" s="1">
        <v>73290.24186822351</v>
      </c>
      <c r="K406" s="1">
        <v>73290.24186822351</v>
      </c>
      <c r="L406" s="1">
        <v>73290.24186822351</v>
      </c>
    </row>
    <row r="407" spans="1:12" s="1" customFormat="1">
      <c r="A407" s="3">
        <v>45583</v>
      </c>
      <c r="B407" s="2" t="s">
        <v>15</v>
      </c>
      <c r="C407" s="2">
        <v>21</v>
      </c>
      <c r="D407" s="2">
        <v>5</v>
      </c>
      <c r="E407" s="1">
        <v>0</v>
      </c>
      <c r="F407" s="1">
        <v>0</v>
      </c>
      <c r="G407" s="1">
        <v>0</v>
      </c>
      <c r="H407" s="1">
        <v>0</v>
      </c>
      <c r="I407" s="1">
        <v>-37505.26759376316</v>
      </c>
      <c r="J407" s="1">
        <v>-37505.26759376316</v>
      </c>
      <c r="K407" s="1">
        <v>-37505.26759376316</v>
      </c>
      <c r="L407" s="1">
        <v>-37505.26759376316</v>
      </c>
    </row>
    <row r="408" spans="1:12" s="1" customFormat="1">
      <c r="A408" s="3">
        <v>45586</v>
      </c>
      <c r="B408" s="2" t="s">
        <v>12</v>
      </c>
      <c r="C408" s="2">
        <v>20</v>
      </c>
      <c r="D408" s="2">
        <v>4</v>
      </c>
      <c r="E408" s="1">
        <v>0</v>
      </c>
      <c r="F408" s="1">
        <v>0</v>
      </c>
      <c r="G408" s="1">
        <v>0</v>
      </c>
      <c r="H408" s="1">
        <v>0</v>
      </c>
      <c r="I408" s="1">
        <v>-16476.27416520211</v>
      </c>
      <c r="J408" s="1">
        <v>-16476.27416520211</v>
      </c>
      <c r="K408" s="1">
        <v>-16476.27416520211</v>
      </c>
      <c r="L408" s="1">
        <v>-16476.27416520211</v>
      </c>
    </row>
    <row r="409" spans="1:12" s="1" customFormat="1">
      <c r="A409" s="3">
        <v>45587</v>
      </c>
      <c r="B409" s="2" t="s">
        <v>13</v>
      </c>
      <c r="C409" s="2">
        <v>19</v>
      </c>
      <c r="D409" s="2">
        <v>3</v>
      </c>
      <c r="E409" s="1">
        <v>0</v>
      </c>
      <c r="F409" s="1">
        <v>0</v>
      </c>
      <c r="G409" s="1">
        <v>0</v>
      </c>
      <c r="H409" s="1">
        <v>0</v>
      </c>
      <c r="I409" s="1">
        <v>94520.04219409279</v>
      </c>
      <c r="J409" s="1">
        <v>94520.04219409279</v>
      </c>
      <c r="K409" s="1">
        <v>94520.04219409279</v>
      </c>
      <c r="L409" s="1">
        <v>94520.04219409279</v>
      </c>
    </row>
    <row r="410" spans="1:12" s="1" customFormat="1">
      <c r="A410" s="3">
        <v>45588</v>
      </c>
      <c r="B410" s="2" t="s">
        <v>14</v>
      </c>
      <c r="C410" s="2">
        <v>18</v>
      </c>
      <c r="D410" s="2">
        <v>2</v>
      </c>
      <c r="E410" s="1">
        <v>0</v>
      </c>
      <c r="F410" s="1">
        <v>0</v>
      </c>
      <c r="G410" s="1">
        <v>0</v>
      </c>
      <c r="H410" s="1">
        <v>0</v>
      </c>
      <c r="I410" s="1">
        <v>14813.81833835557</v>
      </c>
      <c r="J410" s="1">
        <v>-106688.5492897116</v>
      </c>
      <c r="K410" s="1">
        <v>-106688.5492897116</v>
      </c>
      <c r="L410" s="1">
        <v>-106688.5492897116</v>
      </c>
    </row>
    <row r="411" spans="1:12" s="1" customFormat="1">
      <c r="A411" s="3">
        <v>45589</v>
      </c>
      <c r="B411" s="2" t="s">
        <v>16</v>
      </c>
      <c r="C411" s="2">
        <v>17</v>
      </c>
      <c r="D411" s="2">
        <v>1</v>
      </c>
      <c r="E411" s="1">
        <v>0</v>
      </c>
      <c r="F411" s="1">
        <v>0</v>
      </c>
      <c r="G411" s="1">
        <v>0</v>
      </c>
      <c r="H411" s="1">
        <v>0</v>
      </c>
      <c r="I411" s="1">
        <v>-62184.1342170671</v>
      </c>
      <c r="J411" s="1">
        <v>-79789.76801988402</v>
      </c>
      <c r="K411" s="1">
        <v>105607.9121789561</v>
      </c>
      <c r="L411" s="1">
        <v>105607.9121789561</v>
      </c>
    </row>
    <row r="412" spans="1:12" s="1" customFormat="1">
      <c r="A412" s="3">
        <v>45590</v>
      </c>
      <c r="B412" s="2" t="s">
        <v>15</v>
      </c>
      <c r="C412" s="2">
        <v>16</v>
      </c>
      <c r="D412" s="2">
        <v>20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2" s="1" customFormat="1">
      <c r="A413" s="3">
        <v>45593</v>
      </c>
      <c r="B413" s="2" t="s">
        <v>12</v>
      </c>
      <c r="C413" s="2">
        <v>15</v>
      </c>
      <c r="D413" s="2">
        <v>19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 s="1" customFormat="1">
      <c r="A414" s="3">
        <v>45594</v>
      </c>
      <c r="B414" s="2" t="s">
        <v>13</v>
      </c>
      <c r="C414" s="2">
        <v>14</v>
      </c>
      <c r="D414" s="2">
        <v>18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 s="1" customFormat="1">
      <c r="A415" s="3">
        <v>45595</v>
      </c>
      <c r="B415" s="2" t="s">
        <v>14</v>
      </c>
      <c r="C415" s="2">
        <v>13</v>
      </c>
      <c r="D415" s="2">
        <v>17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</row>
    <row r="416" spans="1:12" s="1" customFormat="1">
      <c r="A416" s="3">
        <v>45596</v>
      </c>
      <c r="B416" s="2" t="s">
        <v>16</v>
      </c>
      <c r="C416" s="2">
        <v>12</v>
      </c>
      <c r="D416" s="2">
        <v>16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 spans="1:12" s="1" customFormat="1">
      <c r="A417" s="3">
        <v>45597</v>
      </c>
      <c r="B417" s="2" t="s">
        <v>15</v>
      </c>
      <c r="C417" s="2">
        <v>11</v>
      </c>
      <c r="D417" s="2">
        <v>15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1:12" s="1" customFormat="1">
      <c r="A418" s="3">
        <v>45600</v>
      </c>
      <c r="B418" s="2" t="s">
        <v>12</v>
      </c>
      <c r="C418" s="2">
        <v>10</v>
      </c>
      <c r="D418" s="2">
        <v>14</v>
      </c>
      <c r="E418" s="1">
        <v>4001.047002954045</v>
      </c>
      <c r="F418" s="1">
        <v>4001.047002954045</v>
      </c>
      <c r="G418" s="1">
        <v>4001.047002954045</v>
      </c>
      <c r="H418" s="1">
        <v>4001.047002954045</v>
      </c>
      <c r="I418" s="1">
        <v>0</v>
      </c>
      <c r="J418" s="1">
        <v>0</v>
      </c>
      <c r="K418" s="1">
        <v>0</v>
      </c>
      <c r="L418" s="1">
        <v>0</v>
      </c>
    </row>
    <row r="419" spans="1:12" s="1" customFormat="1">
      <c r="A419" s="3">
        <v>45601</v>
      </c>
      <c r="B419" s="2" t="s">
        <v>13</v>
      </c>
      <c r="C419" s="2">
        <v>9</v>
      </c>
      <c r="D419" s="2">
        <v>13</v>
      </c>
      <c r="E419" s="1">
        <v>102561.9743249225</v>
      </c>
      <c r="F419" s="1">
        <v>102561.9743249225</v>
      </c>
      <c r="G419" s="1">
        <v>102561.9743249225</v>
      </c>
      <c r="H419" s="1">
        <v>102561.9743249225</v>
      </c>
      <c r="I419" s="1">
        <v>0</v>
      </c>
      <c r="J419" s="1">
        <v>0</v>
      </c>
      <c r="K419" s="1">
        <v>0</v>
      </c>
      <c r="L419" s="1">
        <v>0</v>
      </c>
    </row>
    <row r="420" spans="1:12" s="1" customFormat="1">
      <c r="A420" s="3">
        <v>45602</v>
      </c>
      <c r="B420" s="2" t="s">
        <v>14</v>
      </c>
      <c r="C420" s="2">
        <v>8</v>
      </c>
      <c r="D420" s="2">
        <v>12</v>
      </c>
      <c r="E420" s="1">
        <v>-177519.8449326195</v>
      </c>
      <c r="F420" s="1">
        <v>28216.72512460772</v>
      </c>
      <c r="G420" s="1">
        <v>28216.72512460772</v>
      </c>
      <c r="H420" s="1">
        <v>28216.72512460772</v>
      </c>
      <c r="I420" s="1">
        <v>0</v>
      </c>
      <c r="J420" s="1">
        <v>0</v>
      </c>
      <c r="K420" s="1">
        <v>0</v>
      </c>
      <c r="L420" s="1">
        <v>0</v>
      </c>
    </row>
    <row r="421" spans="1:12" s="1" customFormat="1">
      <c r="A421" s="3">
        <v>45603</v>
      </c>
      <c r="B421" s="2" t="s">
        <v>16</v>
      </c>
      <c r="C421" s="2">
        <v>7</v>
      </c>
      <c r="D421" s="2">
        <v>11</v>
      </c>
      <c r="E421" s="1">
        <v>62384.04791468845</v>
      </c>
      <c r="F421" s="1">
        <v>47659.04608867138</v>
      </c>
      <c r="G421" s="1">
        <v>47659.04608867138</v>
      </c>
      <c r="H421" s="1">
        <v>47659.04608867138</v>
      </c>
      <c r="I421" s="1">
        <v>0</v>
      </c>
      <c r="J421" s="1">
        <v>0</v>
      </c>
      <c r="K421" s="1">
        <v>0</v>
      </c>
      <c r="L421" s="1">
        <v>0</v>
      </c>
    </row>
    <row r="422" spans="1:12" s="1" customFormat="1">
      <c r="A422" s="3">
        <v>45604</v>
      </c>
      <c r="B422" s="2" t="s">
        <v>15</v>
      </c>
      <c r="C422" s="2">
        <v>6</v>
      </c>
      <c r="D422" s="2">
        <v>10</v>
      </c>
      <c r="E422" s="1">
        <v>-28876.62860488945</v>
      </c>
      <c r="F422" s="1">
        <v>31785.24374176548</v>
      </c>
      <c r="G422" s="1">
        <v>31785.24374176548</v>
      </c>
      <c r="H422" s="1">
        <v>31785.24374176548</v>
      </c>
      <c r="I422" s="1">
        <v>0</v>
      </c>
      <c r="J422" s="1">
        <v>0</v>
      </c>
      <c r="K422" s="1">
        <v>0</v>
      </c>
      <c r="L422" s="1">
        <v>0</v>
      </c>
    </row>
    <row r="423" spans="1:12" s="1" customFormat="1">
      <c r="A423" s="3">
        <v>45607</v>
      </c>
      <c r="B423" s="2" t="s">
        <v>12</v>
      </c>
      <c r="C423" s="2">
        <v>5</v>
      </c>
      <c r="D423" s="2">
        <v>9</v>
      </c>
      <c r="E423" s="1">
        <v>21552.17717717717</v>
      </c>
      <c r="F423" s="1">
        <v>33286.41141141142</v>
      </c>
      <c r="G423" s="1">
        <v>33286.41141141142</v>
      </c>
      <c r="H423" s="1">
        <v>33286.41141141142</v>
      </c>
      <c r="I423" s="1">
        <v>0</v>
      </c>
      <c r="J423" s="1">
        <v>0</v>
      </c>
      <c r="K423" s="1">
        <v>0</v>
      </c>
      <c r="L423" s="1">
        <v>0</v>
      </c>
    </row>
    <row r="424" spans="1:12" s="1" customFormat="1">
      <c r="A424" s="3">
        <v>45608</v>
      </c>
      <c r="B424" s="2" t="s">
        <v>13</v>
      </c>
      <c r="C424" s="2">
        <v>4</v>
      </c>
      <c r="D424" s="2">
        <v>8</v>
      </c>
      <c r="E424" s="1">
        <v>44099.03634041565</v>
      </c>
      <c r="F424" s="1">
        <v>99829.71477224349</v>
      </c>
      <c r="G424" s="1">
        <v>99829.71477224349</v>
      </c>
      <c r="H424" s="1">
        <v>99829.71477224349</v>
      </c>
      <c r="I424" s="1">
        <v>0</v>
      </c>
      <c r="J424" s="1">
        <v>0</v>
      </c>
      <c r="K424" s="1">
        <v>0</v>
      </c>
      <c r="L424" s="1">
        <v>0</v>
      </c>
    </row>
    <row r="425" spans="1:12" s="1" customFormat="1">
      <c r="A425" s="3">
        <v>45609</v>
      </c>
      <c r="B425" s="2" t="s">
        <v>14</v>
      </c>
      <c r="C425" s="2">
        <v>3</v>
      </c>
      <c r="D425" s="2">
        <v>7</v>
      </c>
      <c r="E425" s="1">
        <v>-127789.8522849669</v>
      </c>
      <c r="F425" s="1">
        <v>-214620.518541314</v>
      </c>
      <c r="G425" s="1">
        <v>109584.1667948915</v>
      </c>
      <c r="H425" s="1">
        <v>109584.1667948915</v>
      </c>
      <c r="I425" s="1">
        <v>0</v>
      </c>
      <c r="J425" s="1">
        <v>0</v>
      </c>
      <c r="K425" s="1">
        <v>0</v>
      </c>
      <c r="L425" s="1">
        <v>0</v>
      </c>
    </row>
    <row r="426" spans="1:12" s="1" customFormat="1">
      <c r="A426" s="3">
        <v>45610</v>
      </c>
      <c r="B426" s="2" t="s">
        <v>16</v>
      </c>
      <c r="C426" s="2">
        <v>2</v>
      </c>
      <c r="D426" s="2">
        <v>6</v>
      </c>
      <c r="E426" s="1">
        <v>-31541.57823654254</v>
      </c>
      <c r="F426" s="1">
        <v>181844.4916071773</v>
      </c>
      <c r="G426" s="1">
        <v>181844.4916071773</v>
      </c>
      <c r="H426" s="1">
        <v>181844.4916071773</v>
      </c>
      <c r="I426" s="1">
        <v>95601.92883272366</v>
      </c>
      <c r="J426" s="1">
        <v>95601.92883272366</v>
      </c>
      <c r="K426" s="1">
        <v>95601.92883272366</v>
      </c>
      <c r="L426" s="1">
        <v>95601.92883272366</v>
      </c>
    </row>
    <row r="427" spans="1:12" s="1" customFormat="1">
      <c r="A427" s="3">
        <v>45611</v>
      </c>
      <c r="B427" s="2" t="s">
        <v>15</v>
      </c>
      <c r="C427" s="2">
        <v>1</v>
      </c>
      <c r="D427" s="2">
        <v>5</v>
      </c>
      <c r="E427" s="1">
        <v>-54008.61402966624</v>
      </c>
      <c r="F427" s="1">
        <v>-100844.9860939431</v>
      </c>
      <c r="G427" s="1">
        <v>-116733.6217552534</v>
      </c>
      <c r="H427" s="1">
        <v>-143676.6069221261</v>
      </c>
      <c r="I427" s="1">
        <v>-130284.9599417335</v>
      </c>
      <c r="J427" s="1">
        <v>-123393.1172614712</v>
      </c>
      <c r="K427" s="1">
        <v>-123393.1172614712</v>
      </c>
      <c r="L427" s="1">
        <v>-123393.1172614712</v>
      </c>
    </row>
    <row r="428" spans="1:12" s="1" customFormat="1">
      <c r="A428" s="3">
        <v>45614</v>
      </c>
      <c r="B428" s="2" t="s">
        <v>12</v>
      </c>
      <c r="C428" s="2">
        <v>21</v>
      </c>
      <c r="D428" s="2">
        <v>4</v>
      </c>
      <c r="E428" s="1">
        <v>0</v>
      </c>
      <c r="F428" s="1">
        <v>0</v>
      </c>
      <c r="G428" s="1">
        <v>0</v>
      </c>
      <c r="H428" s="1">
        <v>0</v>
      </c>
      <c r="I428" s="1">
        <v>78716.21621621623</v>
      </c>
      <c r="J428" s="1">
        <v>78716.21621621623</v>
      </c>
      <c r="K428" s="1">
        <v>78716.21621621623</v>
      </c>
      <c r="L428" s="1">
        <v>78716.21621621623</v>
      </c>
    </row>
    <row r="429" spans="1:12" s="1" customFormat="1">
      <c r="A429" s="3">
        <v>45615</v>
      </c>
      <c r="B429" s="2" t="s">
        <v>13</v>
      </c>
      <c r="C429" s="2">
        <v>20</v>
      </c>
      <c r="D429" s="2">
        <v>3</v>
      </c>
      <c r="E429" s="1">
        <v>0</v>
      </c>
      <c r="F429" s="1">
        <v>0</v>
      </c>
      <c r="G429" s="1">
        <v>0</v>
      </c>
      <c r="H429" s="1">
        <v>0</v>
      </c>
      <c r="I429" s="1">
        <v>92094.48160535122</v>
      </c>
      <c r="J429" s="1">
        <v>92094.48160535122</v>
      </c>
      <c r="K429" s="1">
        <v>92094.48160535122</v>
      </c>
      <c r="L429" s="1">
        <v>92094.48160535122</v>
      </c>
    </row>
    <row r="430" spans="1:12" s="1" customFormat="1">
      <c r="A430" s="3">
        <v>45616</v>
      </c>
      <c r="B430" s="2" t="s">
        <v>14</v>
      </c>
      <c r="C430" s="2">
        <v>19</v>
      </c>
      <c r="D430" s="2">
        <v>2</v>
      </c>
      <c r="E430" s="1">
        <v>0</v>
      </c>
      <c r="F430" s="1">
        <v>0</v>
      </c>
      <c r="G430" s="1">
        <v>0</v>
      </c>
      <c r="H430" s="1">
        <v>0</v>
      </c>
      <c r="I430" s="1">
        <v>-173499.0470139772</v>
      </c>
      <c r="J430" s="1">
        <v>-184879.2884371029</v>
      </c>
      <c r="K430" s="1">
        <v>-184895.1715374841</v>
      </c>
      <c r="L430" s="1">
        <v>-184895.1715374841</v>
      </c>
    </row>
    <row r="431" spans="1:12" s="1" customFormat="1">
      <c r="A431" s="3">
        <v>45617</v>
      </c>
      <c r="B431" s="2" t="s">
        <v>16</v>
      </c>
      <c r="C431" s="2">
        <v>18</v>
      </c>
      <c r="D431" s="2">
        <v>1</v>
      </c>
      <c r="E431" s="1">
        <v>0</v>
      </c>
      <c r="F431" s="1">
        <v>0</v>
      </c>
      <c r="G431" s="1">
        <v>0</v>
      </c>
      <c r="H431" s="1">
        <v>0</v>
      </c>
      <c r="I431" s="1">
        <v>98758.83799569626</v>
      </c>
      <c r="J431" s="1">
        <v>98758.83799569626</v>
      </c>
      <c r="K431" s="1">
        <v>98758.83799569626</v>
      </c>
      <c r="L431" s="1">
        <v>98758.83799569626</v>
      </c>
    </row>
    <row r="432" spans="1:12" s="1" customFormat="1">
      <c r="A432" s="3">
        <v>45618</v>
      </c>
      <c r="B432" s="2" t="s">
        <v>15</v>
      </c>
      <c r="C432" s="2">
        <v>17</v>
      </c>
      <c r="D432" s="2">
        <v>22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</row>
    <row r="433" spans="1:12" s="1" customFormat="1">
      <c r="A433" s="3">
        <v>45621</v>
      </c>
      <c r="B433" s="2" t="s">
        <v>12</v>
      </c>
      <c r="C433" s="2">
        <v>16</v>
      </c>
      <c r="D433" s="2">
        <v>21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1:12" s="1" customFormat="1">
      <c r="A434" s="3">
        <v>45622</v>
      </c>
      <c r="B434" s="2" t="s">
        <v>13</v>
      </c>
      <c r="C434" s="2">
        <v>15</v>
      </c>
      <c r="D434" s="2">
        <v>20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1:12" s="1" customFormat="1">
      <c r="A435" s="3">
        <v>45623</v>
      </c>
      <c r="B435" s="2" t="s">
        <v>14</v>
      </c>
      <c r="C435" s="2">
        <v>14</v>
      </c>
      <c r="D435" s="2">
        <v>19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</row>
    <row r="436" spans="1:12" s="1" customFormat="1">
      <c r="A436" s="3">
        <v>45624</v>
      </c>
      <c r="B436" s="2" t="s">
        <v>16</v>
      </c>
      <c r="C436" s="2">
        <v>13</v>
      </c>
      <c r="D436" s="2">
        <v>18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</row>
    <row r="437" spans="1:12" s="1" customFormat="1">
      <c r="A437" s="3">
        <v>45625</v>
      </c>
      <c r="B437" s="2" t="s">
        <v>15</v>
      </c>
      <c r="C437" s="2">
        <v>12</v>
      </c>
      <c r="D437" s="2">
        <v>17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1:12" s="1" customFormat="1">
      <c r="A438" s="3">
        <v>45628</v>
      </c>
      <c r="B438" s="2" t="s">
        <v>12</v>
      </c>
      <c r="C438" s="2">
        <v>11</v>
      </c>
      <c r="D438" s="2">
        <v>16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1:12" s="1" customFormat="1">
      <c r="A439" s="3">
        <v>45629</v>
      </c>
      <c r="B439" s="2" t="s">
        <v>13</v>
      </c>
      <c r="C439" s="2">
        <v>10</v>
      </c>
      <c r="D439" s="2">
        <v>15</v>
      </c>
      <c r="E439" s="1">
        <v>-54069.99078057775</v>
      </c>
      <c r="F439" s="1">
        <v>-32565.68838352797</v>
      </c>
      <c r="G439" s="1">
        <v>-32565.68838352797</v>
      </c>
      <c r="H439" s="1">
        <v>-32565.68838352797</v>
      </c>
      <c r="I439" s="1">
        <v>0</v>
      </c>
      <c r="J439" s="1">
        <v>0</v>
      </c>
      <c r="K439" s="1">
        <v>0</v>
      </c>
      <c r="L439" s="1">
        <v>0</v>
      </c>
    </row>
    <row r="440" spans="1:12" s="1" customFormat="1">
      <c r="A440" s="3">
        <v>45630</v>
      </c>
      <c r="B440" s="2" t="s">
        <v>14</v>
      </c>
      <c r="C440" s="2">
        <v>9</v>
      </c>
      <c r="D440" s="2">
        <v>14</v>
      </c>
      <c r="E440" s="1">
        <v>86250.79567154677</v>
      </c>
      <c r="F440" s="1">
        <v>86250.79567154677</v>
      </c>
      <c r="G440" s="1">
        <v>86250.79567154677</v>
      </c>
      <c r="H440" s="1">
        <v>86250.79567154677</v>
      </c>
      <c r="I440" s="1">
        <v>0</v>
      </c>
      <c r="J440" s="1">
        <v>0</v>
      </c>
      <c r="K440" s="1">
        <v>0</v>
      </c>
      <c r="L440" s="1">
        <v>0</v>
      </c>
    </row>
    <row r="441" spans="1:12" s="1" customFormat="1">
      <c r="A441" s="3">
        <v>45631</v>
      </c>
      <c r="B441" s="2" t="s">
        <v>16</v>
      </c>
      <c r="C441" s="2">
        <v>8</v>
      </c>
      <c r="D441" s="2">
        <v>13</v>
      </c>
      <c r="E441" s="1">
        <v>143626.9647489699</v>
      </c>
      <c r="F441" s="1">
        <v>143626.9647489699</v>
      </c>
      <c r="G441" s="1">
        <v>143626.9647489699</v>
      </c>
      <c r="H441" s="1">
        <v>143626.9647489699</v>
      </c>
      <c r="I441" s="1">
        <v>0</v>
      </c>
      <c r="J441" s="1">
        <v>0</v>
      </c>
      <c r="K441" s="1">
        <v>0</v>
      </c>
      <c r="L441" s="1">
        <v>0</v>
      </c>
    </row>
    <row r="442" spans="1:12" s="1" customFormat="1">
      <c r="A442" s="3">
        <v>45632</v>
      </c>
      <c r="B442" s="2" t="s">
        <v>15</v>
      </c>
      <c r="C442" s="2">
        <v>7</v>
      </c>
      <c r="D442" s="2">
        <v>12</v>
      </c>
      <c r="E442" s="1">
        <v>87962.252570201</v>
      </c>
      <c r="F442" s="1">
        <v>87962.252570201</v>
      </c>
      <c r="G442" s="1">
        <v>87962.252570201</v>
      </c>
      <c r="H442" s="1">
        <v>87962.252570201</v>
      </c>
      <c r="I442" s="1">
        <v>0</v>
      </c>
      <c r="J442" s="1">
        <v>0</v>
      </c>
      <c r="K442" s="1">
        <v>0</v>
      </c>
      <c r="L442" s="1">
        <v>0</v>
      </c>
    </row>
    <row r="443" spans="1:12" s="1" customFormat="1">
      <c r="A443" s="3">
        <v>45635</v>
      </c>
      <c r="B443" s="2" t="s">
        <v>12</v>
      </c>
      <c r="C443" s="2">
        <v>6</v>
      </c>
      <c r="D443" s="2">
        <v>11</v>
      </c>
      <c r="E443" s="1">
        <v>102172.5624199123</v>
      </c>
      <c r="F443" s="1">
        <v>102172.5624199123</v>
      </c>
      <c r="G443" s="1">
        <v>102172.5624199123</v>
      </c>
      <c r="H443" s="1">
        <v>102172.5624199123</v>
      </c>
      <c r="I443" s="1">
        <v>0</v>
      </c>
      <c r="J443" s="1">
        <v>0</v>
      </c>
      <c r="K443" s="1">
        <v>0</v>
      </c>
      <c r="L443" s="1">
        <v>0</v>
      </c>
    </row>
    <row r="444" spans="1:12" s="1" customFormat="1">
      <c r="A444" s="3">
        <v>45636</v>
      </c>
      <c r="B444" s="2" t="s">
        <v>13</v>
      </c>
      <c r="C444" s="2">
        <v>5</v>
      </c>
      <c r="D444" s="2">
        <v>10</v>
      </c>
      <c r="E444" s="1">
        <v>21263.5843477593</v>
      </c>
      <c r="F444" s="1">
        <v>40753.04327790792</v>
      </c>
      <c r="G444" s="1">
        <v>40753.04327790792</v>
      </c>
      <c r="H444" s="1">
        <v>40753.04327790792</v>
      </c>
      <c r="I444" s="1">
        <v>0</v>
      </c>
      <c r="J444" s="1">
        <v>0</v>
      </c>
      <c r="K444" s="1">
        <v>0</v>
      </c>
      <c r="L444" s="1">
        <v>0</v>
      </c>
    </row>
    <row r="445" spans="1:12" s="1" customFormat="1">
      <c r="A445" s="3">
        <v>45637</v>
      </c>
      <c r="B445" s="2" t="s">
        <v>14</v>
      </c>
      <c r="C445" s="2">
        <v>4</v>
      </c>
      <c r="D445" s="2">
        <v>9</v>
      </c>
      <c r="E445" s="1">
        <v>64062.322301831</v>
      </c>
      <c r="F445" s="1">
        <v>67098.82861366995</v>
      </c>
      <c r="G445" s="1">
        <v>67098.82861366995</v>
      </c>
      <c r="H445" s="1">
        <v>67098.82861366995</v>
      </c>
      <c r="I445" s="1">
        <v>0</v>
      </c>
      <c r="J445" s="1">
        <v>0</v>
      </c>
      <c r="K445" s="1">
        <v>0</v>
      </c>
      <c r="L445" s="1">
        <v>0</v>
      </c>
    </row>
    <row r="446" spans="1:12" s="1" customFormat="1">
      <c r="A446" s="3">
        <v>45638</v>
      </c>
      <c r="B446" s="2" t="s">
        <v>16</v>
      </c>
      <c r="C446" s="2">
        <v>3</v>
      </c>
      <c r="D446" s="2">
        <v>8</v>
      </c>
      <c r="E446" s="1">
        <v>-108092.9695932115</v>
      </c>
      <c r="F446" s="1">
        <v>-3699.430570545975</v>
      </c>
      <c r="G446" s="1">
        <v>70452.93833041795</v>
      </c>
      <c r="H446" s="1">
        <v>70452.93833041795</v>
      </c>
      <c r="I446" s="1">
        <v>0</v>
      </c>
      <c r="J446" s="1">
        <v>0</v>
      </c>
      <c r="K446" s="1">
        <v>0</v>
      </c>
      <c r="L446" s="1">
        <v>0</v>
      </c>
    </row>
    <row r="447" spans="1:12" s="1" customFormat="1">
      <c r="A447" s="3">
        <v>45639</v>
      </c>
      <c r="B447" s="2" t="s">
        <v>15</v>
      </c>
      <c r="C447" s="2">
        <v>2</v>
      </c>
      <c r="D447" s="2">
        <v>7</v>
      </c>
      <c r="E447" s="1">
        <v>204652.3345649983</v>
      </c>
      <c r="F447" s="1">
        <v>204652.3345649983</v>
      </c>
      <c r="G447" s="1">
        <v>204652.3345649983</v>
      </c>
      <c r="H447" s="1">
        <v>204652.3345649983</v>
      </c>
      <c r="I447" s="1">
        <v>0</v>
      </c>
      <c r="J447" s="1">
        <v>0</v>
      </c>
      <c r="K447" s="1">
        <v>0</v>
      </c>
      <c r="L447" s="1">
        <v>0</v>
      </c>
    </row>
    <row r="448" spans="1:12" s="1" customFormat="1">
      <c r="A448" s="3">
        <v>45642</v>
      </c>
      <c r="B448" s="2" t="s">
        <v>12</v>
      </c>
      <c r="C448" s="2">
        <v>1</v>
      </c>
      <c r="D448" s="2">
        <v>6</v>
      </c>
      <c r="E448" s="1">
        <v>79114.98708010337</v>
      </c>
      <c r="F448" s="1">
        <v>29844.03839055002</v>
      </c>
      <c r="G448" s="1">
        <v>130620.1550387597</v>
      </c>
      <c r="H448" s="1">
        <v>130620.1550387597</v>
      </c>
      <c r="I448" s="1">
        <v>33970.27600849257</v>
      </c>
      <c r="J448" s="1">
        <v>33970.27600849257</v>
      </c>
      <c r="K448" s="1">
        <v>33970.27600849257</v>
      </c>
      <c r="L448" s="1">
        <v>33970.27600849257</v>
      </c>
    </row>
    <row r="449" spans="1:12" s="1" customFormat="1">
      <c r="A449" s="3">
        <v>45643</v>
      </c>
      <c r="B449" s="2" t="s">
        <v>13</v>
      </c>
      <c r="C449" s="2">
        <v>21</v>
      </c>
      <c r="D449" s="2">
        <v>5</v>
      </c>
      <c r="E449" s="1">
        <v>0</v>
      </c>
      <c r="F449" s="1">
        <v>0</v>
      </c>
      <c r="G449" s="1">
        <v>0</v>
      </c>
      <c r="H449" s="1">
        <v>0</v>
      </c>
      <c r="I449" s="1">
        <v>-112808.7831655992</v>
      </c>
      <c r="J449" s="1">
        <v>26532.47941445565</v>
      </c>
      <c r="K449" s="1">
        <v>26532.47941445565</v>
      </c>
      <c r="L449" s="1">
        <v>26532.47941445565</v>
      </c>
    </row>
    <row r="450" spans="1:12" s="1" customFormat="1">
      <c r="A450" s="3">
        <v>45644</v>
      </c>
      <c r="B450" s="2" t="s">
        <v>14</v>
      </c>
      <c r="C450" s="2">
        <v>20</v>
      </c>
      <c r="D450" s="2">
        <v>4</v>
      </c>
      <c r="E450" s="1">
        <v>0</v>
      </c>
      <c r="F450" s="1">
        <v>0</v>
      </c>
      <c r="G450" s="1">
        <v>0</v>
      </c>
      <c r="H450" s="1">
        <v>0</v>
      </c>
      <c r="I450" s="1">
        <v>292.9115407147036</v>
      </c>
      <c r="J450" s="1">
        <v>292.9115407147036</v>
      </c>
      <c r="K450" s="1">
        <v>292.9115407147036</v>
      </c>
      <c r="L450" s="1">
        <v>292.9115407147036</v>
      </c>
    </row>
    <row r="451" spans="1:12" s="1" customFormat="1">
      <c r="A451" s="3">
        <v>45645</v>
      </c>
      <c r="B451" s="2" t="s">
        <v>16</v>
      </c>
      <c r="C451" s="2">
        <v>19</v>
      </c>
      <c r="D451" s="2">
        <v>3</v>
      </c>
      <c r="E451" s="1">
        <v>0</v>
      </c>
      <c r="F451" s="1">
        <v>0</v>
      </c>
      <c r="G451" s="1">
        <v>0</v>
      </c>
      <c r="H451" s="1">
        <v>0</v>
      </c>
      <c r="I451" s="1">
        <v>41798.1072555205</v>
      </c>
      <c r="J451" s="1">
        <v>41798.1072555205</v>
      </c>
      <c r="K451" s="1">
        <v>41798.1072555205</v>
      </c>
      <c r="L451" s="1">
        <v>41798.1072555205</v>
      </c>
    </row>
    <row r="452" spans="1:12" s="1" customFormat="1">
      <c r="A452" s="3">
        <v>45646</v>
      </c>
      <c r="B452" s="2" t="s">
        <v>15</v>
      </c>
      <c r="C452" s="2">
        <v>18</v>
      </c>
      <c r="D452" s="2">
        <v>2</v>
      </c>
      <c r="E452" s="1">
        <v>0</v>
      </c>
      <c r="F452" s="1">
        <v>0</v>
      </c>
      <c r="G452" s="1">
        <v>0</v>
      </c>
      <c r="H452" s="1">
        <v>0</v>
      </c>
      <c r="I452" s="1">
        <v>97115.38461538462</v>
      </c>
      <c r="J452" s="1">
        <v>97115.38461538462</v>
      </c>
      <c r="K452" s="1">
        <v>97115.38461538462</v>
      </c>
      <c r="L452" s="1">
        <v>97115.38461538462</v>
      </c>
    </row>
    <row r="453" spans="1:12" s="1" customFormat="1">
      <c r="A453" s="3">
        <v>45649</v>
      </c>
      <c r="B453" s="2" t="s">
        <v>12</v>
      </c>
      <c r="C453" s="2">
        <v>17</v>
      </c>
      <c r="D453" s="2">
        <v>1</v>
      </c>
      <c r="E453" s="1">
        <v>0</v>
      </c>
      <c r="F453" s="1">
        <v>0</v>
      </c>
      <c r="G453" s="1">
        <v>0</v>
      </c>
      <c r="H453" s="1">
        <v>0</v>
      </c>
      <c r="I453" s="1">
        <v>31620.62848454131</v>
      </c>
      <c r="J453" s="1">
        <v>-13361.63203243791</v>
      </c>
      <c r="K453" s="1">
        <v>-114426.0010136848</v>
      </c>
      <c r="L453" s="1">
        <v>-145799.5438418652</v>
      </c>
    </row>
    <row r="454" spans="1:12" s="1" customFormat="1">
      <c r="A454" s="3">
        <v>45650</v>
      </c>
      <c r="B454" s="2" t="s">
        <v>13</v>
      </c>
      <c r="C454" s="2">
        <v>16</v>
      </c>
      <c r="D454" s="2">
        <v>23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1:12" s="1" customFormat="1">
      <c r="A455" s="3">
        <v>45652</v>
      </c>
      <c r="B455" s="2" t="s">
        <v>16</v>
      </c>
      <c r="C455" s="2">
        <v>15</v>
      </c>
      <c r="D455" s="2">
        <v>22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</row>
    <row r="456" spans="1:12" s="1" customFormat="1">
      <c r="A456" s="3">
        <v>45653</v>
      </c>
      <c r="B456" s="2" t="s">
        <v>15</v>
      </c>
      <c r="C456" s="2">
        <v>14</v>
      </c>
      <c r="D456" s="2">
        <v>21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1:12" s="1" customFormat="1">
      <c r="A457" s="3">
        <v>45656</v>
      </c>
      <c r="B457" s="2" t="s">
        <v>12</v>
      </c>
      <c r="C457" s="2">
        <v>13</v>
      </c>
      <c r="D457" s="2">
        <v>20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1:12" s="1" customFormat="1">
      <c r="A458" s="3">
        <v>45657</v>
      </c>
      <c r="B458" s="2" t="s">
        <v>13</v>
      </c>
      <c r="C458" s="2">
        <v>12</v>
      </c>
      <c r="D458" s="2">
        <v>19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1:12" s="1" customFormat="1">
      <c r="A459" s="3">
        <v>45658</v>
      </c>
      <c r="B459" s="2" t="s">
        <v>14</v>
      </c>
      <c r="C459" s="2">
        <v>11</v>
      </c>
      <c r="D459" s="2">
        <v>18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1:12" s="1" customFormat="1">
      <c r="A460" s="3">
        <v>45659</v>
      </c>
      <c r="B460" s="2" t="s">
        <v>16</v>
      </c>
      <c r="C460" s="2">
        <v>10</v>
      </c>
      <c r="D460" s="2">
        <v>17</v>
      </c>
      <c r="E460" s="1">
        <v>25698.83587237712</v>
      </c>
      <c r="F460" s="1">
        <v>25698.83587237712</v>
      </c>
      <c r="G460" s="1">
        <v>25698.83587237712</v>
      </c>
      <c r="H460" s="1">
        <v>25698.83587237712</v>
      </c>
      <c r="I460" s="1">
        <v>0</v>
      </c>
      <c r="J460" s="1">
        <v>0</v>
      </c>
      <c r="K460" s="1">
        <v>0</v>
      </c>
      <c r="L460" s="1">
        <v>0</v>
      </c>
    </row>
    <row r="461" spans="1:12" s="1" customFormat="1">
      <c r="A461" s="3">
        <v>45660</v>
      </c>
      <c r="B461" s="2" t="s">
        <v>15</v>
      </c>
      <c r="C461" s="2">
        <v>9</v>
      </c>
      <c r="D461" s="2">
        <v>16</v>
      </c>
      <c r="E461" s="1">
        <v>-14970.21291596167</v>
      </c>
      <c r="F461" s="1">
        <v>-62649.81669486743</v>
      </c>
      <c r="G461" s="1">
        <v>-62649.81669486743</v>
      </c>
      <c r="H461" s="1">
        <v>-62649.81669486743</v>
      </c>
      <c r="I461" s="1">
        <v>0</v>
      </c>
      <c r="J461" s="1">
        <v>0</v>
      </c>
      <c r="K461" s="1">
        <v>0</v>
      </c>
      <c r="L461" s="1">
        <v>0</v>
      </c>
    </row>
    <row r="462" spans="1:12" s="1" customFormat="1">
      <c r="A462" s="3">
        <v>45663</v>
      </c>
      <c r="B462" s="2" t="s">
        <v>12</v>
      </c>
      <c r="C462" s="2">
        <v>8</v>
      </c>
      <c r="D462" s="2">
        <v>15</v>
      </c>
      <c r="E462" s="1">
        <v>24620.74764390568</v>
      </c>
      <c r="F462" s="1">
        <v>24620.74764390568</v>
      </c>
      <c r="G462" s="1">
        <v>24620.74764390568</v>
      </c>
      <c r="H462" s="1">
        <v>24620.74764390568</v>
      </c>
      <c r="I462" s="1">
        <v>0</v>
      </c>
      <c r="J462" s="1">
        <v>0</v>
      </c>
      <c r="K462" s="1">
        <v>0</v>
      </c>
      <c r="L462" s="1">
        <v>0</v>
      </c>
    </row>
    <row r="463" spans="1:12" s="1" customFormat="1">
      <c r="A463" s="3">
        <v>45664</v>
      </c>
      <c r="B463" s="2" t="s">
        <v>13</v>
      </c>
      <c r="C463" s="2">
        <v>7</v>
      </c>
      <c r="D463" s="2">
        <v>14</v>
      </c>
      <c r="E463" s="1">
        <v>68804.83422007681</v>
      </c>
      <c r="F463" s="1">
        <v>68804.83422007681</v>
      </c>
      <c r="G463" s="1">
        <v>68804.83422007681</v>
      </c>
      <c r="H463" s="1">
        <v>68804.83422007681</v>
      </c>
      <c r="I463" s="1">
        <v>0</v>
      </c>
      <c r="J463" s="1">
        <v>0</v>
      </c>
      <c r="K463" s="1">
        <v>0</v>
      </c>
      <c r="L463" s="1">
        <v>0</v>
      </c>
    </row>
    <row r="464" spans="1:12" s="1" customFormat="1">
      <c r="A464" s="3">
        <v>45665</v>
      </c>
      <c r="B464" s="2" t="s">
        <v>14</v>
      </c>
      <c r="C464" s="2">
        <v>6</v>
      </c>
      <c r="D464" s="2">
        <v>13</v>
      </c>
      <c r="E464" s="1">
        <v>42048.25337357337</v>
      </c>
      <c r="F464" s="1">
        <v>9704.443750650429</v>
      </c>
      <c r="G464" s="1">
        <v>9704.443750650429</v>
      </c>
      <c r="H464" s="1">
        <v>9704.443750650429</v>
      </c>
      <c r="I464" s="1">
        <v>0</v>
      </c>
      <c r="J464" s="1">
        <v>0</v>
      </c>
      <c r="K464" s="1">
        <v>0</v>
      </c>
      <c r="L464" s="1">
        <v>0</v>
      </c>
    </row>
    <row r="465" spans="1:12" s="1" customFormat="1">
      <c r="A465" s="3">
        <v>45666</v>
      </c>
      <c r="B465" s="2" t="s">
        <v>16</v>
      </c>
      <c r="C465" s="2">
        <v>5</v>
      </c>
      <c r="D465" s="2">
        <v>12</v>
      </c>
      <c r="E465" s="1">
        <v>23066.21559713852</v>
      </c>
      <c r="F465" s="1">
        <v>32843.5000176199</v>
      </c>
      <c r="G465" s="1">
        <v>32843.5000176199</v>
      </c>
      <c r="H465" s="1">
        <v>32843.5000176199</v>
      </c>
      <c r="I465" s="1">
        <v>0</v>
      </c>
      <c r="J465" s="1">
        <v>0</v>
      </c>
      <c r="K465" s="1">
        <v>0</v>
      </c>
      <c r="L465" s="1">
        <v>0</v>
      </c>
    </row>
    <row r="466" spans="1:12" s="1" customFormat="1">
      <c r="A466" s="3">
        <v>45667</v>
      </c>
      <c r="B466" s="2" t="s">
        <v>15</v>
      </c>
      <c r="C466" s="2">
        <v>4</v>
      </c>
      <c r="D466" s="2">
        <v>11</v>
      </c>
      <c r="E466" s="1">
        <v>-132430.7831787433</v>
      </c>
      <c r="F466" s="1">
        <v>-224237.2201687705</v>
      </c>
      <c r="G466" s="1">
        <v>99361.88018690284</v>
      </c>
      <c r="H466" s="1">
        <v>99361.88018690284</v>
      </c>
      <c r="I466" s="1">
        <v>0</v>
      </c>
      <c r="J466" s="1">
        <v>0</v>
      </c>
      <c r="K466" s="1">
        <v>0</v>
      </c>
      <c r="L466" s="1">
        <v>0</v>
      </c>
    </row>
    <row r="467" spans="1:12" s="1" customFormat="1">
      <c r="A467" s="3">
        <v>45670</v>
      </c>
      <c r="B467" s="2" t="s">
        <v>12</v>
      </c>
      <c r="C467" s="2">
        <v>3</v>
      </c>
      <c r="D467" s="2">
        <v>10</v>
      </c>
      <c r="E467" s="1">
        <v>192901.439278371</v>
      </c>
      <c r="F467" s="1">
        <v>192901.439278371</v>
      </c>
      <c r="G467" s="1">
        <v>192901.439278371</v>
      </c>
      <c r="H467" s="1">
        <v>192901.439278371</v>
      </c>
      <c r="I467" s="1">
        <v>0</v>
      </c>
      <c r="J467" s="1">
        <v>0</v>
      </c>
      <c r="K467" s="1">
        <v>0</v>
      </c>
      <c r="L467" s="1">
        <v>0</v>
      </c>
    </row>
    <row r="468" spans="1:12" s="1" customFormat="1">
      <c r="A468" s="3">
        <v>45671</v>
      </c>
      <c r="B468" s="2" t="s">
        <v>13</v>
      </c>
      <c r="C468" s="2">
        <v>2</v>
      </c>
      <c r="D468" s="2">
        <v>9</v>
      </c>
      <c r="E468" s="1">
        <v>141139.4984837122</v>
      </c>
      <c r="F468" s="1">
        <v>153291.8120455213</v>
      </c>
      <c r="G468" s="1">
        <v>153291.8120455213</v>
      </c>
      <c r="H468" s="1">
        <v>153291.8120455213</v>
      </c>
      <c r="I468" s="1">
        <v>0</v>
      </c>
      <c r="J468" s="1">
        <v>0</v>
      </c>
      <c r="K468" s="1">
        <v>0</v>
      </c>
      <c r="L468" s="1">
        <v>0</v>
      </c>
    </row>
    <row r="469" spans="1:12" s="1" customFormat="1">
      <c r="A469" s="3">
        <v>45672</v>
      </c>
      <c r="B469" s="2" t="s">
        <v>14</v>
      </c>
      <c r="C469" s="2">
        <v>1</v>
      </c>
      <c r="D469" s="2">
        <v>8</v>
      </c>
      <c r="E469" s="1">
        <v>70150.89412620237</v>
      </c>
      <c r="F469" s="1">
        <v>-63968.0362278121</v>
      </c>
      <c r="G469" s="1">
        <v>-211557.5314844809</v>
      </c>
      <c r="H469" s="1">
        <v>-316836.346808581</v>
      </c>
      <c r="I469" s="1">
        <v>0</v>
      </c>
      <c r="J469" s="1">
        <v>0</v>
      </c>
      <c r="K469" s="1">
        <v>0</v>
      </c>
      <c r="L469" s="1">
        <v>0</v>
      </c>
    </row>
    <row r="470" spans="1:12" s="1" customFormat="1">
      <c r="A470" s="3">
        <v>45673</v>
      </c>
      <c r="B470" s="2" t="s">
        <v>16</v>
      </c>
      <c r="C470" s="2">
        <v>24</v>
      </c>
      <c r="D470" s="2">
        <v>7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 s="1" customFormat="1">
      <c r="A471" s="3">
        <v>45674</v>
      </c>
      <c r="B471" s="2" t="s">
        <v>15</v>
      </c>
      <c r="C471" s="2">
        <v>23</v>
      </c>
      <c r="D471" s="2">
        <v>6</v>
      </c>
      <c r="E471" s="1">
        <v>0</v>
      </c>
      <c r="F471" s="1">
        <v>0</v>
      </c>
      <c r="G471" s="1">
        <v>0</v>
      </c>
      <c r="H471" s="1">
        <v>0</v>
      </c>
      <c r="I471" s="1">
        <v>55580.81382132303</v>
      </c>
      <c r="J471" s="1">
        <v>55580.81382132303</v>
      </c>
      <c r="K471" s="1">
        <v>55580.81382132303</v>
      </c>
      <c r="L471" s="1">
        <v>55580.81382132303</v>
      </c>
    </row>
    <row r="472" spans="1:12" s="1" customFormat="1">
      <c r="A472" s="3">
        <v>45677</v>
      </c>
      <c r="B472" s="2" t="s">
        <v>12</v>
      </c>
      <c r="C472" s="2">
        <v>22</v>
      </c>
      <c r="D472" s="2">
        <v>5</v>
      </c>
      <c r="E472" s="1">
        <v>0</v>
      </c>
      <c r="F472" s="1">
        <v>0</v>
      </c>
      <c r="G472" s="1">
        <v>0</v>
      </c>
      <c r="H472" s="1">
        <v>0</v>
      </c>
      <c r="I472" s="1">
        <v>61580.41603247083</v>
      </c>
      <c r="J472" s="1">
        <v>61580.41603247083</v>
      </c>
      <c r="K472" s="1">
        <v>61580.41603247083</v>
      </c>
      <c r="L472" s="1">
        <v>61580.41603247083</v>
      </c>
    </row>
    <row r="473" spans="1:12" s="1" customFormat="1">
      <c r="A473" s="3">
        <v>45678</v>
      </c>
      <c r="B473" s="2" t="s">
        <v>13</v>
      </c>
      <c r="C473" s="2">
        <v>21</v>
      </c>
      <c r="D473" s="2">
        <v>4</v>
      </c>
      <c r="E473" s="1">
        <v>0</v>
      </c>
      <c r="F473" s="1">
        <v>0</v>
      </c>
      <c r="G473" s="1">
        <v>0</v>
      </c>
      <c r="H473" s="1">
        <v>0</v>
      </c>
      <c r="I473" s="1">
        <v>50810.94779523569</v>
      </c>
      <c r="J473" s="1">
        <v>50810.94779523569</v>
      </c>
      <c r="K473" s="1">
        <v>50810.94779523569</v>
      </c>
      <c r="L473" s="1">
        <v>50810.94779523569</v>
      </c>
    </row>
    <row r="474" spans="1:12" s="1" customFormat="1">
      <c r="A474" s="3">
        <v>45679</v>
      </c>
      <c r="B474" s="2" t="s">
        <v>14</v>
      </c>
      <c r="C474" s="2">
        <v>20</v>
      </c>
      <c r="D474" s="2">
        <v>3</v>
      </c>
      <c r="E474" s="1">
        <v>0</v>
      </c>
      <c r="F474" s="1">
        <v>0</v>
      </c>
      <c r="G474" s="1">
        <v>0</v>
      </c>
      <c r="H474" s="1">
        <v>0</v>
      </c>
      <c r="I474" s="1">
        <v>-48071.00743399129</v>
      </c>
      <c r="J474" s="1">
        <v>-47744.16816200974</v>
      </c>
      <c r="K474" s="1">
        <v>-47744.16816200974</v>
      </c>
      <c r="L474" s="1">
        <v>-47744.16816200974</v>
      </c>
    </row>
    <row r="475" spans="1:12" s="1" customFormat="1">
      <c r="A475" s="3">
        <v>45680</v>
      </c>
      <c r="B475" s="2" t="s">
        <v>16</v>
      </c>
      <c r="C475" s="2">
        <v>19</v>
      </c>
      <c r="D475" s="2">
        <v>2</v>
      </c>
      <c r="E475" s="1">
        <v>0</v>
      </c>
      <c r="F475" s="1">
        <v>0</v>
      </c>
      <c r="G475" s="1">
        <v>0</v>
      </c>
      <c r="H475" s="1">
        <v>0</v>
      </c>
      <c r="I475" s="1">
        <v>104396.7404524447</v>
      </c>
      <c r="J475" s="1">
        <v>104396.7404524447</v>
      </c>
      <c r="K475" s="1">
        <v>104396.7404524447</v>
      </c>
      <c r="L475" s="1">
        <v>104396.7404524447</v>
      </c>
    </row>
    <row r="476" spans="1:12" s="1" customFormat="1">
      <c r="A476" s="3">
        <v>45681</v>
      </c>
      <c r="B476" s="2" t="s">
        <v>15</v>
      </c>
      <c r="C476" s="2">
        <v>18</v>
      </c>
      <c r="D476" s="2">
        <v>1</v>
      </c>
      <c r="E476" s="1">
        <v>0</v>
      </c>
      <c r="F476" s="1">
        <v>0</v>
      </c>
      <c r="G476" s="1">
        <v>0</v>
      </c>
      <c r="H476" s="1">
        <v>0</v>
      </c>
      <c r="I476" s="1">
        <v>99144.59161147903</v>
      </c>
      <c r="J476" s="1">
        <v>99144.59161147903</v>
      </c>
      <c r="K476" s="1">
        <v>99144.59161147903</v>
      </c>
      <c r="L476" s="1">
        <v>99144.59161147903</v>
      </c>
    </row>
    <row r="477" spans="1:12" s="1" customFormat="1">
      <c r="A477" s="3">
        <v>45684</v>
      </c>
      <c r="B477" s="2" t="s">
        <v>12</v>
      </c>
      <c r="C477" s="2">
        <v>17</v>
      </c>
      <c r="D477" s="2">
        <v>21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 s="1" customFormat="1">
      <c r="A478" s="3">
        <v>45685</v>
      </c>
      <c r="B478" s="2" t="s">
        <v>13</v>
      </c>
      <c r="C478" s="2">
        <v>16</v>
      </c>
      <c r="D478" s="2">
        <v>20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1:12" s="1" customFormat="1">
      <c r="A479" s="3">
        <v>45686</v>
      </c>
      <c r="B479" s="2" t="s">
        <v>14</v>
      </c>
      <c r="C479" s="2">
        <v>15</v>
      </c>
      <c r="D479" s="2">
        <v>19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 s="1" customFormat="1">
      <c r="A480" s="3">
        <v>45687</v>
      </c>
      <c r="B480" s="2" t="s">
        <v>16</v>
      </c>
      <c r="C480" s="2">
        <v>14</v>
      </c>
      <c r="D480" s="2">
        <v>18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1:12" s="1" customFormat="1">
      <c r="A481" s="3">
        <v>45688</v>
      </c>
      <c r="B481" s="2" t="s">
        <v>15</v>
      </c>
      <c r="C481" s="2">
        <v>13</v>
      </c>
      <c r="D481" s="2">
        <v>17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 s="1" customFormat="1">
      <c r="A482" s="3">
        <v>45689</v>
      </c>
      <c r="B482" s="2" t="s">
        <v>18</v>
      </c>
      <c r="C482" s="2">
        <v>12</v>
      </c>
      <c r="D482" s="2">
        <v>16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</row>
    <row r="483" spans="1:12" s="1" customFormat="1">
      <c r="A483" s="3">
        <v>45691</v>
      </c>
      <c r="B483" s="2" t="s">
        <v>12</v>
      </c>
      <c r="C483" s="2">
        <v>11</v>
      </c>
      <c r="D483" s="2">
        <v>15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1:12" s="1" customFormat="1">
      <c r="A484" s="3">
        <v>45692</v>
      </c>
      <c r="B484" s="2" t="s">
        <v>13</v>
      </c>
      <c r="C484" s="2">
        <v>10</v>
      </c>
      <c r="D484" s="2">
        <v>14</v>
      </c>
      <c r="E484" s="1">
        <v>-54169.60011264437</v>
      </c>
      <c r="F484" s="1">
        <v>89631.44184736694</v>
      </c>
      <c r="G484" s="1">
        <v>89631.44184736694</v>
      </c>
      <c r="H484" s="1">
        <v>89631.44184736694</v>
      </c>
      <c r="I484" s="1">
        <v>0</v>
      </c>
      <c r="J484" s="1">
        <v>0</v>
      </c>
      <c r="K484" s="1">
        <v>0</v>
      </c>
      <c r="L484" s="1">
        <v>0</v>
      </c>
    </row>
    <row r="485" spans="1:12" s="1" customFormat="1">
      <c r="A485" s="3">
        <v>45693</v>
      </c>
      <c r="B485" s="2" t="s">
        <v>14</v>
      </c>
      <c r="C485" s="2">
        <v>9</v>
      </c>
      <c r="D485" s="2">
        <v>13</v>
      </c>
      <c r="E485" s="1">
        <v>51716.56476210555</v>
      </c>
      <c r="F485" s="1">
        <v>51716.56476210555</v>
      </c>
      <c r="G485" s="1">
        <v>51716.56476210555</v>
      </c>
      <c r="H485" s="1">
        <v>51716.56476210555</v>
      </c>
      <c r="I485" s="1">
        <v>0</v>
      </c>
      <c r="J485" s="1">
        <v>0</v>
      </c>
      <c r="K485" s="1">
        <v>0</v>
      </c>
      <c r="L485" s="1">
        <v>0</v>
      </c>
    </row>
    <row r="486" spans="1:12" s="1" customFormat="1">
      <c r="A486" s="3">
        <v>45694</v>
      </c>
      <c r="B486" s="2" t="s">
        <v>16</v>
      </c>
      <c r="C486" s="2">
        <v>8</v>
      </c>
      <c r="D486" s="2">
        <v>12</v>
      </c>
      <c r="E486" s="1">
        <v>22377.03751156667</v>
      </c>
      <c r="F486" s="1">
        <v>22377.03751156667</v>
      </c>
      <c r="G486" s="1">
        <v>22377.03751156667</v>
      </c>
      <c r="H486" s="1">
        <v>22377.03751156667</v>
      </c>
      <c r="I486" s="1">
        <v>0</v>
      </c>
      <c r="J486" s="1">
        <v>0</v>
      </c>
      <c r="K486" s="1">
        <v>0</v>
      </c>
      <c r="L486" s="1">
        <v>0</v>
      </c>
    </row>
    <row r="487" spans="1:12" s="1" customFormat="1">
      <c r="A487" s="3">
        <v>45695</v>
      </c>
      <c r="B487" s="2" t="s">
        <v>15</v>
      </c>
      <c r="C487" s="2">
        <v>7</v>
      </c>
      <c r="D487" s="2">
        <v>11</v>
      </c>
      <c r="E487" s="1">
        <v>63067.08580410088</v>
      </c>
      <c r="F487" s="1">
        <v>63067.08580410088</v>
      </c>
      <c r="G487" s="1">
        <v>63067.08580410088</v>
      </c>
      <c r="H487" s="1">
        <v>63067.08580410088</v>
      </c>
      <c r="I487" s="1">
        <v>0</v>
      </c>
      <c r="J487" s="1">
        <v>0</v>
      </c>
      <c r="K487" s="1">
        <v>0</v>
      </c>
      <c r="L487" s="1">
        <v>0</v>
      </c>
    </row>
    <row r="488" spans="1:12" s="1" customFormat="1">
      <c r="A488" s="3">
        <v>45698</v>
      </c>
      <c r="B488" s="2" t="s">
        <v>12</v>
      </c>
      <c r="C488" s="2">
        <v>6</v>
      </c>
      <c r="D488" s="2">
        <v>10</v>
      </c>
      <c r="E488" s="1">
        <v>56776.78350369611</v>
      </c>
      <c r="F488" s="1">
        <v>56776.78350369611</v>
      </c>
      <c r="G488" s="1">
        <v>56776.78350369611</v>
      </c>
      <c r="H488" s="1">
        <v>56776.78350369611</v>
      </c>
      <c r="I488" s="1">
        <v>0</v>
      </c>
      <c r="J488" s="1">
        <v>0</v>
      </c>
      <c r="K488" s="1">
        <v>0</v>
      </c>
      <c r="L488" s="1">
        <v>0</v>
      </c>
    </row>
    <row r="489" spans="1:12" s="1" customFormat="1">
      <c r="A489" s="3">
        <v>45699</v>
      </c>
      <c r="B489" s="2" t="s">
        <v>13</v>
      </c>
      <c r="C489" s="2">
        <v>5</v>
      </c>
      <c r="D489" s="2">
        <v>9</v>
      </c>
      <c r="E489" s="1">
        <v>48696.29214270695</v>
      </c>
      <c r="F489" s="1">
        <v>48696.29214270695</v>
      </c>
      <c r="G489" s="1">
        <v>48696.29214270695</v>
      </c>
      <c r="H489" s="1">
        <v>48696.29214270695</v>
      </c>
      <c r="I489" s="1">
        <v>0</v>
      </c>
      <c r="J489" s="1">
        <v>0</v>
      </c>
      <c r="K489" s="1">
        <v>0</v>
      </c>
      <c r="L489" s="1">
        <v>0</v>
      </c>
    </row>
    <row r="490" spans="1:12" s="1" customFormat="1">
      <c r="A490" s="3">
        <v>45700</v>
      </c>
      <c r="B490" s="2" t="s">
        <v>14</v>
      </c>
      <c r="C490" s="2">
        <v>4</v>
      </c>
      <c r="D490" s="2">
        <v>8</v>
      </c>
      <c r="E490" s="1">
        <v>-21420.04563805509</v>
      </c>
      <c r="F490" s="1">
        <v>-2466.210286115501</v>
      </c>
      <c r="G490" s="1">
        <v>-2466.210286115501</v>
      </c>
      <c r="H490" s="1">
        <v>-2466.210286115501</v>
      </c>
      <c r="I490" s="1">
        <v>0</v>
      </c>
      <c r="J490" s="1">
        <v>0</v>
      </c>
      <c r="K490" s="1">
        <v>0</v>
      </c>
      <c r="L490" s="1">
        <v>0</v>
      </c>
    </row>
    <row r="491" spans="1:12" s="1" customFormat="1">
      <c r="A491" s="3">
        <v>45701</v>
      </c>
      <c r="B491" s="2" t="s">
        <v>16</v>
      </c>
      <c r="C491" s="2">
        <v>3</v>
      </c>
      <c r="D491" s="2">
        <v>7</v>
      </c>
      <c r="E491" s="1">
        <v>56982.37248952463</v>
      </c>
      <c r="F491" s="1">
        <v>88128.52188990031</v>
      </c>
      <c r="G491" s="1">
        <v>88128.52188990031</v>
      </c>
      <c r="H491" s="1">
        <v>88128.52188990031</v>
      </c>
      <c r="I491" s="1">
        <v>0</v>
      </c>
      <c r="J491" s="1">
        <v>0</v>
      </c>
      <c r="K491" s="1">
        <v>0</v>
      </c>
      <c r="L491" s="1">
        <v>0</v>
      </c>
    </row>
    <row r="492" spans="1:12" s="1" customFormat="1">
      <c r="A492" s="3">
        <v>45702</v>
      </c>
      <c r="B492" s="2" t="s">
        <v>15</v>
      </c>
      <c r="C492" s="2">
        <v>2</v>
      </c>
      <c r="D492" s="2">
        <v>6</v>
      </c>
      <c r="E492" s="1">
        <v>42309.6210330253</v>
      </c>
      <c r="F492" s="1">
        <v>18757.61157676052</v>
      </c>
      <c r="G492" s="1">
        <v>50102.08467655276</v>
      </c>
      <c r="H492" s="1">
        <v>50102.08467655276</v>
      </c>
      <c r="I492" s="1">
        <v>2958.968963703312</v>
      </c>
      <c r="J492" s="1">
        <v>2958.968963703312</v>
      </c>
      <c r="K492" s="1">
        <v>2958.968963703312</v>
      </c>
      <c r="L492" s="1">
        <v>2958.968963703312</v>
      </c>
    </row>
    <row r="493" spans="1:12" s="1" customFormat="1">
      <c r="A493" s="3">
        <v>45705</v>
      </c>
      <c r="B493" s="2" t="s">
        <v>12</v>
      </c>
      <c r="C493" s="2">
        <v>1</v>
      </c>
      <c r="D493" s="2">
        <v>5</v>
      </c>
      <c r="E493" s="1">
        <v>28807.79117338257</v>
      </c>
      <c r="F493" s="1">
        <v>72529.05398066688</v>
      </c>
      <c r="G493" s="1">
        <v>94158.43017993556</v>
      </c>
      <c r="H493" s="1">
        <v>94158.43017993556</v>
      </c>
      <c r="I493" s="1">
        <v>43938.59184753838</v>
      </c>
      <c r="J493" s="1">
        <v>43938.59184753838</v>
      </c>
      <c r="K493" s="1">
        <v>43938.59184753838</v>
      </c>
      <c r="L493" s="1">
        <v>43938.59184753838</v>
      </c>
    </row>
    <row r="494" spans="1:12" s="1" customFormat="1">
      <c r="A494" s="3">
        <v>45706</v>
      </c>
      <c r="B494" s="2" t="s">
        <v>13</v>
      </c>
      <c r="C494" s="2">
        <v>20</v>
      </c>
      <c r="D494" s="2">
        <v>4</v>
      </c>
      <c r="E494" s="1">
        <v>0</v>
      </c>
      <c r="F494" s="1">
        <v>0</v>
      </c>
      <c r="G494" s="1">
        <v>0</v>
      </c>
      <c r="H494" s="1">
        <v>0</v>
      </c>
      <c r="I494" s="1">
        <v>27819.02086677366</v>
      </c>
      <c r="J494" s="1">
        <v>-34045.61262707328</v>
      </c>
      <c r="K494" s="1">
        <v>-154802.0331728197</v>
      </c>
      <c r="L494" s="1">
        <v>-154802.0331728197</v>
      </c>
    </row>
    <row r="495" spans="1:12" s="1" customFormat="1">
      <c r="A495" s="3">
        <v>45707</v>
      </c>
      <c r="B495" s="2" t="s">
        <v>14</v>
      </c>
      <c r="C495" s="2">
        <v>19</v>
      </c>
      <c r="D495" s="2">
        <v>3</v>
      </c>
      <c r="E495" s="1">
        <v>0</v>
      </c>
      <c r="F495" s="1">
        <v>0</v>
      </c>
      <c r="G495" s="1">
        <v>0</v>
      </c>
      <c r="H495" s="1">
        <v>0</v>
      </c>
      <c r="I495" s="1">
        <v>-123590.3614457831</v>
      </c>
      <c r="J495" s="1">
        <v>-152171.686746988</v>
      </c>
      <c r="K495" s="1">
        <v>-152153.6144578313</v>
      </c>
      <c r="L495" s="1">
        <v>-152153.6144578313</v>
      </c>
    </row>
    <row r="496" spans="1:12" s="1" customFormat="1">
      <c r="A496" s="3">
        <v>45708</v>
      </c>
      <c r="B496" s="2" t="s">
        <v>16</v>
      </c>
      <c r="C496" s="2">
        <v>18</v>
      </c>
      <c r="D496" s="2">
        <v>2</v>
      </c>
      <c r="E496" s="1">
        <v>0</v>
      </c>
      <c r="F496" s="1">
        <v>0</v>
      </c>
      <c r="G496" s="1">
        <v>0</v>
      </c>
      <c r="H496" s="1">
        <v>0</v>
      </c>
      <c r="I496" s="1">
        <v>103467.9374173645</v>
      </c>
      <c r="J496" s="1">
        <v>103467.9374173645</v>
      </c>
      <c r="K496" s="1">
        <v>103467.9374173645</v>
      </c>
      <c r="L496" s="1">
        <v>103467.9374173645</v>
      </c>
    </row>
    <row r="497" spans="1:12" s="1" customFormat="1">
      <c r="A497" s="3">
        <v>45709</v>
      </c>
      <c r="B497" s="2" t="s">
        <v>15</v>
      </c>
      <c r="C497" s="2">
        <v>17</v>
      </c>
      <c r="D497" s="2">
        <v>1</v>
      </c>
      <c r="E497" s="1">
        <v>0</v>
      </c>
      <c r="F497" s="1">
        <v>0</v>
      </c>
      <c r="G497" s="1">
        <v>0</v>
      </c>
      <c r="H497" s="1">
        <v>0</v>
      </c>
      <c r="I497" s="1">
        <v>779.2730618817548</v>
      </c>
      <c r="J497" s="1">
        <v>-24525.5348516218</v>
      </c>
      <c r="K497" s="1">
        <v>94306.41821946169</v>
      </c>
      <c r="L497" s="1">
        <v>93992.9836668967</v>
      </c>
    </row>
    <row r="498" spans="1:12" s="1" customFormat="1">
      <c r="A498" s="3">
        <v>45712</v>
      </c>
      <c r="B498" s="2" t="s">
        <v>12</v>
      </c>
      <c r="C498" s="2">
        <v>16</v>
      </c>
      <c r="D498" s="2">
        <v>21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 s="1" customFormat="1">
      <c r="A499" s="3">
        <v>45713</v>
      </c>
      <c r="B499" s="2" t="s">
        <v>13</v>
      </c>
      <c r="C499" s="2">
        <v>15</v>
      </c>
      <c r="D499" s="2">
        <v>20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1:12" s="1" customFormat="1">
      <c r="A500" s="3">
        <v>45714</v>
      </c>
      <c r="B500" s="2" t="s">
        <v>14</v>
      </c>
      <c r="C500" s="2">
        <v>14</v>
      </c>
      <c r="D500" s="2">
        <v>19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</row>
    <row r="501" spans="1:12" s="1" customFormat="1">
      <c r="A501" s="3">
        <v>45715</v>
      </c>
      <c r="B501" s="2" t="s">
        <v>16</v>
      </c>
      <c r="C501" s="2">
        <v>13</v>
      </c>
      <c r="D501" s="2">
        <v>18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</row>
    <row r="502" spans="1:12" s="1" customFormat="1">
      <c r="A502" s="3">
        <v>45716</v>
      </c>
      <c r="B502" s="2" t="s">
        <v>15</v>
      </c>
      <c r="C502" s="2">
        <v>12</v>
      </c>
      <c r="D502" s="2">
        <v>17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</row>
    <row r="503" spans="1:12" s="1" customFormat="1">
      <c r="A503" s="3">
        <v>45719</v>
      </c>
      <c r="B503" s="2" t="s">
        <v>12</v>
      </c>
      <c r="C503" s="2">
        <v>11</v>
      </c>
      <c r="D503" s="2">
        <v>16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</row>
    <row r="504" spans="1:12" s="1" customFormat="1">
      <c r="A504" s="3">
        <v>45720</v>
      </c>
      <c r="B504" s="2" t="s">
        <v>13</v>
      </c>
      <c r="C504" s="2">
        <v>10</v>
      </c>
      <c r="D504" s="2">
        <v>15</v>
      </c>
      <c r="E504" s="1">
        <v>20268.76324300212</v>
      </c>
      <c r="F504" s="1">
        <v>20268.76324300212</v>
      </c>
      <c r="G504" s="1">
        <v>20268.76324300212</v>
      </c>
      <c r="H504" s="1">
        <v>20268.76324300212</v>
      </c>
      <c r="I504" s="1">
        <v>0</v>
      </c>
      <c r="J504" s="1">
        <v>0</v>
      </c>
      <c r="K504" s="1">
        <v>0</v>
      </c>
      <c r="L504" s="1">
        <v>0</v>
      </c>
    </row>
    <row r="505" spans="1:12" s="1" customFormat="1">
      <c r="A505" s="3">
        <v>45721</v>
      </c>
      <c r="B505" s="2" t="s">
        <v>14</v>
      </c>
      <c r="C505" s="2">
        <v>9</v>
      </c>
      <c r="D505" s="2">
        <v>14</v>
      </c>
      <c r="E505" s="1">
        <v>-6700.769663975994</v>
      </c>
      <c r="F505" s="1">
        <v>-108543.2701332833</v>
      </c>
      <c r="G505" s="1">
        <v>-72310.86915712408</v>
      </c>
      <c r="H505" s="1">
        <v>-72310.86915712408</v>
      </c>
      <c r="I505" s="1">
        <v>0</v>
      </c>
      <c r="J505" s="1">
        <v>0</v>
      </c>
      <c r="K505" s="1">
        <v>0</v>
      </c>
      <c r="L505" s="1">
        <v>0</v>
      </c>
    </row>
    <row r="506" spans="1:12" s="1" customFormat="1">
      <c r="A506" s="3">
        <v>45722</v>
      </c>
      <c r="B506" s="2" t="s">
        <v>16</v>
      </c>
      <c r="C506" s="2">
        <v>8</v>
      </c>
      <c r="D506" s="2">
        <v>13</v>
      </c>
      <c r="E506" s="1">
        <v>-99999.04394049481</v>
      </c>
      <c r="F506" s="1">
        <v>13298.78771654747</v>
      </c>
      <c r="G506" s="1">
        <v>13298.78771654747</v>
      </c>
      <c r="H506" s="1">
        <v>13298.78771654747</v>
      </c>
      <c r="I506" s="1">
        <v>0</v>
      </c>
      <c r="J506" s="1">
        <v>0</v>
      </c>
      <c r="K506" s="1">
        <v>0</v>
      </c>
      <c r="L506" s="1">
        <v>0</v>
      </c>
    </row>
    <row r="507" spans="1:12" s="1" customFormat="1">
      <c r="A507" s="3">
        <v>45723</v>
      </c>
      <c r="B507" s="2" t="s">
        <v>15</v>
      </c>
      <c r="C507" s="2">
        <v>7</v>
      </c>
      <c r="D507" s="2">
        <v>12</v>
      </c>
      <c r="E507" s="1">
        <v>44458.71348616116</v>
      </c>
      <c r="F507" s="1">
        <v>44458.71348616116</v>
      </c>
      <c r="G507" s="1">
        <v>44458.71348616116</v>
      </c>
      <c r="H507" s="1">
        <v>44458.71348616116</v>
      </c>
      <c r="I507" s="1">
        <v>0</v>
      </c>
      <c r="J507" s="1">
        <v>0</v>
      </c>
      <c r="K507" s="1">
        <v>0</v>
      </c>
      <c r="L507" s="1">
        <v>0</v>
      </c>
    </row>
    <row r="508" spans="1:12" s="1" customFormat="1">
      <c r="A508" s="3">
        <v>45726</v>
      </c>
      <c r="B508" s="2" t="s">
        <v>12</v>
      </c>
      <c r="C508" s="2">
        <v>6</v>
      </c>
      <c r="D508" s="2">
        <v>11</v>
      </c>
      <c r="E508" s="1">
        <v>-4752.594231649634</v>
      </c>
      <c r="F508" s="1">
        <v>-113869.6017091409</v>
      </c>
      <c r="G508" s="1">
        <v>-113869.6017091409</v>
      </c>
      <c r="H508" s="1">
        <v>-113869.6017091409</v>
      </c>
      <c r="I508" s="1">
        <v>0</v>
      </c>
      <c r="J508" s="1">
        <v>0</v>
      </c>
      <c r="K508" s="1">
        <v>0</v>
      </c>
      <c r="L508" s="1">
        <v>0</v>
      </c>
    </row>
    <row r="509" spans="1:12" s="1" customFormat="1">
      <c r="A509" s="3">
        <v>45727</v>
      </c>
      <c r="B509" s="2" t="s">
        <v>13</v>
      </c>
      <c r="C509" s="2">
        <v>5</v>
      </c>
      <c r="D509" s="2">
        <v>10</v>
      </c>
      <c r="E509" s="1">
        <v>44865.87384058807</v>
      </c>
      <c r="F509" s="1">
        <v>44865.87384058807</v>
      </c>
      <c r="G509" s="1">
        <v>44865.87384058807</v>
      </c>
      <c r="H509" s="1">
        <v>44865.87384058807</v>
      </c>
      <c r="I509" s="1">
        <v>0</v>
      </c>
      <c r="J509" s="1">
        <v>0</v>
      </c>
      <c r="K509" s="1">
        <v>0</v>
      </c>
      <c r="L509" s="1">
        <v>0</v>
      </c>
    </row>
    <row r="510" spans="1:12" s="1" customFormat="1">
      <c r="A510" s="3">
        <v>45728</v>
      </c>
      <c r="B510" s="2" t="s">
        <v>14</v>
      </c>
      <c r="C510" s="2">
        <v>4</v>
      </c>
      <c r="D510" s="2">
        <v>9</v>
      </c>
      <c r="E510" s="1">
        <v>23065.77140241111</v>
      </c>
      <c r="F510" s="1">
        <v>60830.91713718907</v>
      </c>
      <c r="G510" s="1">
        <v>60830.91713718907</v>
      </c>
      <c r="H510" s="1">
        <v>60830.91713718907</v>
      </c>
      <c r="I510" s="1">
        <v>0</v>
      </c>
      <c r="J510" s="1">
        <v>0</v>
      </c>
      <c r="K510" s="1">
        <v>0</v>
      </c>
      <c r="L510" s="1">
        <v>0</v>
      </c>
    </row>
    <row r="511" spans="1:12" s="1" customFormat="1">
      <c r="A511" s="3">
        <v>45729</v>
      </c>
      <c r="B511" s="2" t="s">
        <v>16</v>
      </c>
      <c r="C511" s="2">
        <v>3</v>
      </c>
      <c r="D511" s="2">
        <v>8</v>
      </c>
      <c r="E511" s="1">
        <v>58920.16125993746</v>
      </c>
      <c r="F511" s="1">
        <v>-79723.82351833013</v>
      </c>
      <c r="G511" s="1">
        <v>-53737.6135036359</v>
      </c>
      <c r="H511" s="1">
        <v>-53737.6135036359</v>
      </c>
      <c r="I511" s="1">
        <v>0</v>
      </c>
      <c r="J511" s="1">
        <v>0</v>
      </c>
      <c r="K511" s="1">
        <v>0</v>
      </c>
      <c r="L511" s="1">
        <v>0</v>
      </c>
    </row>
    <row r="512" spans="1:12" s="1" customFormat="1">
      <c r="A512" s="3">
        <v>45730</v>
      </c>
      <c r="B512" s="2" t="s">
        <v>15</v>
      </c>
      <c r="C512" s="2">
        <v>2</v>
      </c>
      <c r="D512" s="2">
        <v>7</v>
      </c>
      <c r="E512" s="1">
        <v>-12781.01106926851</v>
      </c>
      <c r="F512" s="1">
        <v>94488.18897637796</v>
      </c>
      <c r="G512" s="1">
        <v>94488.18897637796</v>
      </c>
      <c r="H512" s="1">
        <v>94488.18897637796</v>
      </c>
      <c r="I512" s="1">
        <v>0</v>
      </c>
      <c r="J512" s="1">
        <v>0</v>
      </c>
      <c r="K512" s="1">
        <v>0</v>
      </c>
      <c r="L512" s="1">
        <v>0</v>
      </c>
    </row>
    <row r="513" spans="1:12" s="1" customFormat="1">
      <c r="A513" s="3">
        <v>45733</v>
      </c>
      <c r="B513" s="2" t="s">
        <v>12</v>
      </c>
      <c r="C513" s="2">
        <v>1</v>
      </c>
      <c r="D513" s="2">
        <v>6</v>
      </c>
      <c r="E513" s="1">
        <v>134691.4467216214</v>
      </c>
      <c r="F513" s="1">
        <v>74389.32163654239</v>
      </c>
      <c r="G513" s="1">
        <v>138848.9752703623</v>
      </c>
      <c r="H513" s="1">
        <v>170233.6837328897</v>
      </c>
      <c r="I513" s="1">
        <v>90656.79925994451</v>
      </c>
      <c r="J513" s="1">
        <v>90656.79925994451</v>
      </c>
      <c r="K513" s="1">
        <v>90656.79925994451</v>
      </c>
      <c r="L513" s="1">
        <v>90656.79925994451</v>
      </c>
    </row>
    <row r="514" spans="1:12" s="1" customFormat="1">
      <c r="A514" s="3">
        <v>45734</v>
      </c>
      <c r="B514" s="2" t="s">
        <v>13</v>
      </c>
      <c r="C514" s="2">
        <v>22</v>
      </c>
      <c r="D514" s="2">
        <v>5</v>
      </c>
      <c r="E514" s="1">
        <v>0</v>
      </c>
      <c r="F514" s="1">
        <v>0</v>
      </c>
      <c r="G514" s="1">
        <v>0</v>
      </c>
      <c r="H514" s="1">
        <v>0</v>
      </c>
      <c r="I514" s="1">
        <v>5657.45593139592</v>
      </c>
      <c r="J514" s="1">
        <v>5657.45593139592</v>
      </c>
      <c r="K514" s="1">
        <v>5657.45593139592</v>
      </c>
      <c r="L514" s="1">
        <v>5657.45593139592</v>
      </c>
    </row>
    <row r="515" spans="1:12" s="1" customFormat="1">
      <c r="A515" s="3">
        <v>45735</v>
      </c>
      <c r="B515" s="2" t="s">
        <v>14</v>
      </c>
      <c r="C515" s="2">
        <v>21</v>
      </c>
      <c r="D515" s="2">
        <v>4</v>
      </c>
      <c r="E515" s="1">
        <v>0</v>
      </c>
      <c r="F515" s="1">
        <v>0</v>
      </c>
      <c r="G515" s="1">
        <v>0</v>
      </c>
      <c r="H515" s="1">
        <v>0</v>
      </c>
      <c r="I515" s="1">
        <v>68395.67160668079</v>
      </c>
      <c r="J515" s="1">
        <v>68395.67160668079</v>
      </c>
      <c r="K515" s="1">
        <v>68395.67160668079</v>
      </c>
      <c r="L515" s="1">
        <v>68395.67160668079</v>
      </c>
    </row>
    <row r="516" spans="1:12" s="1" customFormat="1">
      <c r="A516" s="3">
        <v>45736</v>
      </c>
      <c r="B516" s="2" t="s">
        <v>16</v>
      </c>
      <c r="C516" s="2">
        <v>20</v>
      </c>
      <c r="D516" s="2">
        <v>3</v>
      </c>
      <c r="E516" s="1">
        <v>0</v>
      </c>
      <c r="F516" s="1">
        <v>0</v>
      </c>
      <c r="G516" s="1">
        <v>0</v>
      </c>
      <c r="H516" s="1">
        <v>0</v>
      </c>
      <c r="I516" s="1">
        <v>9089.602024384625</v>
      </c>
      <c r="J516" s="1">
        <v>-58198.18265470438</v>
      </c>
      <c r="K516" s="1">
        <v>-127173.9130434782</v>
      </c>
      <c r="L516" s="1">
        <v>-127173.9130434782</v>
      </c>
    </row>
    <row r="517" spans="1:12" s="1" customFormat="1">
      <c r="A517" s="3">
        <v>45737</v>
      </c>
      <c r="B517" s="2" t="s">
        <v>15</v>
      </c>
      <c r="C517" s="2">
        <v>19</v>
      </c>
      <c r="D517" s="2">
        <v>2</v>
      </c>
      <c r="E517" s="1">
        <v>0</v>
      </c>
      <c r="F517" s="1">
        <v>0</v>
      </c>
      <c r="G517" s="1">
        <v>0</v>
      </c>
      <c r="H517" s="1">
        <v>0</v>
      </c>
      <c r="I517" s="1">
        <v>-107641.1240406041</v>
      </c>
      <c r="J517" s="1">
        <v>-92102.00544689281</v>
      </c>
      <c r="K517" s="1">
        <v>-92102.00544689281</v>
      </c>
      <c r="L517" s="1">
        <v>-92102.00544689281</v>
      </c>
    </row>
    <row r="518" spans="1:12" s="1" customFormat="1">
      <c r="A518" s="3">
        <v>45740</v>
      </c>
      <c r="B518" s="2" t="s">
        <v>12</v>
      </c>
      <c r="C518" s="2">
        <v>18</v>
      </c>
      <c r="D518" s="2">
        <v>1</v>
      </c>
      <c r="E518" s="1">
        <v>0</v>
      </c>
      <c r="F518" s="1">
        <v>0</v>
      </c>
      <c r="G518" s="1">
        <v>0</v>
      </c>
      <c r="H518" s="1">
        <v>0</v>
      </c>
      <c r="I518" s="1">
        <v>34948.224852071</v>
      </c>
      <c r="J518" s="1">
        <v>73794.99506903352</v>
      </c>
      <c r="K518" s="1">
        <v>89179.61045364891</v>
      </c>
      <c r="L518" s="1">
        <v>89179.61045364891</v>
      </c>
    </row>
    <row r="519" spans="1:12" s="1" customFormat="1">
      <c r="A519" s="3">
        <v>45741</v>
      </c>
      <c r="B519" s="2" t="s">
        <v>13</v>
      </c>
      <c r="C519" s="2">
        <v>17</v>
      </c>
      <c r="D519" s="2">
        <v>21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</row>
    <row r="520" spans="1:12" s="1" customFormat="1">
      <c r="A520" s="3">
        <v>45742</v>
      </c>
      <c r="B520" s="2" t="s">
        <v>14</v>
      </c>
      <c r="C520" s="2">
        <v>16</v>
      </c>
      <c r="D520" s="2">
        <v>20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1:12" s="1" customFormat="1">
      <c r="A521" s="3">
        <v>45743</v>
      </c>
      <c r="B521" s="2" t="s">
        <v>16</v>
      </c>
      <c r="C521" s="2">
        <v>15</v>
      </c>
      <c r="D521" s="2">
        <v>19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1:12" s="1" customFormat="1">
      <c r="A522" s="3">
        <v>45744</v>
      </c>
      <c r="B522" s="2" t="s">
        <v>15</v>
      </c>
      <c r="C522" s="2">
        <v>14</v>
      </c>
      <c r="D522" s="2">
        <v>18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</row>
    <row r="523" spans="1:12" s="1" customFormat="1">
      <c r="A523" s="3">
        <v>45747</v>
      </c>
      <c r="B523" s="2" t="s">
        <v>12</v>
      </c>
      <c r="C523" s="2">
        <v>13</v>
      </c>
      <c r="D523" s="2">
        <v>17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</row>
    <row r="524" spans="1:12" s="1" customFormat="1">
      <c r="A524" s="3">
        <v>45748</v>
      </c>
      <c r="B524" s="2" t="s">
        <v>13</v>
      </c>
      <c r="C524" s="2">
        <v>12</v>
      </c>
      <c r="D524" s="2">
        <v>16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1:12" s="1" customFormat="1">
      <c r="A525" s="3">
        <v>45749</v>
      </c>
      <c r="B525" s="2" t="s">
        <v>14</v>
      </c>
      <c r="C525" s="2">
        <v>11</v>
      </c>
      <c r="D525" s="2">
        <v>15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 s="1" customFormat="1">
      <c r="A526" s="3">
        <v>45750</v>
      </c>
      <c r="B526" s="2" t="s">
        <v>16</v>
      </c>
      <c r="C526" s="2">
        <v>10</v>
      </c>
      <c r="D526" s="2">
        <v>14</v>
      </c>
      <c r="E526" s="1">
        <v>36950.34676110373</v>
      </c>
      <c r="F526" s="1">
        <v>-90504.64807436922</v>
      </c>
      <c r="G526" s="1">
        <v>74479.85834440019</v>
      </c>
      <c r="H526" s="1">
        <v>74479.85834440019</v>
      </c>
      <c r="I526" s="1">
        <v>0</v>
      </c>
      <c r="J526" s="1">
        <v>0</v>
      </c>
      <c r="K526" s="1">
        <v>0</v>
      </c>
      <c r="L526" s="1">
        <v>0</v>
      </c>
    </row>
    <row r="527" spans="1:12" s="1" customFormat="1">
      <c r="A527" s="3">
        <v>45751</v>
      </c>
      <c r="B527" s="2" t="s">
        <v>15</v>
      </c>
      <c r="C527" s="2">
        <v>9</v>
      </c>
      <c r="D527" s="2">
        <v>13</v>
      </c>
      <c r="E527" s="1">
        <v>-200536.2534802556</v>
      </c>
      <c r="F527" s="1">
        <v>141416.0229010627</v>
      </c>
      <c r="G527" s="1">
        <v>141416.0229010627</v>
      </c>
      <c r="H527" s="1">
        <v>141416.0229010627</v>
      </c>
      <c r="I527" s="1">
        <v>0</v>
      </c>
      <c r="J527" s="1">
        <v>0</v>
      </c>
      <c r="K527" s="1">
        <v>0</v>
      </c>
      <c r="L527" s="1">
        <v>0</v>
      </c>
    </row>
    <row r="528" spans="1:12" s="1" customFormat="1">
      <c r="A528" s="3">
        <v>45754</v>
      </c>
      <c r="B528" s="2" t="s">
        <v>12</v>
      </c>
      <c r="C528" s="2">
        <v>8</v>
      </c>
      <c r="D528" s="2">
        <v>12</v>
      </c>
      <c r="E528" s="1">
        <v>-319907.0314169694</v>
      </c>
      <c r="F528" s="1">
        <v>-265199.8290232956</v>
      </c>
      <c r="G528" s="1">
        <v>-168500.7480230819</v>
      </c>
      <c r="H528" s="1">
        <v>-168500.7480230819</v>
      </c>
      <c r="I528" s="1">
        <v>0</v>
      </c>
      <c r="J528" s="1">
        <v>0</v>
      </c>
      <c r="K528" s="1">
        <v>0</v>
      </c>
      <c r="L528" s="1">
        <v>0</v>
      </c>
    </row>
    <row r="529" spans="1:12" s="1" customFormat="1">
      <c r="A529" s="3">
        <v>45755</v>
      </c>
      <c r="B529" s="2" t="s">
        <v>13</v>
      </c>
      <c r="C529" s="2">
        <v>7</v>
      </c>
      <c r="D529" s="2">
        <v>11</v>
      </c>
      <c r="E529" s="1">
        <v>-304435.2131587781</v>
      </c>
      <c r="F529" s="1">
        <v>-55712.90701577711</v>
      </c>
      <c r="G529" s="1">
        <v>-55712.90701577711</v>
      </c>
      <c r="H529" s="1">
        <v>-55712.90701577711</v>
      </c>
      <c r="I529" s="1">
        <v>0</v>
      </c>
      <c r="J529" s="1">
        <v>0</v>
      </c>
      <c r="K529" s="1">
        <v>0</v>
      </c>
      <c r="L529" s="1">
        <v>0</v>
      </c>
    </row>
    <row r="530" spans="1:12" s="1" customFormat="1">
      <c r="A530" s="3">
        <v>45756</v>
      </c>
      <c r="B530" s="2" t="s">
        <v>14</v>
      </c>
      <c r="C530" s="2">
        <v>6</v>
      </c>
      <c r="D530" s="2">
        <v>10</v>
      </c>
      <c r="E530" s="1">
        <v>352237.5960556123</v>
      </c>
      <c r="F530" s="1">
        <v>252408.6083596144</v>
      </c>
      <c r="G530" s="1">
        <v>252408.6083596144</v>
      </c>
      <c r="H530" s="1">
        <v>252408.6083596144</v>
      </c>
      <c r="I530" s="1">
        <v>0</v>
      </c>
      <c r="J530" s="1">
        <v>0</v>
      </c>
      <c r="K530" s="1">
        <v>0</v>
      </c>
      <c r="L530" s="1">
        <v>0</v>
      </c>
    </row>
    <row r="531" spans="1:12" s="1" customFormat="1">
      <c r="A531" s="3">
        <v>45757</v>
      </c>
      <c r="B531" s="2" t="s">
        <v>16</v>
      </c>
      <c r="C531" s="2">
        <v>5</v>
      </c>
      <c r="D531" s="2">
        <v>9</v>
      </c>
      <c r="E531" s="1">
        <v>-201353.9016115352</v>
      </c>
      <c r="F531" s="1">
        <v>-319995.7591178964</v>
      </c>
      <c r="G531" s="1">
        <v>-319995.7591178964</v>
      </c>
      <c r="H531" s="1">
        <v>-319995.7591178964</v>
      </c>
      <c r="I531" s="1">
        <v>0</v>
      </c>
      <c r="J531" s="1">
        <v>0</v>
      </c>
      <c r="K531" s="1">
        <v>0</v>
      </c>
      <c r="L531" s="1">
        <v>0</v>
      </c>
    </row>
    <row r="532" spans="1:12" s="1" customFormat="1">
      <c r="A532" s="3">
        <v>45758</v>
      </c>
      <c r="B532" s="2" t="s">
        <v>15</v>
      </c>
      <c r="C532" s="2">
        <v>4</v>
      </c>
      <c r="D532" s="2">
        <v>8</v>
      </c>
      <c r="E532" s="1">
        <v>246905.8767935389</v>
      </c>
      <c r="F532" s="1">
        <v>246905.8767935389</v>
      </c>
      <c r="G532" s="1">
        <v>246905.8767935389</v>
      </c>
      <c r="H532" s="1">
        <v>246905.8767935389</v>
      </c>
      <c r="I532" s="1">
        <v>0</v>
      </c>
      <c r="J532" s="1">
        <v>0</v>
      </c>
      <c r="K532" s="1">
        <v>0</v>
      </c>
      <c r="L532" s="1">
        <v>0</v>
      </c>
    </row>
    <row r="533" spans="1:12" s="1" customFormat="1">
      <c r="A533" s="3">
        <v>45761</v>
      </c>
      <c r="B533" s="2" t="s">
        <v>12</v>
      </c>
      <c r="C533" s="2">
        <v>3</v>
      </c>
      <c r="D533" s="2">
        <v>7</v>
      </c>
      <c r="E533" s="1">
        <v>199403.9735099338</v>
      </c>
      <c r="F533" s="1">
        <v>-3203.642384106002</v>
      </c>
      <c r="G533" s="1">
        <v>166794.2880794703</v>
      </c>
      <c r="H533" s="1">
        <v>166794.2880794703</v>
      </c>
      <c r="I533" s="1">
        <v>0</v>
      </c>
      <c r="J533" s="1">
        <v>0</v>
      </c>
      <c r="K533" s="1">
        <v>0</v>
      </c>
      <c r="L533" s="1">
        <v>0</v>
      </c>
    </row>
    <row r="534" spans="1:12" s="1" customFormat="1">
      <c r="A534" s="3">
        <v>45762</v>
      </c>
      <c r="B534" s="2" t="s">
        <v>13</v>
      </c>
      <c r="C534" s="2">
        <v>2</v>
      </c>
      <c r="D534" s="2">
        <v>6</v>
      </c>
      <c r="E534" s="1">
        <v>246905.9405940594</v>
      </c>
      <c r="F534" s="1">
        <v>246905.9405940594</v>
      </c>
      <c r="G534" s="1">
        <v>246905.9405940594</v>
      </c>
      <c r="H534" s="1">
        <v>246905.9405940594</v>
      </c>
      <c r="I534" s="1">
        <v>95247.90401850248</v>
      </c>
      <c r="J534" s="1">
        <v>95247.90401850248</v>
      </c>
      <c r="K534" s="1">
        <v>95247.90401850248</v>
      </c>
      <c r="L534" s="1">
        <v>95247.90401850248</v>
      </c>
    </row>
    <row r="535" spans="1:12" s="1" customFormat="1">
      <c r="A535" s="3">
        <v>45763</v>
      </c>
      <c r="B535" s="2" t="s">
        <v>14</v>
      </c>
      <c r="C535" s="2">
        <v>1</v>
      </c>
      <c r="D535" s="2">
        <v>5</v>
      </c>
      <c r="E535" s="1">
        <v>126157.2995637627</v>
      </c>
      <c r="F535" s="1">
        <v>28956.84214984542</v>
      </c>
      <c r="G535" s="1">
        <v>257342.9757316505</v>
      </c>
      <c r="H535" s="1">
        <v>257342.9757316505</v>
      </c>
      <c r="I535" s="1">
        <v>84783.24977882628</v>
      </c>
      <c r="J535" s="1">
        <v>84783.24977882628</v>
      </c>
      <c r="K535" s="1">
        <v>84783.24977882628</v>
      </c>
      <c r="L535" s="1">
        <v>84783.24977882628</v>
      </c>
    </row>
    <row r="536" spans="1:12" s="1" customFormat="1">
      <c r="A536" s="3">
        <v>45764</v>
      </c>
      <c r="B536" s="2" t="s">
        <v>16</v>
      </c>
      <c r="C536" s="2">
        <v>19</v>
      </c>
      <c r="D536" s="2">
        <v>4</v>
      </c>
      <c r="E536" s="1">
        <v>0</v>
      </c>
      <c r="F536" s="1">
        <v>0</v>
      </c>
      <c r="G536" s="1">
        <v>0</v>
      </c>
      <c r="H536" s="1">
        <v>0</v>
      </c>
      <c r="I536" s="1">
        <v>86013.85578069132</v>
      </c>
      <c r="J536" s="1">
        <v>86013.85578069132</v>
      </c>
      <c r="K536" s="1">
        <v>86013.85578069132</v>
      </c>
      <c r="L536" s="1">
        <v>86013.85578069132</v>
      </c>
    </row>
    <row r="537" spans="1:12" s="1" customFormat="1">
      <c r="A537" s="3">
        <v>45768</v>
      </c>
      <c r="B537" s="2" t="s">
        <v>12</v>
      </c>
      <c r="C537" s="2">
        <v>18</v>
      </c>
      <c r="D537" s="2">
        <v>3</v>
      </c>
      <c r="E537" s="1">
        <v>0</v>
      </c>
      <c r="F537" s="1">
        <v>0</v>
      </c>
      <c r="G537" s="1">
        <v>0</v>
      </c>
      <c r="H537" s="1">
        <v>0</v>
      </c>
      <c r="I537" s="1">
        <v>62730.06134969327</v>
      </c>
      <c r="J537" s="1">
        <v>996.9325153374343</v>
      </c>
      <c r="K537" s="1">
        <v>-48466.25766871166</v>
      </c>
      <c r="L537" s="1">
        <v>-48466.25766871166</v>
      </c>
    </row>
    <row r="538" spans="1:12" s="1" customFormat="1">
      <c r="A538" s="3">
        <v>45769</v>
      </c>
      <c r="B538" s="2" t="s">
        <v>13</v>
      </c>
      <c r="C538" s="2">
        <v>17</v>
      </c>
      <c r="D538" s="2">
        <v>2</v>
      </c>
      <c r="E538" s="1">
        <v>0</v>
      </c>
      <c r="F538" s="1">
        <v>0</v>
      </c>
      <c r="G538" s="1">
        <v>0</v>
      </c>
      <c r="H538" s="1">
        <v>0</v>
      </c>
      <c r="I538" s="1">
        <v>59150.06426735219</v>
      </c>
      <c r="J538" s="1">
        <v>101763.3354755784</v>
      </c>
      <c r="K538" s="1">
        <v>101763.3354755784</v>
      </c>
      <c r="L538" s="1">
        <v>101763.3354755784</v>
      </c>
    </row>
    <row r="539" spans="1:12" s="1" customFormat="1">
      <c r="A539" s="3">
        <v>45770</v>
      </c>
      <c r="B539" s="2" t="s">
        <v>14</v>
      </c>
      <c r="C539" s="2">
        <v>16</v>
      </c>
      <c r="D539" s="2">
        <v>1</v>
      </c>
      <c r="E539" s="1">
        <v>0</v>
      </c>
      <c r="F539" s="1">
        <v>0</v>
      </c>
      <c r="G539" s="1">
        <v>0</v>
      </c>
      <c r="H539" s="1">
        <v>0</v>
      </c>
      <c r="I539" s="1">
        <v>54502.42718446601</v>
      </c>
      <c r="J539" s="1">
        <v>96557.44336569578</v>
      </c>
      <c r="K539" s="1">
        <v>88903.72168284788</v>
      </c>
      <c r="L539" s="1">
        <v>91759.70873786409</v>
      </c>
    </row>
    <row r="540" spans="1:12" s="1" customFormat="1">
      <c r="A540" s="3">
        <v>45771</v>
      </c>
      <c r="B540" s="2" t="s">
        <v>16</v>
      </c>
      <c r="C540" s="2">
        <v>15</v>
      </c>
      <c r="D540" s="2">
        <v>21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 s="1" customFormat="1">
      <c r="A541" s="3">
        <v>45772</v>
      </c>
      <c r="B541" s="2" t="s">
        <v>15</v>
      </c>
      <c r="C541" s="2">
        <v>14</v>
      </c>
      <c r="D541" s="2">
        <v>20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 s="1" customFormat="1">
      <c r="A542" s="3">
        <v>45775</v>
      </c>
      <c r="B542" s="2" t="s">
        <v>12</v>
      </c>
      <c r="C542" s="2">
        <v>13</v>
      </c>
      <c r="D542" s="2">
        <v>19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1:12" s="1" customFormat="1">
      <c r="A543" s="3">
        <v>45777</v>
      </c>
      <c r="B543" s="2" t="s">
        <v>14</v>
      </c>
      <c r="C543" s="2">
        <v>12</v>
      </c>
      <c r="D543" s="2">
        <v>18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</row>
    <row r="544" spans="1:12" s="1" customFormat="1">
      <c r="A544" s="3">
        <v>45778</v>
      </c>
      <c r="B544" s="2" t="s">
        <v>16</v>
      </c>
      <c r="C544" s="2">
        <v>11</v>
      </c>
      <c r="D544" s="2">
        <v>17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 s="1" customFormat="1">
      <c r="A545" s="3">
        <v>45779</v>
      </c>
      <c r="B545" s="2" t="s">
        <v>15</v>
      </c>
      <c r="C545" s="2">
        <v>10</v>
      </c>
      <c r="D545" s="2">
        <v>16</v>
      </c>
      <c r="E545" s="1">
        <v>-23576.37510475938</v>
      </c>
      <c r="F545" s="1">
        <v>-23576.37510475938</v>
      </c>
      <c r="G545" s="1">
        <v>-23576.37510475938</v>
      </c>
      <c r="H545" s="1">
        <v>-23576.37510475938</v>
      </c>
      <c r="I545" s="1">
        <v>0</v>
      </c>
      <c r="J545" s="1">
        <v>0</v>
      </c>
      <c r="K545" s="1">
        <v>0</v>
      </c>
      <c r="L545" s="1">
        <v>0</v>
      </c>
    </row>
    <row r="546" spans="1:12" s="1" customFormat="1">
      <c r="A546" s="3">
        <v>45782</v>
      </c>
      <c r="B546" s="2" t="s">
        <v>12</v>
      </c>
      <c r="C546" s="2">
        <v>9</v>
      </c>
      <c r="D546" s="2">
        <v>15</v>
      </c>
      <c r="E546" s="1">
        <v>248162.5913434513</v>
      </c>
      <c r="F546" s="1">
        <v>248162.5913434513</v>
      </c>
      <c r="G546" s="1">
        <v>248162.5913434513</v>
      </c>
      <c r="H546" s="1">
        <v>248162.5913434513</v>
      </c>
      <c r="I546" s="1">
        <v>0</v>
      </c>
      <c r="J546" s="1">
        <v>0</v>
      </c>
      <c r="K546" s="1">
        <v>0</v>
      </c>
      <c r="L546" s="1">
        <v>0</v>
      </c>
    </row>
    <row r="547" spans="1:12" s="1" customFormat="1">
      <c r="A547" s="3">
        <v>45783</v>
      </c>
      <c r="B547" s="2" t="s">
        <v>13</v>
      </c>
      <c r="C547" s="2">
        <v>8</v>
      </c>
      <c r="D547" s="2">
        <v>14</v>
      </c>
      <c r="E547" s="1">
        <v>-101821.3120695904</v>
      </c>
      <c r="F547" s="1">
        <v>-19017.30699528813</v>
      </c>
      <c r="G547" s="1">
        <v>-19017.30699528813</v>
      </c>
      <c r="H547" s="1">
        <v>-19017.30699528813</v>
      </c>
      <c r="I547" s="1">
        <v>0</v>
      </c>
      <c r="J547" s="1">
        <v>0</v>
      </c>
      <c r="K547" s="1">
        <v>0</v>
      </c>
      <c r="L547" s="1">
        <v>0</v>
      </c>
    </row>
    <row r="548" spans="1:12" s="1" customFormat="1">
      <c r="A548" s="3">
        <v>45784</v>
      </c>
      <c r="B548" s="2" t="s">
        <v>14</v>
      </c>
      <c r="C548" s="2">
        <v>7</v>
      </c>
      <c r="D548" s="2">
        <v>13</v>
      </c>
      <c r="E548" s="1">
        <v>6378.415240441705</v>
      </c>
      <c r="F548" s="1">
        <v>-34317.39187821726</v>
      </c>
      <c r="G548" s="1">
        <v>-34317.39187821726</v>
      </c>
      <c r="H548" s="1">
        <v>-34317.39187821726</v>
      </c>
      <c r="I548" s="1">
        <v>0</v>
      </c>
      <c r="J548" s="1">
        <v>0</v>
      </c>
      <c r="K548" s="1">
        <v>0</v>
      </c>
      <c r="L548" s="1">
        <v>0</v>
      </c>
    </row>
    <row r="549" spans="1:12" s="1" customFormat="1">
      <c r="A549" s="3">
        <v>45785</v>
      </c>
      <c r="B549" s="2" t="s">
        <v>16</v>
      </c>
      <c r="C549" s="2">
        <v>6</v>
      </c>
      <c r="D549" s="2">
        <v>12</v>
      </c>
      <c r="E549" s="1">
        <v>-64585.56986938628</v>
      </c>
      <c r="F549" s="1">
        <v>-91530.23796743606</v>
      </c>
      <c r="G549" s="1">
        <v>-91530.23796743606</v>
      </c>
      <c r="H549" s="1">
        <v>-91530.23796743606</v>
      </c>
      <c r="I549" s="1">
        <v>0</v>
      </c>
      <c r="J549" s="1">
        <v>0</v>
      </c>
      <c r="K549" s="1">
        <v>0</v>
      </c>
      <c r="L549" s="1">
        <v>0</v>
      </c>
    </row>
    <row r="550" spans="1:12" s="1" customFormat="1">
      <c r="A550" s="3">
        <v>45786</v>
      </c>
      <c r="B550" s="2" t="s">
        <v>15</v>
      </c>
      <c r="C550" s="2">
        <v>5</v>
      </c>
      <c r="D550" s="2">
        <v>11</v>
      </c>
      <c r="E550" s="1">
        <v>187360.0585601102</v>
      </c>
      <c r="F550" s="1">
        <v>187360.0585601102</v>
      </c>
      <c r="G550" s="1">
        <v>187360.0585601102</v>
      </c>
      <c r="H550" s="1">
        <v>187360.0585601102</v>
      </c>
      <c r="I550" s="1">
        <v>0</v>
      </c>
      <c r="J550" s="1">
        <v>0</v>
      </c>
      <c r="K550" s="1">
        <v>0</v>
      </c>
      <c r="L550" s="1">
        <v>0</v>
      </c>
    </row>
    <row r="551" spans="1:12" s="1" customFormat="1">
      <c r="A551" s="3">
        <v>45789</v>
      </c>
      <c r="B551" s="2" t="s">
        <v>12</v>
      </c>
      <c r="C551" s="2">
        <v>4</v>
      </c>
      <c r="D551" s="2">
        <v>10</v>
      </c>
      <c r="E551" s="1">
        <v>70862.86397404152</v>
      </c>
      <c r="F551" s="1">
        <v>30078.55862010076</v>
      </c>
      <c r="G551" s="1">
        <v>30078.55862010076</v>
      </c>
      <c r="H551" s="1">
        <v>30078.55862010076</v>
      </c>
      <c r="I551" s="1">
        <v>0</v>
      </c>
      <c r="J551" s="1">
        <v>0</v>
      </c>
      <c r="K551" s="1">
        <v>0</v>
      </c>
      <c r="L551" s="1">
        <v>0</v>
      </c>
    </row>
    <row r="552" spans="1:12" s="1" customFormat="1">
      <c r="A552" s="3">
        <v>45790</v>
      </c>
      <c r="B552" s="2" t="s">
        <v>13</v>
      </c>
      <c r="C552" s="2">
        <v>3</v>
      </c>
      <c r="D552" s="2">
        <v>9</v>
      </c>
      <c r="E552" s="1">
        <v>122446.9032176014</v>
      </c>
      <c r="F552" s="1">
        <v>-22753.190046208</v>
      </c>
      <c r="G552" s="1">
        <v>16988.85073551231</v>
      </c>
      <c r="H552" s="1">
        <v>16988.85073551231</v>
      </c>
      <c r="I552" s="1">
        <v>0</v>
      </c>
      <c r="J552" s="1">
        <v>0</v>
      </c>
      <c r="K552" s="1">
        <v>0</v>
      </c>
      <c r="L552" s="1">
        <v>0</v>
      </c>
    </row>
    <row r="553" spans="1:12" s="1" customFormat="1">
      <c r="A553" s="3">
        <v>45791</v>
      </c>
      <c r="B553" s="2" t="s">
        <v>14</v>
      </c>
      <c r="C553" s="2">
        <v>2</v>
      </c>
      <c r="D553" s="2">
        <v>8</v>
      </c>
      <c r="E553" s="1">
        <v>57595.34116676974</v>
      </c>
      <c r="F553" s="1">
        <v>130766.8521954236</v>
      </c>
      <c r="G553" s="1">
        <v>130766.8521954236</v>
      </c>
      <c r="H553" s="1">
        <v>130766.8521954236</v>
      </c>
      <c r="I553" s="1">
        <v>0</v>
      </c>
      <c r="J553" s="1">
        <v>0</v>
      </c>
      <c r="K553" s="1">
        <v>0</v>
      </c>
      <c r="L553" s="1">
        <v>0</v>
      </c>
    </row>
    <row r="554" spans="1:12" s="1" customFormat="1">
      <c r="A554" s="3">
        <v>45792</v>
      </c>
      <c r="B554" s="2" t="s">
        <v>16</v>
      </c>
      <c r="C554" s="2">
        <v>1</v>
      </c>
      <c r="D554" s="2">
        <v>7</v>
      </c>
      <c r="E554" s="1">
        <v>135811.0943269553</v>
      </c>
      <c r="F554" s="1">
        <v>28707.20040281974</v>
      </c>
      <c r="G554" s="1">
        <v>164138.5532057738</v>
      </c>
      <c r="H554" s="1">
        <v>164138.5532057738</v>
      </c>
      <c r="I554" s="1">
        <v>0</v>
      </c>
      <c r="J554" s="1">
        <v>0</v>
      </c>
      <c r="K554" s="1">
        <v>0</v>
      </c>
      <c r="L554" s="1">
        <v>0</v>
      </c>
    </row>
    <row r="555" spans="1:12" s="1" customFormat="1">
      <c r="A555" s="3">
        <v>45793</v>
      </c>
      <c r="B555" s="2" t="s">
        <v>15</v>
      </c>
      <c r="C555" s="2">
        <v>22</v>
      </c>
      <c r="D555" s="2">
        <v>6</v>
      </c>
      <c r="E555" s="1">
        <v>0</v>
      </c>
      <c r="F555" s="1">
        <v>0</v>
      </c>
      <c r="G555" s="1">
        <v>0</v>
      </c>
      <c r="H555" s="1">
        <v>0</v>
      </c>
      <c r="I555" s="1">
        <v>91444.31554524363</v>
      </c>
      <c r="J555" s="1">
        <v>91444.31554524363</v>
      </c>
      <c r="K555" s="1">
        <v>91444.31554524363</v>
      </c>
      <c r="L555" s="1">
        <v>91444.31554524363</v>
      </c>
    </row>
    <row r="556" spans="1:12" s="1" customFormat="1">
      <c r="A556" s="3">
        <v>45796</v>
      </c>
      <c r="B556" s="2" t="s">
        <v>12</v>
      </c>
      <c r="C556" s="2">
        <v>21</v>
      </c>
      <c r="D556" s="2">
        <v>5</v>
      </c>
      <c r="E556" s="1">
        <v>0</v>
      </c>
      <c r="F556" s="1">
        <v>0</v>
      </c>
      <c r="G556" s="1">
        <v>0</v>
      </c>
      <c r="H556" s="1">
        <v>0</v>
      </c>
      <c r="I556" s="1">
        <v>7269.184652278173</v>
      </c>
      <c r="J556" s="1">
        <v>7269.184652278173</v>
      </c>
      <c r="K556" s="1">
        <v>7269.184652278173</v>
      </c>
      <c r="L556" s="1">
        <v>7269.184652278173</v>
      </c>
    </row>
    <row r="557" spans="1:12" s="1" customFormat="1">
      <c r="A557" s="3">
        <v>45797</v>
      </c>
      <c r="B557" s="2" t="s">
        <v>13</v>
      </c>
      <c r="C557" s="2">
        <v>20</v>
      </c>
      <c r="D557" s="2">
        <v>4</v>
      </c>
      <c r="E557" s="1">
        <v>0</v>
      </c>
      <c r="F557" s="1">
        <v>0</v>
      </c>
      <c r="G557" s="1">
        <v>0</v>
      </c>
      <c r="H557" s="1">
        <v>0</v>
      </c>
      <c r="I557" s="1">
        <v>-2256.135445790637</v>
      </c>
      <c r="J557" s="1">
        <v>-118363.6222429326</v>
      </c>
      <c r="K557" s="1">
        <v>-125291.2395153774</v>
      </c>
      <c r="L557" s="1">
        <v>-125291.2395153774</v>
      </c>
    </row>
    <row r="558" spans="1:12" s="1" customFormat="1">
      <c r="A558" s="3">
        <v>45798</v>
      </c>
      <c r="B558" s="2" t="s">
        <v>14</v>
      </c>
      <c r="C558" s="2">
        <v>19</v>
      </c>
      <c r="D558" s="2">
        <v>3</v>
      </c>
      <c r="E558" s="1">
        <v>0</v>
      </c>
      <c r="F558" s="1">
        <v>0</v>
      </c>
      <c r="G558" s="1">
        <v>0</v>
      </c>
      <c r="H558" s="1">
        <v>0</v>
      </c>
      <c r="I558" s="1">
        <v>46446.42857142857</v>
      </c>
      <c r="J558" s="1">
        <v>92542.85714285714</v>
      </c>
      <c r="K558" s="1">
        <v>92542.85714285714</v>
      </c>
      <c r="L558" s="1">
        <v>92542.85714285714</v>
      </c>
    </row>
    <row r="559" spans="1:12" s="1" customFormat="1">
      <c r="A559" s="3">
        <v>45799</v>
      </c>
      <c r="B559" s="2" t="s">
        <v>16</v>
      </c>
      <c r="C559" s="2">
        <v>18</v>
      </c>
      <c r="D559" s="2">
        <v>2</v>
      </c>
      <c r="E559" s="1">
        <v>0</v>
      </c>
      <c r="F559" s="1">
        <v>0</v>
      </c>
      <c r="G559" s="1">
        <v>0</v>
      </c>
      <c r="H559" s="1">
        <v>0</v>
      </c>
      <c r="I559" s="1">
        <v>79511.98382904998</v>
      </c>
      <c r="J559" s="1">
        <v>79511.98382904998</v>
      </c>
      <c r="K559" s="1">
        <v>79511.98382904998</v>
      </c>
      <c r="L559" s="1">
        <v>79511.98382904998</v>
      </c>
    </row>
    <row r="560" spans="1:12" s="1" customFormat="1">
      <c r="A560" s="3">
        <v>45800</v>
      </c>
      <c r="B560" s="2" t="s">
        <v>15</v>
      </c>
      <c r="C560" s="2">
        <v>17</v>
      </c>
      <c r="D560" s="2">
        <v>1</v>
      </c>
      <c r="E560" s="1">
        <v>0</v>
      </c>
      <c r="F560" s="1">
        <v>0</v>
      </c>
      <c r="G560" s="1">
        <v>0</v>
      </c>
      <c r="H560" s="1">
        <v>0</v>
      </c>
      <c r="I560" s="1">
        <v>-39351.71496156121</v>
      </c>
      <c r="J560" s="1">
        <v>-16358.66351271439</v>
      </c>
      <c r="K560" s="1">
        <v>108231.0762862211</v>
      </c>
      <c r="L560" s="1">
        <v>108231.0762862211</v>
      </c>
    </row>
    <row r="561" spans="1:12" s="1" customFormat="1">
      <c r="A561" s="3">
        <v>45803</v>
      </c>
      <c r="B561" s="2" t="s">
        <v>12</v>
      </c>
      <c r="C561" s="2">
        <v>16</v>
      </c>
      <c r="D561" s="2">
        <v>21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 s="1" customFormat="1">
      <c r="A562" s="3">
        <v>45804</v>
      </c>
      <c r="B562" s="2" t="s">
        <v>13</v>
      </c>
      <c r="C562" s="2">
        <v>15</v>
      </c>
      <c r="D562" s="2">
        <v>20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 s="1" customFormat="1">
      <c r="A563" s="3">
        <v>45805</v>
      </c>
      <c r="B563" s="2" t="s">
        <v>14</v>
      </c>
      <c r="C563" s="2">
        <v>14</v>
      </c>
      <c r="D563" s="2">
        <v>19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 s="1" customFormat="1">
      <c r="A564" s="3">
        <v>45806</v>
      </c>
      <c r="B564" s="2" t="s">
        <v>16</v>
      </c>
      <c r="C564" s="2">
        <v>13</v>
      </c>
      <c r="D564" s="2">
        <v>18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</row>
    <row r="565" spans="1:12" s="1" customFormat="1">
      <c r="A565" s="3">
        <v>45807</v>
      </c>
      <c r="B565" s="2" t="s">
        <v>15</v>
      </c>
      <c r="C565" s="2">
        <v>12</v>
      </c>
      <c r="D565" s="2">
        <v>17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</row>
    <row r="566" spans="1:12" s="1" customFormat="1">
      <c r="A566" s="3">
        <v>45810</v>
      </c>
      <c r="B566" s="2" t="s">
        <v>12</v>
      </c>
      <c r="C566" s="2">
        <v>11</v>
      </c>
      <c r="D566" s="2">
        <v>16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</row>
    <row r="567" spans="1:12" s="1" customFormat="1">
      <c r="A567" s="3">
        <v>45811</v>
      </c>
      <c r="B567" s="2" t="s">
        <v>13</v>
      </c>
      <c r="C567" s="2">
        <v>10</v>
      </c>
      <c r="D567" s="2">
        <v>15</v>
      </c>
      <c r="E567" s="1">
        <v>17745.19508372515</v>
      </c>
      <c r="F567" s="1">
        <v>17745.19508372515</v>
      </c>
      <c r="G567" s="1">
        <v>17745.19508372515</v>
      </c>
      <c r="H567" s="1">
        <v>17745.19508372515</v>
      </c>
      <c r="I567" s="1">
        <v>0</v>
      </c>
      <c r="J567" s="1">
        <v>0</v>
      </c>
      <c r="K567" s="1">
        <v>0</v>
      </c>
      <c r="L567" s="1">
        <v>0</v>
      </c>
    </row>
    <row r="568" spans="1:12" s="1" customFormat="1">
      <c r="A568" s="3">
        <v>45812</v>
      </c>
      <c r="B568" s="2" t="s">
        <v>14</v>
      </c>
      <c r="C568" s="2">
        <v>9</v>
      </c>
      <c r="D568" s="2">
        <v>14</v>
      </c>
      <c r="E568" s="1">
        <v>67801.12216898063</v>
      </c>
      <c r="F568" s="1">
        <v>67801.12216898063</v>
      </c>
      <c r="G568" s="1">
        <v>67801.12216898063</v>
      </c>
      <c r="H568" s="1">
        <v>67801.12216898063</v>
      </c>
      <c r="I568" s="1">
        <v>0</v>
      </c>
      <c r="J568" s="1">
        <v>0</v>
      </c>
      <c r="K568" s="1">
        <v>0</v>
      </c>
      <c r="L568" s="1">
        <v>0</v>
      </c>
    </row>
    <row r="569" spans="1:12" s="1" customFormat="1">
      <c r="A569" s="3">
        <v>45813</v>
      </c>
      <c r="B569" s="2" t="s">
        <v>16</v>
      </c>
      <c r="C569" s="2">
        <v>8</v>
      </c>
      <c r="D569" s="2">
        <v>13</v>
      </c>
      <c r="E569" s="1">
        <v>45622.39551099559</v>
      </c>
      <c r="F569" s="1">
        <v>45622.39551099559</v>
      </c>
      <c r="G569" s="1">
        <v>45622.39551099559</v>
      </c>
      <c r="H569" s="1">
        <v>45622.39551099559</v>
      </c>
      <c r="I569" s="1">
        <v>0</v>
      </c>
      <c r="J569" s="1">
        <v>0</v>
      </c>
      <c r="K569" s="1">
        <v>0</v>
      </c>
      <c r="L569" s="1">
        <v>0</v>
      </c>
    </row>
    <row r="570" spans="1:12" s="1" customFormat="1">
      <c r="A570" s="3">
        <v>45814</v>
      </c>
      <c r="B570" s="2" t="s">
        <v>15</v>
      </c>
      <c r="C570" s="2">
        <v>7</v>
      </c>
      <c r="D570" s="2">
        <v>12</v>
      </c>
      <c r="E570" s="1">
        <v>29572.99598788178</v>
      </c>
      <c r="F570" s="1">
        <v>-1954.884139850975</v>
      </c>
      <c r="G570" s="1">
        <v>-1954.884139850975</v>
      </c>
      <c r="H570" s="1">
        <v>-1954.884139850975</v>
      </c>
      <c r="I570" s="1">
        <v>0</v>
      </c>
      <c r="J570" s="1">
        <v>0</v>
      </c>
      <c r="K570" s="1">
        <v>0</v>
      </c>
      <c r="L570" s="1">
        <v>0</v>
      </c>
    </row>
    <row r="571" spans="1:12" s="1" customFormat="1">
      <c r="A571" s="3">
        <v>45817</v>
      </c>
      <c r="B571" s="2" t="s">
        <v>12</v>
      </c>
      <c r="C571" s="2">
        <v>6</v>
      </c>
      <c r="D571" s="2">
        <v>11</v>
      </c>
      <c r="E571" s="1">
        <v>97830.0217198938</v>
      </c>
      <c r="F571" s="1">
        <v>97830.0217198938</v>
      </c>
      <c r="G571" s="1">
        <v>97830.0217198938</v>
      </c>
      <c r="H571" s="1">
        <v>97830.0217198938</v>
      </c>
      <c r="I571" s="1">
        <v>0</v>
      </c>
      <c r="J571" s="1">
        <v>0</v>
      </c>
      <c r="K571" s="1">
        <v>0</v>
      </c>
      <c r="L571" s="1">
        <v>0</v>
      </c>
    </row>
    <row r="572" spans="1:12" s="1" customFormat="1">
      <c r="A572" s="3">
        <v>45818</v>
      </c>
      <c r="B572" s="2" t="s">
        <v>13</v>
      </c>
      <c r="C572" s="2">
        <v>5</v>
      </c>
      <c r="D572" s="2">
        <v>10</v>
      </c>
      <c r="E572" s="1">
        <v>37159.21699159931</v>
      </c>
      <c r="F572" s="1">
        <v>37159.21699159931</v>
      </c>
      <c r="G572" s="1">
        <v>37159.21699159931</v>
      </c>
      <c r="H572" s="1">
        <v>37159.21699159931</v>
      </c>
      <c r="I572" s="1">
        <v>0</v>
      </c>
      <c r="J572" s="1">
        <v>0</v>
      </c>
      <c r="K572" s="1">
        <v>0</v>
      </c>
      <c r="L572" s="1">
        <v>0</v>
      </c>
    </row>
    <row r="573" spans="1:12" s="1" customFormat="1">
      <c r="A573" s="3">
        <v>45819</v>
      </c>
      <c r="B573" s="2" t="s">
        <v>14</v>
      </c>
      <c r="C573" s="2">
        <v>4</v>
      </c>
      <c r="D573" s="2">
        <v>9</v>
      </c>
      <c r="E573" s="1">
        <v>30849.4903058165</v>
      </c>
      <c r="F573" s="1">
        <v>-105466.7199680192</v>
      </c>
      <c r="G573" s="1">
        <v>-105466.7199680192</v>
      </c>
      <c r="H573" s="1">
        <v>-105466.7199680192</v>
      </c>
      <c r="I573" s="1">
        <v>0</v>
      </c>
      <c r="J573" s="1">
        <v>0</v>
      </c>
      <c r="K573" s="1">
        <v>0</v>
      </c>
      <c r="L573" s="1">
        <v>0</v>
      </c>
    </row>
    <row r="574" spans="1:12" s="1" customFormat="1">
      <c r="A574" s="3">
        <v>45820</v>
      </c>
      <c r="B574" s="2" t="s">
        <v>16</v>
      </c>
      <c r="C574" s="2">
        <v>3</v>
      </c>
      <c r="D574" s="2">
        <v>8</v>
      </c>
      <c r="E574" s="1">
        <v>24472.16890595011</v>
      </c>
      <c r="F574" s="1">
        <v>-159313.8195777351</v>
      </c>
      <c r="G574" s="1">
        <v>-144721.689059501</v>
      </c>
      <c r="H574" s="1">
        <v>-144721.689059501</v>
      </c>
      <c r="I574" s="1">
        <v>0</v>
      </c>
      <c r="J574" s="1">
        <v>0</v>
      </c>
      <c r="K574" s="1">
        <v>0</v>
      </c>
      <c r="L574" s="1">
        <v>0</v>
      </c>
    </row>
    <row r="575" spans="1:12" s="1" customFormat="1">
      <c r="A575" s="3">
        <v>45821</v>
      </c>
      <c r="B575" s="2" t="s">
        <v>15</v>
      </c>
      <c r="C575" s="2">
        <v>2</v>
      </c>
      <c r="D575" s="2">
        <v>7</v>
      </c>
      <c r="E575" s="1">
        <v>254292.6846769276</v>
      </c>
      <c r="F575" s="1">
        <v>254292.6846769276</v>
      </c>
      <c r="G575" s="1">
        <v>254292.6846769276</v>
      </c>
      <c r="H575" s="1">
        <v>254292.6846769276</v>
      </c>
      <c r="I575" s="1">
        <v>0</v>
      </c>
      <c r="J575" s="1">
        <v>0</v>
      </c>
      <c r="K575" s="1">
        <v>0</v>
      </c>
      <c r="L575" s="1">
        <v>0</v>
      </c>
    </row>
    <row r="576" spans="1:12" s="1" customFormat="1">
      <c r="A576" s="3">
        <v>45824</v>
      </c>
      <c r="B576" s="2" t="s">
        <v>12</v>
      </c>
      <c r="C576" s="2">
        <v>1</v>
      </c>
      <c r="D576" s="2">
        <v>6</v>
      </c>
      <c r="E576" s="1">
        <v>36968.1130950293</v>
      </c>
      <c r="F576" s="1">
        <v>-117562.3531062546</v>
      </c>
      <c r="G576" s="1">
        <v>-284710.7727926475</v>
      </c>
      <c r="H576" s="1">
        <v>-435901.7083523346</v>
      </c>
      <c r="I576" s="1">
        <v>67381.51972464919</v>
      </c>
      <c r="J576" s="1">
        <v>67381.51972464919</v>
      </c>
      <c r="K576" s="1">
        <v>67381.51972464919</v>
      </c>
      <c r="L576" s="1">
        <v>67381.51972464919</v>
      </c>
    </row>
    <row r="577" spans="1:12" s="1" customFormat="1">
      <c r="A577" s="3">
        <v>45825</v>
      </c>
      <c r="B577" s="2" t="s">
        <v>13</v>
      </c>
      <c r="C577" s="2">
        <v>23</v>
      </c>
      <c r="D577" s="2">
        <v>5</v>
      </c>
      <c r="E577" s="1">
        <v>0</v>
      </c>
      <c r="F577" s="1">
        <v>0</v>
      </c>
      <c r="G577" s="1">
        <v>0</v>
      </c>
      <c r="H577" s="1">
        <v>0</v>
      </c>
      <c r="I577" s="1">
        <v>47487.11340206186</v>
      </c>
      <c r="J577" s="1">
        <v>47487.11340206186</v>
      </c>
      <c r="K577" s="1">
        <v>47487.11340206186</v>
      </c>
      <c r="L577" s="1">
        <v>47487.11340206186</v>
      </c>
    </row>
    <row r="578" spans="1:12" s="1" customFormat="1">
      <c r="A578" s="3">
        <v>45826</v>
      </c>
      <c r="B578" s="2" t="s">
        <v>14</v>
      </c>
      <c r="C578" s="2">
        <v>22</v>
      </c>
      <c r="D578" s="2">
        <v>4</v>
      </c>
      <c r="E578" s="1">
        <v>0</v>
      </c>
      <c r="F578" s="1">
        <v>0</v>
      </c>
      <c r="G578" s="1">
        <v>0</v>
      </c>
      <c r="H578" s="1">
        <v>0</v>
      </c>
      <c r="I578" s="1">
        <v>50049.86287708801</v>
      </c>
      <c r="J578" s="1">
        <v>50049.86287708801</v>
      </c>
      <c r="K578" s="1">
        <v>50049.86287708801</v>
      </c>
      <c r="L578" s="1">
        <v>50049.86287708801</v>
      </c>
    </row>
    <row r="579" spans="1:12" s="1" customFormat="1">
      <c r="A579" s="3">
        <v>45827</v>
      </c>
      <c r="B579" s="2" t="s">
        <v>16</v>
      </c>
      <c r="C579" s="2">
        <v>21</v>
      </c>
      <c r="D579" s="2">
        <v>3</v>
      </c>
      <c r="E579" s="1">
        <v>0</v>
      </c>
      <c r="F579" s="1">
        <v>0</v>
      </c>
      <c r="G579" s="1">
        <v>0</v>
      </c>
      <c r="H579" s="1">
        <v>0</v>
      </c>
      <c r="I579" s="1">
        <v>53329.29782082324</v>
      </c>
      <c r="J579" s="1">
        <v>53329.29782082324</v>
      </c>
      <c r="K579" s="1">
        <v>53329.29782082324</v>
      </c>
      <c r="L579" s="1">
        <v>53329.29782082324</v>
      </c>
    </row>
    <row r="580" spans="1:12" s="1" customFormat="1">
      <c r="A580" s="3">
        <v>45828</v>
      </c>
      <c r="B580" s="2" t="s">
        <v>15</v>
      </c>
      <c r="C580" s="2">
        <v>20</v>
      </c>
      <c r="D580" s="2">
        <v>2</v>
      </c>
      <c r="E580" s="1">
        <v>0</v>
      </c>
      <c r="F580" s="1">
        <v>0</v>
      </c>
      <c r="G580" s="1">
        <v>0</v>
      </c>
      <c r="H580" s="1">
        <v>0</v>
      </c>
      <c r="I580" s="1">
        <v>42668.6647860837</v>
      </c>
      <c r="J580" s="1">
        <v>-15511.87118006581</v>
      </c>
      <c r="K580" s="1">
        <v>-121923.4837799718</v>
      </c>
      <c r="L580" s="1">
        <v>-121923.4837799718</v>
      </c>
    </row>
    <row r="581" spans="1:12" s="1" customFormat="1">
      <c r="A581" s="3">
        <v>45831</v>
      </c>
      <c r="B581" s="2" t="s">
        <v>12</v>
      </c>
      <c r="C581" s="2">
        <v>19</v>
      </c>
      <c r="D581" s="2">
        <v>1</v>
      </c>
      <c r="E581" s="1">
        <v>0</v>
      </c>
      <c r="F581" s="1">
        <v>0</v>
      </c>
      <c r="G581" s="1">
        <v>0</v>
      </c>
      <c r="H581" s="1">
        <v>0</v>
      </c>
      <c r="I581" s="1">
        <v>33804.50849963046</v>
      </c>
      <c r="J581" s="1">
        <v>2392.830746489281</v>
      </c>
      <c r="K581" s="1">
        <v>-82594.23503325945</v>
      </c>
      <c r="L581" s="1">
        <v>-110254.9889135255</v>
      </c>
    </row>
    <row r="582" spans="1:12" s="1" customFormat="1">
      <c r="A582" s="3">
        <v>45832</v>
      </c>
      <c r="B582" s="2" t="s">
        <v>13</v>
      </c>
      <c r="C582" s="2">
        <v>18</v>
      </c>
      <c r="D582" s="2">
        <v>23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1:12" s="1" customFormat="1">
      <c r="A583" s="3">
        <v>45833</v>
      </c>
      <c r="B583" s="2" t="s">
        <v>14</v>
      </c>
      <c r="C583" s="2">
        <v>17</v>
      </c>
      <c r="D583" s="2">
        <v>22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 s="1" customFormat="1">
      <c r="A584" s="3">
        <v>45834</v>
      </c>
      <c r="B584" s="2" t="s">
        <v>16</v>
      </c>
      <c r="C584" s="2">
        <v>16</v>
      </c>
      <c r="D584" s="2">
        <v>21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 s="1" customFormat="1">
      <c r="A585" s="3">
        <v>45835</v>
      </c>
      <c r="B585" s="2" t="s">
        <v>15</v>
      </c>
      <c r="C585" s="2">
        <v>15</v>
      </c>
      <c r="D585" s="2">
        <v>20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 s="1" customFormat="1">
      <c r="A586" s="3">
        <v>45838</v>
      </c>
      <c r="B586" s="2" t="s">
        <v>12</v>
      </c>
      <c r="C586" s="2">
        <v>14</v>
      </c>
      <c r="D586" s="2">
        <v>19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</row>
    <row r="587" spans="1:12" s="1" customFormat="1">
      <c r="A587" s="3">
        <v>45839</v>
      </c>
      <c r="B587" s="2" t="s">
        <v>13</v>
      </c>
      <c r="C587" s="2">
        <v>13</v>
      </c>
      <c r="D587" s="2">
        <v>18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</row>
    <row r="588" spans="1:12" s="1" customFormat="1">
      <c r="A588" s="3">
        <v>45840</v>
      </c>
      <c r="B588" s="2" t="s">
        <v>14</v>
      </c>
      <c r="C588" s="2">
        <v>12</v>
      </c>
      <c r="D588" s="2">
        <v>17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 s="1" customFormat="1">
      <c r="A589" s="3">
        <v>45841</v>
      </c>
      <c r="B589" s="2" t="s">
        <v>16</v>
      </c>
      <c r="C589" s="2">
        <v>11</v>
      </c>
      <c r="D589" s="2">
        <v>16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 s="1" customFormat="1">
      <c r="A590" s="3">
        <v>45842</v>
      </c>
      <c r="B590" s="2" t="s">
        <v>15</v>
      </c>
      <c r="C590" s="2">
        <v>10</v>
      </c>
      <c r="D590" s="2">
        <v>15</v>
      </c>
      <c r="E590" s="1">
        <v>142553.0674131094</v>
      </c>
      <c r="F590" s="1">
        <v>142553.0674131094</v>
      </c>
      <c r="G590" s="1">
        <v>142553.0674131094</v>
      </c>
      <c r="H590" s="1">
        <v>142553.0674131094</v>
      </c>
      <c r="I590" s="1">
        <v>0</v>
      </c>
      <c r="J590" s="1">
        <v>0</v>
      </c>
      <c r="K590" s="1">
        <v>0</v>
      </c>
      <c r="L590" s="1">
        <v>0</v>
      </c>
    </row>
    <row r="591" spans="1:12" s="1" customFormat="1">
      <c r="A591" s="3">
        <v>45845</v>
      </c>
      <c r="B591" s="2" t="s">
        <v>12</v>
      </c>
      <c r="C591" s="2">
        <v>9</v>
      </c>
      <c r="D591" s="2">
        <v>14</v>
      </c>
      <c r="E591" s="1">
        <v>24678.27997489014</v>
      </c>
      <c r="F591" s="1">
        <v>24678.27997489014</v>
      </c>
      <c r="G591" s="1">
        <v>24678.27997489014</v>
      </c>
      <c r="H591" s="1">
        <v>24678.27997489014</v>
      </c>
      <c r="I591" s="1">
        <v>0</v>
      </c>
      <c r="J591" s="1">
        <v>0</v>
      </c>
      <c r="K591" s="1">
        <v>0</v>
      </c>
      <c r="L591" s="1">
        <v>0</v>
      </c>
    </row>
    <row r="592" spans="1:12" s="1" customFormat="1">
      <c r="A592" s="3">
        <v>45846</v>
      </c>
      <c r="B592" s="2" t="s">
        <v>13</v>
      </c>
      <c r="C592" s="2">
        <v>8</v>
      </c>
      <c r="D592" s="2">
        <v>13</v>
      </c>
      <c r="E592" s="1">
        <v>-102980.316317543</v>
      </c>
      <c r="F592" s="1">
        <v>-3599.739593306014</v>
      </c>
      <c r="G592" s="1">
        <v>-3599.739593306014</v>
      </c>
      <c r="H592" s="1">
        <v>-3599.739593306014</v>
      </c>
      <c r="I592" s="1">
        <v>0</v>
      </c>
      <c r="J592" s="1">
        <v>0</v>
      </c>
      <c r="K592" s="1">
        <v>0</v>
      </c>
      <c r="L592" s="1">
        <v>0</v>
      </c>
    </row>
    <row r="593" spans="1:12" s="1" customFormat="1">
      <c r="A593" s="3">
        <v>45847</v>
      </c>
      <c r="B593" s="2" t="s">
        <v>14</v>
      </c>
      <c r="C593" s="2">
        <v>7</v>
      </c>
      <c r="D593" s="2">
        <v>12</v>
      </c>
      <c r="E593" s="1">
        <v>59687.6303119906</v>
      </c>
      <c r="F593" s="1">
        <v>59687.6303119906</v>
      </c>
      <c r="G593" s="1">
        <v>59687.6303119906</v>
      </c>
      <c r="H593" s="1">
        <v>59687.6303119906</v>
      </c>
      <c r="I593" s="1">
        <v>0</v>
      </c>
      <c r="J593" s="1">
        <v>0</v>
      </c>
      <c r="K593" s="1">
        <v>0</v>
      </c>
      <c r="L593" s="1">
        <v>0</v>
      </c>
    </row>
    <row r="594" spans="1:12" s="1" customFormat="1">
      <c r="A594" s="3">
        <v>45848</v>
      </c>
      <c r="B594" s="2" t="s">
        <v>16</v>
      </c>
      <c r="C594" s="2">
        <v>6</v>
      </c>
      <c r="D594" s="2">
        <v>11</v>
      </c>
      <c r="E594" s="1">
        <v>-3084.3108226094</v>
      </c>
      <c r="F594" s="1">
        <v>-94180.61724177201</v>
      </c>
      <c r="G594" s="1">
        <v>-94180.61724177201</v>
      </c>
      <c r="H594" s="1">
        <v>-94180.61724177201</v>
      </c>
      <c r="I594" s="1">
        <v>0</v>
      </c>
      <c r="J594" s="1">
        <v>0</v>
      </c>
      <c r="K594" s="1">
        <v>0</v>
      </c>
      <c r="L594" s="1">
        <v>0</v>
      </c>
    </row>
    <row r="595" spans="1:12" s="1" customFormat="1">
      <c r="A595" s="3">
        <v>45849</v>
      </c>
      <c r="B595" s="2" t="s">
        <v>15</v>
      </c>
      <c r="C595" s="2">
        <v>5</v>
      </c>
      <c r="D595" s="2">
        <v>10</v>
      </c>
      <c r="E595" s="1">
        <v>-33359.13013195062</v>
      </c>
      <c r="F595" s="1">
        <v>-195195.0237975467</v>
      </c>
      <c r="G595" s="1">
        <v>-179526.3707773865</v>
      </c>
      <c r="H595" s="1">
        <v>-179526.3707773865</v>
      </c>
      <c r="I595" s="1">
        <v>0</v>
      </c>
      <c r="J595" s="1">
        <v>0</v>
      </c>
      <c r="K595" s="1">
        <v>0</v>
      </c>
      <c r="L595" s="1">
        <v>0</v>
      </c>
    </row>
    <row r="596" spans="1:12" s="1" customFormat="1">
      <c r="A596" s="3">
        <v>45852</v>
      </c>
      <c r="B596" s="2" t="s">
        <v>12</v>
      </c>
      <c r="C596" s="2">
        <v>4</v>
      </c>
      <c r="D596" s="2">
        <v>9</v>
      </c>
      <c r="E596" s="1">
        <v>254927.4952919021</v>
      </c>
      <c r="F596" s="1">
        <v>-31889.83050847463</v>
      </c>
      <c r="G596" s="1">
        <v>-62956.68549905842</v>
      </c>
      <c r="H596" s="1">
        <v>-62956.68549905842</v>
      </c>
      <c r="I596" s="1">
        <v>0</v>
      </c>
      <c r="J596" s="1">
        <v>0</v>
      </c>
      <c r="K596" s="1">
        <v>0</v>
      </c>
      <c r="L596" s="1">
        <v>0</v>
      </c>
    </row>
    <row r="597" spans="1:12" s="1" customFormat="1">
      <c r="A597" s="3">
        <v>45853</v>
      </c>
      <c r="B597" s="2" t="s">
        <v>13</v>
      </c>
      <c r="C597" s="2">
        <v>3</v>
      </c>
      <c r="D597" s="2">
        <v>8</v>
      </c>
      <c r="E597" s="1">
        <v>145270.6629984113</v>
      </c>
      <c r="F597" s="1">
        <v>145270.6629984113</v>
      </c>
      <c r="G597" s="1">
        <v>145270.6629984113</v>
      </c>
      <c r="H597" s="1">
        <v>145270.6629984113</v>
      </c>
      <c r="I597" s="1">
        <v>0</v>
      </c>
      <c r="J597" s="1">
        <v>0</v>
      </c>
      <c r="K597" s="1">
        <v>0</v>
      </c>
      <c r="L597" s="1">
        <v>0</v>
      </c>
    </row>
    <row r="598" spans="1:12" s="1" customFormat="1">
      <c r="A598" s="3">
        <v>45854</v>
      </c>
      <c r="B598" s="2" t="s">
        <v>14</v>
      </c>
      <c r="C598" s="2">
        <v>2</v>
      </c>
      <c r="D598" s="2">
        <v>7</v>
      </c>
      <c r="E598" s="1">
        <v>-7034.456058846306</v>
      </c>
      <c r="F598" s="1">
        <v>94676.73248161054</v>
      </c>
      <c r="G598" s="1">
        <v>94676.73248161054</v>
      </c>
      <c r="H598" s="1">
        <v>94676.73248161054</v>
      </c>
      <c r="I598" s="1">
        <v>0</v>
      </c>
      <c r="J598" s="1">
        <v>0</v>
      </c>
      <c r="K598" s="1">
        <v>0</v>
      </c>
      <c r="L598" s="1">
        <v>0</v>
      </c>
    </row>
    <row r="599" spans="1:12" s="1" customFormat="1">
      <c r="A599" s="3">
        <v>45855</v>
      </c>
      <c r="B599" s="2" t="s">
        <v>16</v>
      </c>
      <c r="C599" s="2">
        <v>1</v>
      </c>
      <c r="D599" s="2">
        <v>6</v>
      </c>
      <c r="E599" s="1">
        <v>-60515.11281396338</v>
      </c>
      <c r="F599" s="1">
        <v>150027.0908316885</v>
      </c>
      <c r="G599" s="1">
        <v>161635.5122102248</v>
      </c>
      <c r="H599" s="1">
        <v>161635.5122102248</v>
      </c>
      <c r="I599" s="1">
        <v>37963.46782988004</v>
      </c>
      <c r="J599" s="1">
        <v>37963.46782988004</v>
      </c>
      <c r="K599" s="1">
        <v>37963.46782988004</v>
      </c>
      <c r="L599" s="1">
        <v>37963.46782988004</v>
      </c>
    </row>
    <row r="600" spans="1:12" s="1" customFormat="1">
      <c r="A600" s="3">
        <v>45856</v>
      </c>
      <c r="B600" s="2" t="s">
        <v>15</v>
      </c>
      <c r="C600" s="2">
        <v>20</v>
      </c>
      <c r="D600" s="2">
        <v>5</v>
      </c>
      <c r="E600" s="1">
        <v>0</v>
      </c>
      <c r="F600" s="1">
        <v>0</v>
      </c>
      <c r="G600" s="1">
        <v>0</v>
      </c>
      <c r="H600" s="1">
        <v>0</v>
      </c>
      <c r="I600" s="1">
        <v>65154.83694162785</v>
      </c>
      <c r="J600" s="1">
        <v>65154.83694162785</v>
      </c>
      <c r="K600" s="1">
        <v>65154.83694162785</v>
      </c>
      <c r="L600" s="1">
        <v>65154.83694162785</v>
      </c>
    </row>
    <row r="601" spans="1:12" s="1" customFormat="1">
      <c r="A601" s="3">
        <v>45859</v>
      </c>
      <c r="B601" s="2" t="s">
        <v>12</v>
      </c>
      <c r="C601" s="2">
        <v>19</v>
      </c>
      <c r="D601" s="2">
        <v>4</v>
      </c>
      <c r="E601" s="1">
        <v>0</v>
      </c>
      <c r="F601" s="1">
        <v>0</v>
      </c>
      <c r="G601" s="1">
        <v>0</v>
      </c>
      <c r="H601" s="1">
        <v>0</v>
      </c>
      <c r="I601" s="1">
        <v>24715.09971509971</v>
      </c>
      <c r="J601" s="1">
        <v>24715.09971509971</v>
      </c>
      <c r="K601" s="1">
        <v>24715.09971509971</v>
      </c>
      <c r="L601" s="1">
        <v>24715.09971509971</v>
      </c>
    </row>
    <row r="602" spans="1:12" s="1" customFormat="1">
      <c r="A602" s="3">
        <v>45860</v>
      </c>
      <c r="B602" s="2" t="s">
        <v>13</v>
      </c>
      <c r="C602" s="2">
        <v>18</v>
      </c>
      <c r="D602" s="2">
        <v>3</v>
      </c>
      <c r="E602" s="1">
        <v>0</v>
      </c>
      <c r="F602" s="1">
        <v>0</v>
      </c>
      <c r="G602" s="1">
        <v>0</v>
      </c>
      <c r="H602" s="1">
        <v>0</v>
      </c>
      <c r="I602" s="1">
        <v>77136.19130941966</v>
      </c>
      <c r="J602" s="1">
        <v>77136.19130941966</v>
      </c>
      <c r="K602" s="1">
        <v>77136.19130941966</v>
      </c>
      <c r="L602" s="1">
        <v>77136.19130941966</v>
      </c>
    </row>
    <row r="603" spans="1:12" s="1" customFormat="1">
      <c r="A603" s="3">
        <v>45861</v>
      </c>
      <c r="B603" s="2" t="s">
        <v>14</v>
      </c>
      <c r="C603" s="2">
        <v>17</v>
      </c>
      <c r="D603" s="2">
        <v>2</v>
      </c>
      <c r="E603" s="1">
        <v>0</v>
      </c>
      <c r="F603" s="1">
        <v>0</v>
      </c>
      <c r="G603" s="1">
        <v>0</v>
      </c>
      <c r="H603" s="1">
        <v>0</v>
      </c>
      <c r="I603" s="1">
        <v>-19517.80415430267</v>
      </c>
      <c r="J603" s="1">
        <v>-75155.78635014837</v>
      </c>
      <c r="K603" s="1">
        <v>-134543.7685459941</v>
      </c>
      <c r="L603" s="1">
        <v>-134543.7685459941</v>
      </c>
    </row>
    <row r="604" spans="1:12" s="1" customFormat="1">
      <c r="A604" s="3">
        <v>45862</v>
      </c>
      <c r="B604" s="2" t="s">
        <v>16</v>
      </c>
      <c r="C604" s="2">
        <v>16</v>
      </c>
      <c r="D604" s="2">
        <v>1</v>
      </c>
      <c r="E604" s="1">
        <v>0</v>
      </c>
      <c r="F604" s="1">
        <v>0</v>
      </c>
      <c r="G604" s="1">
        <v>0</v>
      </c>
      <c r="H604" s="1">
        <v>0</v>
      </c>
      <c r="I604" s="1">
        <v>22129.80318650421</v>
      </c>
      <c r="J604" s="1">
        <v>-42303.18650421743</v>
      </c>
      <c r="K604" s="1">
        <v>101366.7603873789</v>
      </c>
      <c r="L604" s="1">
        <v>101366.7603873789</v>
      </c>
    </row>
    <row r="605" spans="1:12" s="1" customFormat="1">
      <c r="A605" s="3">
        <v>45863</v>
      </c>
      <c r="B605" s="2" t="s">
        <v>15</v>
      </c>
      <c r="C605" s="2">
        <v>15</v>
      </c>
      <c r="D605" s="2">
        <v>20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</row>
    <row r="606" spans="1:12" s="1" customFormat="1">
      <c r="A606" s="3">
        <v>45866</v>
      </c>
      <c r="B606" s="2" t="s">
        <v>12</v>
      </c>
      <c r="C606" s="2">
        <v>14</v>
      </c>
      <c r="D606" s="2">
        <v>19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</row>
    <row r="607" spans="1:12" s="1" customFormat="1">
      <c r="A607" s="3">
        <v>45867</v>
      </c>
      <c r="B607" s="2" t="s">
        <v>13</v>
      </c>
      <c r="C607" s="2">
        <v>13</v>
      </c>
      <c r="D607" s="2">
        <v>18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</row>
    <row r="608" spans="1:12" s="1" customFormat="1">
      <c r="A608" s="3">
        <v>45868</v>
      </c>
      <c r="B608" s="2" t="s">
        <v>14</v>
      </c>
      <c r="C608" s="2">
        <v>12</v>
      </c>
      <c r="D608" s="2">
        <v>17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1:12" s="1" customFormat="1">
      <c r="A609" s="3">
        <v>45869</v>
      </c>
      <c r="B609" s="2" t="s">
        <v>16</v>
      </c>
      <c r="C609" s="2">
        <v>11</v>
      </c>
      <c r="D609" s="2">
        <v>16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</row>
    <row r="610" spans="1:12" s="1" customFormat="1">
      <c r="A610" s="3">
        <v>45870</v>
      </c>
      <c r="B610" s="2" t="s">
        <v>15</v>
      </c>
      <c r="C610" s="2">
        <v>10</v>
      </c>
      <c r="D610" s="2">
        <v>15</v>
      </c>
      <c r="E610" s="1">
        <v>-46471.12573099413</v>
      </c>
      <c r="F610" s="1">
        <v>35398.39181286548</v>
      </c>
      <c r="G610" s="1">
        <v>35398.39181286548</v>
      </c>
      <c r="H610" s="1">
        <v>35398.39181286548</v>
      </c>
      <c r="I610" s="1">
        <v>0</v>
      </c>
      <c r="J610" s="1">
        <v>0</v>
      </c>
      <c r="K610" s="1">
        <v>0</v>
      </c>
      <c r="L610" s="1">
        <v>0</v>
      </c>
    </row>
    <row r="611" spans="1:12" s="1" customFormat="1">
      <c r="A611" s="3">
        <v>45873</v>
      </c>
      <c r="B611" s="2" t="s">
        <v>12</v>
      </c>
      <c r="C611" s="2">
        <v>9</v>
      </c>
      <c r="D611" s="2">
        <v>14</v>
      </c>
      <c r="E611" s="1">
        <v>131522.1507004922</v>
      </c>
      <c r="F611" s="1">
        <v>131522.1507004922</v>
      </c>
      <c r="G611" s="1">
        <v>131522.1507004922</v>
      </c>
      <c r="H611" s="1">
        <v>131522.1507004922</v>
      </c>
      <c r="I611" s="1">
        <v>0</v>
      </c>
      <c r="J611" s="1">
        <v>0</v>
      </c>
      <c r="K611" s="1">
        <v>0</v>
      </c>
      <c r="L611" s="1">
        <v>0</v>
      </c>
    </row>
    <row r="612" spans="1:12" s="1" customFormat="1">
      <c r="A612" s="3">
        <v>45874</v>
      </c>
      <c r="B612" s="2" t="s">
        <v>13</v>
      </c>
      <c r="C612" s="2">
        <v>8</v>
      </c>
      <c r="D612" s="2">
        <v>13</v>
      </c>
      <c r="E612" s="1">
        <v>110711.6906956289</v>
      </c>
      <c r="F612" s="1">
        <v>110711.6906956289</v>
      </c>
      <c r="G612" s="1">
        <v>110711.6906956289</v>
      </c>
      <c r="H612" s="1">
        <v>110711.6906956289</v>
      </c>
      <c r="I612" s="1">
        <v>0</v>
      </c>
      <c r="J612" s="1">
        <v>0</v>
      </c>
      <c r="K612" s="1">
        <v>0</v>
      </c>
      <c r="L612" s="1">
        <v>0</v>
      </c>
    </row>
    <row r="613" spans="1:12" s="1" customFormat="1">
      <c r="A613" s="3">
        <v>45875</v>
      </c>
      <c r="B613" s="2" t="s">
        <v>14</v>
      </c>
      <c r="C613" s="2">
        <v>7</v>
      </c>
      <c r="D613" s="2">
        <v>12</v>
      </c>
      <c r="E613" s="1">
        <v>3137.538580246949</v>
      </c>
      <c r="F613" s="1">
        <v>53578.31790123456</v>
      </c>
      <c r="G613" s="1">
        <v>53578.31790123456</v>
      </c>
      <c r="H613" s="1">
        <v>53578.31790123456</v>
      </c>
      <c r="I613" s="1">
        <v>0</v>
      </c>
      <c r="J613" s="1">
        <v>0</v>
      </c>
      <c r="K613" s="1">
        <v>0</v>
      </c>
      <c r="L613" s="1">
        <v>0</v>
      </c>
    </row>
    <row r="614" spans="1:12" s="1" customFormat="1">
      <c r="A614" s="3">
        <v>45876</v>
      </c>
      <c r="B614" s="2" t="s">
        <v>16</v>
      </c>
      <c r="C614" s="2">
        <v>6</v>
      </c>
      <c r="D614" s="2">
        <v>11</v>
      </c>
      <c r="E614" s="1">
        <v>100091.4432468189</v>
      </c>
      <c r="F614" s="1">
        <v>100091.4432468189</v>
      </c>
      <c r="G614" s="1">
        <v>100091.4432468189</v>
      </c>
      <c r="H614" s="1">
        <v>100091.4432468189</v>
      </c>
      <c r="I614" s="1">
        <v>0</v>
      </c>
      <c r="J614" s="1">
        <v>0</v>
      </c>
      <c r="K614" s="1">
        <v>0</v>
      </c>
      <c r="L614" s="1">
        <v>0</v>
      </c>
    </row>
    <row r="615" spans="1:12" s="1" customFormat="1">
      <c r="A615" s="3">
        <v>45877</v>
      </c>
      <c r="B615" s="2" t="s">
        <v>15</v>
      </c>
      <c r="C615" s="2">
        <v>5</v>
      </c>
      <c r="D615" s="2">
        <v>10</v>
      </c>
      <c r="E615" s="1">
        <v>-264691.3359551901</v>
      </c>
      <c r="F615" s="1">
        <v>-48489.45298534144</v>
      </c>
      <c r="G615" s="1">
        <v>111895.6818813808</v>
      </c>
      <c r="H615" s="1">
        <v>111895.6818813808</v>
      </c>
      <c r="I615" s="1">
        <v>0</v>
      </c>
      <c r="J615" s="1">
        <v>0</v>
      </c>
      <c r="K615" s="1">
        <v>0</v>
      </c>
      <c r="L615" s="1">
        <v>0</v>
      </c>
    </row>
    <row r="616" spans="1:12" s="1" customFormat="1">
      <c r="A616" s="3">
        <v>45880</v>
      </c>
      <c r="B616" s="2" t="s">
        <v>12</v>
      </c>
      <c r="C616" s="2">
        <v>4</v>
      </c>
      <c r="D616" s="2">
        <v>9</v>
      </c>
      <c r="E616" s="1">
        <v>98821.91125463463</v>
      </c>
      <c r="F616" s="1">
        <v>98821.91125463463</v>
      </c>
      <c r="G616" s="1">
        <v>98821.91125463463</v>
      </c>
      <c r="H616" s="1">
        <v>98821.91125463463</v>
      </c>
      <c r="I616" s="1">
        <v>0</v>
      </c>
      <c r="J616" s="1">
        <v>0</v>
      </c>
      <c r="K616" s="1">
        <v>0</v>
      </c>
      <c r="L616" s="1">
        <v>0</v>
      </c>
    </row>
    <row r="617" spans="1:12" s="1" customFormat="1">
      <c r="A617" s="3">
        <v>45881</v>
      </c>
      <c r="B617" s="2" t="s">
        <v>13</v>
      </c>
      <c r="C617" s="2">
        <v>3</v>
      </c>
      <c r="D617" s="2">
        <v>8</v>
      </c>
      <c r="E617" s="1">
        <v>86664.23127048695</v>
      </c>
      <c r="F617" s="1">
        <v>119051.3802772402</v>
      </c>
      <c r="G617" s="1">
        <v>119051.3802772402</v>
      </c>
      <c r="H617" s="1">
        <v>119051.3802772402</v>
      </c>
      <c r="I617" s="1">
        <v>0</v>
      </c>
      <c r="J617" s="1">
        <v>0</v>
      </c>
      <c r="K617" s="1">
        <v>0</v>
      </c>
      <c r="L617" s="1">
        <v>0</v>
      </c>
    </row>
    <row r="618" spans="1:12" s="1" customFormat="1">
      <c r="A618" s="3">
        <v>45882</v>
      </c>
      <c r="B618" s="2" t="s">
        <v>14</v>
      </c>
      <c r="C618" s="2">
        <v>2</v>
      </c>
      <c r="D618" s="2">
        <v>7</v>
      </c>
      <c r="E618" s="1">
        <v>-99653.96188565696</v>
      </c>
      <c r="F618" s="1">
        <v>153209.62888666</v>
      </c>
      <c r="G618" s="1">
        <v>153209.62888666</v>
      </c>
      <c r="H618" s="1">
        <v>153209.62888666</v>
      </c>
      <c r="I618" s="1">
        <v>0</v>
      </c>
      <c r="J618" s="1">
        <v>0</v>
      </c>
      <c r="K618" s="1">
        <v>0</v>
      </c>
      <c r="L618" s="1">
        <v>0</v>
      </c>
    </row>
    <row r="619" spans="1:12" s="1" customFormat="1">
      <c r="A619" s="3">
        <v>45883</v>
      </c>
      <c r="B619" s="2" t="s">
        <v>16</v>
      </c>
      <c r="C619" s="2">
        <v>1</v>
      </c>
      <c r="D619" s="2">
        <v>6</v>
      </c>
      <c r="E619" s="1">
        <v>110782.2154020111</v>
      </c>
      <c r="F619" s="1">
        <v>-49436.65953236684</v>
      </c>
      <c r="G619" s="1">
        <v>-149981.8277268506</v>
      </c>
      <c r="H619" s="1">
        <v>-148164.6004119048</v>
      </c>
      <c r="I619" s="1">
        <v>72906.15539858727</v>
      </c>
      <c r="J619" s="1">
        <v>72906.15539858727</v>
      </c>
      <c r="K619" s="1">
        <v>72906.15539858727</v>
      </c>
      <c r="L619" s="1">
        <v>72906.15539858727</v>
      </c>
    </row>
    <row r="620" spans="1:12" s="1" customFormat="1">
      <c r="A620" s="3">
        <v>45887</v>
      </c>
      <c r="B620" s="2" t="s">
        <v>12</v>
      </c>
      <c r="C620" s="2">
        <v>23</v>
      </c>
      <c r="D620" s="2">
        <v>5</v>
      </c>
      <c r="E620" s="1">
        <v>0</v>
      </c>
      <c r="F620" s="1">
        <v>0</v>
      </c>
      <c r="G620" s="1">
        <v>0</v>
      </c>
      <c r="H620" s="1">
        <v>0</v>
      </c>
      <c r="I620" s="1">
        <v>-27222.77722277723</v>
      </c>
      <c r="J620" s="1">
        <v>-27222.77722277723</v>
      </c>
      <c r="K620" s="1">
        <v>-27222.77722277723</v>
      </c>
      <c r="L620" s="1">
        <v>-27222.77722277723</v>
      </c>
    </row>
    <row r="621" spans="1:12" s="1" customFormat="1">
      <c r="A621" s="3">
        <v>45888</v>
      </c>
      <c r="B621" s="2" t="s">
        <v>13</v>
      </c>
      <c r="C621" s="2">
        <v>22</v>
      </c>
      <c r="D621" s="2">
        <v>4</v>
      </c>
      <c r="E621" s="1">
        <v>0</v>
      </c>
      <c r="F621" s="1">
        <v>0</v>
      </c>
      <c r="G621" s="1">
        <v>0</v>
      </c>
      <c r="H621" s="1">
        <v>0</v>
      </c>
      <c r="I621" s="1">
        <v>-86135.83910319816</v>
      </c>
      <c r="J621" s="1">
        <v>-117379.6571051764</v>
      </c>
      <c r="K621" s="1">
        <v>-117787.6689746126</v>
      </c>
      <c r="L621" s="1">
        <v>-117787.6689746126</v>
      </c>
    </row>
    <row r="622" spans="1:12" s="1" customFormat="1">
      <c r="A622" s="3">
        <v>45889</v>
      </c>
      <c r="B622" s="2" t="s">
        <v>14</v>
      </c>
      <c r="C622" s="2">
        <v>21</v>
      </c>
      <c r="D622" s="2">
        <v>3</v>
      </c>
      <c r="E622" s="1">
        <v>0</v>
      </c>
      <c r="F622" s="1">
        <v>0</v>
      </c>
      <c r="G622" s="1">
        <v>0</v>
      </c>
      <c r="H622" s="1">
        <v>0</v>
      </c>
      <c r="I622" s="1">
        <v>70377.42382271469</v>
      </c>
      <c r="J622" s="1">
        <v>70377.42382271469</v>
      </c>
      <c r="K622" s="1">
        <v>70377.42382271469</v>
      </c>
      <c r="L622" s="1">
        <v>70377.42382271469</v>
      </c>
    </row>
    <row r="623" spans="1:12" s="1" customFormat="1">
      <c r="A623" s="3">
        <v>45890</v>
      </c>
      <c r="B623" s="2" t="s">
        <v>16</v>
      </c>
      <c r="C623" s="2">
        <v>20</v>
      </c>
      <c r="D623" s="2">
        <v>2</v>
      </c>
      <c r="E623" s="1">
        <v>0</v>
      </c>
      <c r="F623" s="1">
        <v>0</v>
      </c>
      <c r="G623" s="1">
        <v>0</v>
      </c>
      <c r="H623" s="1">
        <v>0</v>
      </c>
      <c r="I623" s="1">
        <v>76491.501907735</v>
      </c>
      <c r="J623" s="1">
        <v>80818.59174471039</v>
      </c>
      <c r="K623" s="1">
        <v>80818.59174471039</v>
      </c>
      <c r="L623" s="1">
        <v>80818.59174471039</v>
      </c>
    </row>
    <row r="624" spans="1:12" s="1" customFormat="1">
      <c r="A624" s="3">
        <v>45891</v>
      </c>
      <c r="B624" s="2" t="s">
        <v>15</v>
      </c>
      <c r="C624" s="2">
        <v>19</v>
      </c>
      <c r="D624" s="2">
        <v>1</v>
      </c>
      <c r="E624" s="1">
        <v>0</v>
      </c>
      <c r="F624" s="1">
        <v>0</v>
      </c>
      <c r="G624" s="1">
        <v>0</v>
      </c>
      <c r="H624" s="1">
        <v>0</v>
      </c>
      <c r="I624" s="1">
        <v>29632.45257452576</v>
      </c>
      <c r="J624" s="1">
        <v>-9324.186991869916</v>
      </c>
      <c r="K624" s="1">
        <v>-75372.62872628726</v>
      </c>
      <c r="L624" s="1">
        <v>-121091.6327913279</v>
      </c>
    </row>
    <row r="625" spans="1:12" s="1" customFormat="1">
      <c r="A625" s="3">
        <v>45894</v>
      </c>
      <c r="B625" s="2" t="s">
        <v>12</v>
      </c>
      <c r="C625" s="2">
        <v>18</v>
      </c>
      <c r="D625" s="2">
        <v>22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</row>
    <row r="626" spans="1:12" s="1" customFormat="1">
      <c r="A626" s="3">
        <v>45895</v>
      </c>
      <c r="B626" s="2" t="s">
        <v>13</v>
      </c>
      <c r="C626" s="2">
        <v>17</v>
      </c>
      <c r="D626" s="2">
        <v>21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 s="1" customFormat="1">
      <c r="A627" s="3">
        <v>45896</v>
      </c>
      <c r="B627" s="2" t="s">
        <v>14</v>
      </c>
      <c r="C627" s="2">
        <v>16</v>
      </c>
      <c r="D627" s="2">
        <v>20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</row>
    <row r="628" spans="1:12" s="1" customFormat="1">
      <c r="A628" s="3">
        <v>45897</v>
      </c>
      <c r="B628" s="2" t="s">
        <v>16</v>
      </c>
      <c r="C628" s="2">
        <v>15</v>
      </c>
      <c r="D628" s="2">
        <v>19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</row>
    <row r="629" spans="1:12" s="1" customFormat="1">
      <c r="A629" s="3">
        <v>45898</v>
      </c>
      <c r="B629" s="2" t="s">
        <v>15</v>
      </c>
      <c r="C629" s="2">
        <v>14</v>
      </c>
      <c r="D629" s="2">
        <v>18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1:12" s="1" customFormat="1">
      <c r="A630" s="3">
        <v>45901</v>
      </c>
      <c r="B630" s="2" t="s">
        <v>12</v>
      </c>
      <c r="C630" s="2">
        <v>13</v>
      </c>
      <c r="D630" s="2">
        <v>17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</row>
    <row r="631" spans="1:12" s="1" customFormat="1">
      <c r="A631" s="3">
        <v>45902</v>
      </c>
      <c r="B631" s="2" t="s">
        <v>13</v>
      </c>
      <c r="C631" s="2">
        <v>12</v>
      </c>
      <c r="D631" s="2">
        <v>16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</row>
    <row r="632" spans="1:12" s="1" customFormat="1">
      <c r="A632" s="3">
        <v>45903</v>
      </c>
      <c r="B632" s="2" t="s">
        <v>14</v>
      </c>
      <c r="C632" s="2">
        <v>11</v>
      </c>
      <c r="D632" s="2">
        <v>15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</row>
    <row r="633" spans="1:12" s="1" customFormat="1">
      <c r="A633" s="3">
        <v>45904</v>
      </c>
      <c r="B633" s="2" t="s">
        <v>16</v>
      </c>
      <c r="C633" s="2">
        <v>10</v>
      </c>
      <c r="D633" s="2">
        <v>14</v>
      </c>
      <c r="E633" s="1">
        <v>11437.90849673203</v>
      </c>
      <c r="F633" s="1">
        <v>11437.90849673203</v>
      </c>
      <c r="G633" s="1">
        <v>11437.90849673203</v>
      </c>
      <c r="H633" s="1">
        <v>11437.90849673203</v>
      </c>
      <c r="I633" s="1">
        <v>0</v>
      </c>
      <c r="J633" s="1">
        <v>0</v>
      </c>
      <c r="K633" s="1">
        <v>0</v>
      </c>
      <c r="L633" s="1">
        <v>0</v>
      </c>
    </row>
    <row r="634" spans="1:12" s="1" customFormat="1">
      <c r="A634" s="3">
        <v>45905</v>
      </c>
      <c r="B634" s="2" t="s">
        <v>15</v>
      </c>
      <c r="C634" s="2">
        <v>9</v>
      </c>
      <c r="D634" s="2">
        <v>13</v>
      </c>
      <c r="E634" s="1">
        <v>-1626.484489812128</v>
      </c>
      <c r="F634" s="1">
        <v>-32897.08861262264</v>
      </c>
      <c r="G634" s="1">
        <v>-32897.08861262264</v>
      </c>
      <c r="H634" s="1">
        <v>-32897.08861262264</v>
      </c>
      <c r="I634" s="1">
        <v>0</v>
      </c>
      <c r="J634" s="1">
        <v>0</v>
      </c>
      <c r="K634" s="1">
        <v>0</v>
      </c>
      <c r="L634" s="1">
        <v>0</v>
      </c>
    </row>
    <row r="635" spans="1:12" s="1" customFormat="1">
      <c r="A635" s="3">
        <v>45908</v>
      </c>
      <c r="B635" s="2" t="s">
        <v>12</v>
      </c>
      <c r="C635" s="2">
        <v>8</v>
      </c>
      <c r="D635" s="2">
        <v>12</v>
      </c>
      <c r="E635" s="1">
        <v>-17969.25241157556</v>
      </c>
      <c r="F635" s="1">
        <v>50462.21864951769</v>
      </c>
      <c r="G635" s="1">
        <v>50462.21864951769</v>
      </c>
      <c r="H635" s="1">
        <v>50462.21864951769</v>
      </c>
      <c r="I635" s="1">
        <v>0</v>
      </c>
      <c r="J635" s="1">
        <v>0</v>
      </c>
      <c r="K635" s="1">
        <v>0</v>
      </c>
      <c r="L635" s="1">
        <v>0</v>
      </c>
    </row>
    <row r="636" spans="1:12" s="1" customFormat="1">
      <c r="A636" s="3">
        <v>45909</v>
      </c>
      <c r="B636" s="2" t="s">
        <v>13</v>
      </c>
      <c r="C636" s="2">
        <v>7</v>
      </c>
      <c r="D636" s="2">
        <v>11</v>
      </c>
      <c r="E636" s="1">
        <v>20526.02927537401</v>
      </c>
      <c r="F636" s="1">
        <v>61655.7119238679</v>
      </c>
      <c r="G636" s="1">
        <v>61655.7119238679</v>
      </c>
      <c r="H636" s="1">
        <v>61655.7119238679</v>
      </c>
      <c r="I636" s="1">
        <v>0</v>
      </c>
      <c r="J636" s="1">
        <v>0</v>
      </c>
      <c r="K636" s="1">
        <v>0</v>
      </c>
      <c r="L636" s="1">
        <v>0</v>
      </c>
    </row>
    <row r="637" spans="1:12" s="1" customFormat="1">
      <c r="A637" s="3">
        <v>45910</v>
      </c>
      <c r="B637" s="2" t="s">
        <v>14</v>
      </c>
      <c r="C637" s="2">
        <v>6</v>
      </c>
      <c r="D637" s="2">
        <v>10</v>
      </c>
      <c r="E637" s="1">
        <v>76772.83054968707</v>
      </c>
      <c r="F637" s="1">
        <v>76772.83054968707</v>
      </c>
      <c r="G637" s="1">
        <v>76772.83054968707</v>
      </c>
      <c r="H637" s="1">
        <v>76772.83054968707</v>
      </c>
      <c r="I637" s="1">
        <v>0</v>
      </c>
      <c r="J637" s="1">
        <v>0</v>
      </c>
      <c r="K637" s="1">
        <v>0</v>
      </c>
      <c r="L637" s="1">
        <v>0</v>
      </c>
    </row>
    <row r="638" spans="1:12" s="1" customFormat="1">
      <c r="A638" s="3">
        <v>45911</v>
      </c>
      <c r="B638" s="2" t="s">
        <v>16</v>
      </c>
      <c r="C638" s="2">
        <v>5</v>
      </c>
      <c r="D638" s="2">
        <v>9</v>
      </c>
      <c r="E638" s="1">
        <v>-12954.64439783117</v>
      </c>
      <c r="F638" s="1">
        <v>33452.72489808842</v>
      </c>
      <c r="G638" s="1">
        <v>33452.72489808842</v>
      </c>
      <c r="H638" s="1">
        <v>33452.72489808842</v>
      </c>
      <c r="I638" s="1">
        <v>0</v>
      </c>
      <c r="J638" s="1">
        <v>0</v>
      </c>
      <c r="K638" s="1">
        <v>0</v>
      </c>
      <c r="L638" s="1">
        <v>0</v>
      </c>
    </row>
    <row r="639" spans="1:12" s="1" customFormat="1">
      <c r="A639" s="3">
        <v>45912</v>
      </c>
      <c r="B639" s="2" t="s">
        <v>15</v>
      </c>
      <c r="C639" s="2">
        <v>4</v>
      </c>
      <c r="D639" s="2">
        <v>8</v>
      </c>
      <c r="E639" s="1">
        <v>-139990.0539926116</v>
      </c>
      <c r="F639" s="1">
        <v>138300.247635286</v>
      </c>
      <c r="G639" s="1">
        <v>138300.247635286</v>
      </c>
      <c r="H639" s="1">
        <v>138300.247635286</v>
      </c>
      <c r="I639" s="1">
        <v>0</v>
      </c>
      <c r="J639" s="1">
        <v>0</v>
      </c>
      <c r="K639" s="1">
        <v>0</v>
      </c>
      <c r="L639" s="1">
        <v>0</v>
      </c>
    </row>
    <row r="640" spans="1:12" s="1" customFormat="1">
      <c r="A640" s="3">
        <v>45915</v>
      </c>
      <c r="B640" s="2" t="s">
        <v>12</v>
      </c>
      <c r="C640" s="2">
        <v>3</v>
      </c>
      <c r="D640" s="2">
        <v>7</v>
      </c>
      <c r="E640" s="1">
        <v>23784.355179704</v>
      </c>
      <c r="F640" s="1">
        <v>-87106.58582312819</v>
      </c>
      <c r="G640" s="1">
        <v>146445.8095655989</v>
      </c>
      <c r="H640" s="1">
        <v>146445.8095655989</v>
      </c>
      <c r="I640" s="1">
        <v>0</v>
      </c>
      <c r="J640" s="1">
        <v>0</v>
      </c>
      <c r="K640" s="1">
        <v>0</v>
      </c>
      <c r="L640" s="1">
        <v>0</v>
      </c>
    </row>
    <row r="641" spans="1:12" s="1" customFormat="1">
      <c r="A641" s="3">
        <v>45916</v>
      </c>
      <c r="B641" s="2" t="s">
        <v>13</v>
      </c>
      <c r="C641" s="2">
        <v>2</v>
      </c>
      <c r="D641" s="2">
        <v>6</v>
      </c>
      <c r="E641" s="1">
        <v>76086.65394098464</v>
      </c>
      <c r="F641" s="1">
        <v>-55046.52827487473</v>
      </c>
      <c r="G641" s="1">
        <v>-126531.0586176728</v>
      </c>
      <c r="H641" s="1">
        <v>-126133.3810546409</v>
      </c>
      <c r="I641" s="1">
        <v>16431.9248826291</v>
      </c>
      <c r="J641" s="1">
        <v>16431.9248826291</v>
      </c>
      <c r="K641" s="1">
        <v>16431.9248826291</v>
      </c>
      <c r="L641" s="1">
        <v>16431.9248826291</v>
      </c>
    </row>
    <row r="642" spans="1:12" s="1" customFormat="1">
      <c r="A642" s="3">
        <v>45917</v>
      </c>
      <c r="B642" s="2" t="s">
        <v>14</v>
      </c>
      <c r="C642" s="2">
        <v>1</v>
      </c>
      <c r="D642" s="2">
        <v>5</v>
      </c>
      <c r="E642" s="1">
        <v>206141.556096412</v>
      </c>
      <c r="F642" s="1">
        <v>243147.9155217084</v>
      </c>
      <c r="G642" s="1">
        <v>243147.9155217084</v>
      </c>
      <c r="H642" s="1">
        <v>243147.9155217084</v>
      </c>
      <c r="I642" s="1">
        <v>40563.16590563166</v>
      </c>
      <c r="J642" s="1">
        <v>40563.16590563166</v>
      </c>
      <c r="K642" s="1">
        <v>40563.16590563166</v>
      </c>
      <c r="L642" s="1">
        <v>40563.16590563166</v>
      </c>
    </row>
    <row r="643" spans="1:12" s="1" customFormat="1">
      <c r="A643" s="3">
        <v>45918</v>
      </c>
      <c r="B643" s="2" t="s">
        <v>16</v>
      </c>
      <c r="C643" s="2">
        <v>20</v>
      </c>
      <c r="D643" s="2">
        <v>4</v>
      </c>
      <c r="E643" s="1">
        <v>0</v>
      </c>
      <c r="F643" s="1">
        <v>0</v>
      </c>
      <c r="G643" s="1">
        <v>0</v>
      </c>
      <c r="H643" s="1">
        <v>0</v>
      </c>
      <c r="I643" s="1">
        <v>-3612.050415001522</v>
      </c>
      <c r="J643" s="1">
        <v>-68167.84506609284</v>
      </c>
      <c r="K643" s="1">
        <v>-103604.3652013526</v>
      </c>
      <c r="L643" s="1">
        <v>-103604.3652013526</v>
      </c>
    </row>
    <row r="644" spans="1:12" s="1" customFormat="1">
      <c r="A644" s="3">
        <v>45919</v>
      </c>
      <c r="B644" s="2" t="s">
        <v>15</v>
      </c>
      <c r="C644" s="2">
        <v>19</v>
      </c>
      <c r="D644" s="2">
        <v>3</v>
      </c>
      <c r="E644" s="1">
        <v>0</v>
      </c>
      <c r="F644" s="1">
        <v>0</v>
      </c>
      <c r="G644" s="1">
        <v>0</v>
      </c>
      <c r="H644" s="1">
        <v>0</v>
      </c>
      <c r="I644" s="1">
        <v>20302.93264582662</v>
      </c>
      <c r="J644" s="1">
        <v>20302.93264582662</v>
      </c>
      <c r="K644" s="1">
        <v>20302.93264582662</v>
      </c>
      <c r="L644" s="1">
        <v>20302.93264582662</v>
      </c>
    </row>
    <row r="645" spans="1:12" s="1" customFormat="1">
      <c r="A645" s="3">
        <v>45922</v>
      </c>
      <c r="B645" s="2" t="s">
        <v>12</v>
      </c>
      <c r="C645" s="2">
        <v>18</v>
      </c>
      <c r="D645" s="2">
        <v>2</v>
      </c>
      <c r="E645" s="1">
        <v>0</v>
      </c>
      <c r="F645" s="1">
        <v>0</v>
      </c>
      <c r="G645" s="1">
        <v>0</v>
      </c>
      <c r="H645" s="1">
        <v>0</v>
      </c>
      <c r="I645" s="1">
        <v>-89784.51069345433</v>
      </c>
      <c r="J645" s="1">
        <v>-47257.77705767985</v>
      </c>
      <c r="K645" s="1">
        <v>2187.297472456249</v>
      </c>
      <c r="L645" s="1">
        <v>2187.297472456249</v>
      </c>
    </row>
    <row r="646" spans="1:12" s="1" customFormat="1">
      <c r="A646" s="3">
        <v>45923</v>
      </c>
      <c r="B646" s="2" t="s">
        <v>13</v>
      </c>
      <c r="C646" s="2">
        <v>17</v>
      </c>
      <c r="D646" s="2">
        <v>1</v>
      </c>
      <c r="E646" s="1">
        <v>0</v>
      </c>
      <c r="F646" s="1">
        <v>0</v>
      </c>
      <c r="G646" s="1">
        <v>0</v>
      </c>
      <c r="H646" s="1">
        <v>0</v>
      </c>
      <c r="I646" s="1">
        <v>-437.2687521022652</v>
      </c>
      <c r="J646" s="1">
        <v>86226.03430877898</v>
      </c>
      <c r="K646" s="1">
        <v>111877.7329297006</v>
      </c>
      <c r="L646" s="1">
        <v>111877.7329297006</v>
      </c>
    </row>
    <row r="647" spans="1:12" s="1" customFormat="1">
      <c r="A647" s="3">
        <v>45924</v>
      </c>
      <c r="B647" s="2" t="s">
        <v>14</v>
      </c>
      <c r="C647" s="2">
        <v>16</v>
      </c>
      <c r="D647" s="2">
        <v>21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</row>
    <row r="648" spans="1:12" s="1" customFormat="1">
      <c r="A648" s="3">
        <v>45925</v>
      </c>
      <c r="B648" s="2" t="s">
        <v>16</v>
      </c>
      <c r="C648" s="2">
        <v>15</v>
      </c>
      <c r="D648" s="2">
        <v>20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</row>
    <row r="649" spans="1:12" s="1" customFormat="1">
      <c r="A649" s="3">
        <v>45926</v>
      </c>
      <c r="B649" s="2" t="s">
        <v>15</v>
      </c>
      <c r="C649" s="2">
        <v>14</v>
      </c>
      <c r="D649" s="2">
        <v>19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</row>
    <row r="650" spans="1:12" s="1" customFormat="1">
      <c r="A650" s="3">
        <v>45929</v>
      </c>
      <c r="B650" s="2" t="s">
        <v>12</v>
      </c>
      <c r="C650" s="2">
        <v>13</v>
      </c>
      <c r="D650" s="2">
        <v>18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</row>
    <row r="651" spans="1:12" s="1" customFormat="1">
      <c r="A651" s="3">
        <v>45930</v>
      </c>
      <c r="B651" s="2" t="s">
        <v>13</v>
      </c>
      <c r="C651" s="2">
        <v>12</v>
      </c>
      <c r="D651" s="2">
        <v>17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</row>
    <row r="652" spans="1:12" s="1" customFormat="1">
      <c r="A652" s="3">
        <v>45931</v>
      </c>
      <c r="B652" s="2" t="s">
        <v>14</v>
      </c>
      <c r="C652" s="2">
        <v>11</v>
      </c>
      <c r="D652" s="2">
        <v>16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</row>
    <row r="653" spans="1:12" s="1" customFormat="1">
      <c r="A653" s="3">
        <v>45933</v>
      </c>
      <c r="B653" s="2" t="s">
        <v>15</v>
      </c>
      <c r="C653" s="2">
        <v>10</v>
      </c>
      <c r="D653" s="2">
        <v>15</v>
      </c>
      <c r="E653" s="1">
        <v>77841.42235361748</v>
      </c>
      <c r="F653" s="1">
        <v>77841.42235361748</v>
      </c>
      <c r="G653" s="1">
        <v>77841.42235361748</v>
      </c>
      <c r="H653" s="1">
        <v>77841.42235361748</v>
      </c>
      <c r="I653" s="1">
        <v>0</v>
      </c>
      <c r="J653" s="1">
        <v>0</v>
      </c>
      <c r="K653" s="1">
        <v>0</v>
      </c>
      <c r="L653" s="1">
        <v>0</v>
      </c>
    </row>
    <row r="654" spans="1:12" s="1" customFormat="1">
      <c r="A654" s="3">
        <v>45936</v>
      </c>
      <c r="B654" s="2" t="s">
        <v>12</v>
      </c>
      <c r="C654" s="2">
        <v>9</v>
      </c>
      <c r="D654" s="2">
        <v>14</v>
      </c>
      <c r="E654" s="1">
        <v>-7806.112123052001</v>
      </c>
      <c r="F654" s="1">
        <v>33586.31855899616</v>
      </c>
      <c r="G654" s="1">
        <v>33586.31855899616</v>
      </c>
      <c r="H654" s="1">
        <v>33586.31855899616</v>
      </c>
      <c r="I654" s="1">
        <v>0</v>
      </c>
      <c r="J654" s="1">
        <v>0</v>
      </c>
      <c r="K654" s="1">
        <v>0</v>
      </c>
      <c r="L654" s="1">
        <v>0</v>
      </c>
    </row>
    <row r="655" spans="1:12" s="1" customFormat="1">
      <c r="A655" s="3">
        <v>45937</v>
      </c>
      <c r="B655" s="2" t="s">
        <v>13</v>
      </c>
      <c r="C655" s="2">
        <v>8</v>
      </c>
      <c r="D655" s="2">
        <v>13</v>
      </c>
      <c r="E655" s="1">
        <v>-108320.8819609902</v>
      </c>
      <c r="F655" s="1">
        <v>29792.43225780398</v>
      </c>
      <c r="G655" s="1">
        <v>29792.43225780398</v>
      </c>
      <c r="H655" s="1">
        <v>29792.43225780398</v>
      </c>
      <c r="I655" s="1">
        <v>0</v>
      </c>
      <c r="J655" s="1">
        <v>0</v>
      </c>
      <c r="K655" s="1">
        <v>0</v>
      </c>
      <c r="L655" s="1">
        <v>0</v>
      </c>
    </row>
    <row r="656" spans="1:12" s="1" customFormat="1">
      <c r="A656" s="3">
        <v>45938</v>
      </c>
      <c r="B656" s="2" t="s">
        <v>14</v>
      </c>
      <c r="C656" s="2">
        <v>7</v>
      </c>
      <c r="D656" s="2">
        <v>12</v>
      </c>
      <c r="E656" s="1">
        <v>46288.85854285485</v>
      </c>
      <c r="F656" s="1">
        <v>46288.85854285485</v>
      </c>
      <c r="G656" s="1">
        <v>46288.85854285485</v>
      </c>
      <c r="H656" s="1">
        <v>46288.85854285485</v>
      </c>
      <c r="I656" s="1">
        <v>0</v>
      </c>
      <c r="J656" s="1">
        <v>0</v>
      </c>
      <c r="K656" s="1">
        <v>0</v>
      </c>
      <c r="L656" s="1">
        <v>0</v>
      </c>
    </row>
    <row r="657" spans="1:12" s="1" customFormat="1">
      <c r="A657" s="3">
        <v>45939</v>
      </c>
      <c r="B657" s="2" t="s">
        <v>16</v>
      </c>
      <c r="C657" s="2">
        <v>6</v>
      </c>
      <c r="D657" s="2">
        <v>11</v>
      </c>
      <c r="E657" s="1">
        <v>-58011.62182812561</v>
      </c>
      <c r="F657" s="1">
        <v>-68564.76454739211</v>
      </c>
      <c r="G657" s="1">
        <v>-68564.76454739211</v>
      </c>
      <c r="H657" s="1">
        <v>-68564.76454739211</v>
      </c>
      <c r="I657" s="1">
        <v>0</v>
      </c>
      <c r="J657" s="1">
        <v>0</v>
      </c>
      <c r="K657" s="1">
        <v>0</v>
      </c>
      <c r="L657" s="1">
        <v>0</v>
      </c>
    </row>
    <row r="658" spans="1:12" s="1" customFormat="1">
      <c r="A658" s="3">
        <v>45940</v>
      </c>
      <c r="B658" s="2" t="s">
        <v>15</v>
      </c>
      <c r="C658" s="2">
        <v>5</v>
      </c>
      <c r="D658" s="2">
        <v>10</v>
      </c>
      <c r="E658" s="1">
        <v>85112.4736072763</v>
      </c>
      <c r="F658" s="1">
        <v>-165110.8494396622</v>
      </c>
      <c r="G658" s="1">
        <v>-325184.7490661037</v>
      </c>
      <c r="H658" s="1">
        <v>-325184.7490661037</v>
      </c>
      <c r="I658" s="1">
        <v>0</v>
      </c>
      <c r="J658" s="1">
        <v>0</v>
      </c>
      <c r="K658" s="1">
        <v>0</v>
      </c>
      <c r="L658" s="1">
        <v>0</v>
      </c>
    </row>
    <row r="659" spans="1:12" s="1" customFormat="1">
      <c r="A659" s="3">
        <v>45943</v>
      </c>
      <c r="B659" s="2" t="s">
        <v>12</v>
      </c>
      <c r="C659" s="2">
        <v>4</v>
      </c>
      <c r="D659" s="2">
        <v>9</v>
      </c>
      <c r="E659" s="1">
        <v>-99392.94984509754</v>
      </c>
      <c r="F659" s="1">
        <v>168027.2963242067</v>
      </c>
      <c r="G659" s="1">
        <v>168027.2963242067</v>
      </c>
      <c r="H659" s="1">
        <v>168027.2963242067</v>
      </c>
      <c r="I659" s="1">
        <v>0</v>
      </c>
      <c r="J659" s="1">
        <v>0</v>
      </c>
      <c r="K659" s="1">
        <v>0</v>
      </c>
      <c r="L659" s="1">
        <v>0</v>
      </c>
    </row>
    <row r="660" spans="1:12" s="1" customFormat="1">
      <c r="A660" s="3">
        <v>45944</v>
      </c>
      <c r="B660" s="2" t="s">
        <v>13</v>
      </c>
      <c r="C660" s="2">
        <v>3</v>
      </c>
      <c r="D660" s="2">
        <v>8</v>
      </c>
      <c r="E660" s="1">
        <v>250051.3153485254</v>
      </c>
      <c r="F660" s="1">
        <v>250051.3153485254</v>
      </c>
      <c r="G660" s="1">
        <v>250051.3153485254</v>
      </c>
      <c r="H660" s="1">
        <v>250051.3153485254</v>
      </c>
      <c r="I660" s="1">
        <v>0</v>
      </c>
      <c r="J660" s="1">
        <v>0</v>
      </c>
      <c r="K660" s="1">
        <v>0</v>
      </c>
      <c r="L660" s="1">
        <v>0</v>
      </c>
    </row>
    <row r="661" spans="1:12" s="1" customFormat="1">
      <c r="A661" s="3">
        <v>45945</v>
      </c>
      <c r="B661" s="2" t="s">
        <v>14</v>
      </c>
      <c r="C661" s="2">
        <v>2</v>
      </c>
      <c r="D661" s="2">
        <v>7</v>
      </c>
      <c r="E661" s="1">
        <v>-125646.791741626</v>
      </c>
      <c r="F661" s="1">
        <v>199027.6706930523</v>
      </c>
      <c r="G661" s="1">
        <v>199027.6706930523</v>
      </c>
      <c r="H661" s="1">
        <v>199027.6706930523</v>
      </c>
      <c r="I661" s="1">
        <v>0</v>
      </c>
      <c r="J661" s="1">
        <v>0</v>
      </c>
      <c r="K661" s="1">
        <v>0</v>
      </c>
      <c r="L661" s="1">
        <v>0</v>
      </c>
    </row>
    <row r="662" spans="1:12" s="1" customFormat="1">
      <c r="A662" s="3">
        <v>45946</v>
      </c>
      <c r="B662" s="2" t="s">
        <v>16</v>
      </c>
      <c r="C662" s="2">
        <v>1</v>
      </c>
      <c r="D662" s="2">
        <v>6</v>
      </c>
      <c r="E662" s="1">
        <v>139497.4614921263</v>
      </c>
      <c r="F662" s="1">
        <v>26555.37389209191</v>
      </c>
      <c r="G662" s="1">
        <v>-64538.33577144823</v>
      </c>
      <c r="H662" s="1">
        <v>-57223.9910506841</v>
      </c>
      <c r="I662" s="1">
        <v>-15854.42049359576</v>
      </c>
      <c r="J662" s="1">
        <v>-15854.42049359576</v>
      </c>
      <c r="K662" s="1">
        <v>-15854.42049359576</v>
      </c>
      <c r="L662" s="1">
        <v>-15854.42049359576</v>
      </c>
    </row>
    <row r="663" spans="1:12" s="1" customFormat="1">
      <c r="A663" s="3">
        <v>45947</v>
      </c>
      <c r="B663" s="2" t="s">
        <v>15</v>
      </c>
      <c r="C663" s="2">
        <v>21</v>
      </c>
      <c r="D663" s="2">
        <v>5</v>
      </c>
      <c r="E663" s="1">
        <v>0</v>
      </c>
      <c r="F663" s="1">
        <v>0</v>
      </c>
      <c r="G663" s="1">
        <v>0</v>
      </c>
      <c r="H663" s="1">
        <v>0</v>
      </c>
      <c r="I663" s="1">
        <v>18749.99999999999</v>
      </c>
      <c r="J663" s="1">
        <v>18749.99999999999</v>
      </c>
      <c r="K663" s="1">
        <v>18749.99999999999</v>
      </c>
      <c r="L663" s="1">
        <v>18749.99999999999</v>
      </c>
    </row>
    <row r="664" spans="1:12" s="1" customFormat="1">
      <c r="A664" s="3">
        <v>45950</v>
      </c>
      <c r="B664" s="2" t="s">
        <v>12</v>
      </c>
      <c r="C664" s="2">
        <v>20</v>
      </c>
      <c r="D664" s="2">
        <v>4</v>
      </c>
      <c r="E664" s="1">
        <v>0</v>
      </c>
      <c r="F664" s="1">
        <v>0</v>
      </c>
      <c r="G664" s="1">
        <v>0</v>
      </c>
      <c r="H664" s="1">
        <v>0</v>
      </c>
      <c r="I664" s="1">
        <v>-121165.1583710407</v>
      </c>
      <c r="J664" s="1">
        <v>-122692.3076923077</v>
      </c>
      <c r="K664" s="1">
        <v>-122692.3076923077</v>
      </c>
      <c r="L664" s="1">
        <v>-122692.3076923077</v>
      </c>
    </row>
    <row r="665" spans="1:12" s="1" customFormat="1">
      <c r="A665" s="3">
        <v>45952</v>
      </c>
      <c r="B665" s="2" t="s">
        <v>14</v>
      </c>
      <c r="C665" s="2">
        <v>19</v>
      </c>
      <c r="D665" s="2">
        <v>3</v>
      </c>
      <c r="E665" s="1">
        <v>0</v>
      </c>
      <c r="F665" s="1">
        <v>0</v>
      </c>
      <c r="G665" s="1">
        <v>0</v>
      </c>
      <c r="H665" s="1">
        <v>0</v>
      </c>
      <c r="I665" s="1">
        <v>64546.94323144104</v>
      </c>
      <c r="J665" s="1">
        <v>64546.94323144104</v>
      </c>
      <c r="K665" s="1">
        <v>64546.94323144104</v>
      </c>
      <c r="L665" s="1">
        <v>64546.94323144104</v>
      </c>
    </row>
    <row r="666" spans="1:12" s="1" customFormat="1">
      <c r="A666" s="3">
        <v>45953</v>
      </c>
      <c r="B666" s="2" t="s">
        <v>16</v>
      </c>
      <c r="C666" s="2">
        <v>18</v>
      </c>
      <c r="D666" s="2">
        <v>2</v>
      </c>
      <c r="E666" s="1">
        <v>0</v>
      </c>
      <c r="F666" s="1">
        <v>0</v>
      </c>
      <c r="G666" s="1">
        <v>0</v>
      </c>
      <c r="H666" s="1">
        <v>0</v>
      </c>
      <c r="I666" s="1">
        <v>-120973.9368998628</v>
      </c>
      <c r="J666" s="1">
        <v>-67812.07133058985</v>
      </c>
      <c r="K666" s="1">
        <v>2469.135802469129</v>
      </c>
      <c r="L666" s="1">
        <v>2469.135802469129</v>
      </c>
    </row>
    <row r="667" spans="1:12" s="1" customFormat="1">
      <c r="A667" s="3">
        <v>45954</v>
      </c>
      <c r="B667" s="2" t="s">
        <v>15</v>
      </c>
      <c r="C667" s="2">
        <v>17</v>
      </c>
      <c r="D667" s="2">
        <v>1</v>
      </c>
      <c r="E667" s="1">
        <v>0</v>
      </c>
      <c r="F667" s="1">
        <v>0</v>
      </c>
      <c r="G667" s="1">
        <v>0</v>
      </c>
      <c r="H667" s="1">
        <v>0</v>
      </c>
      <c r="I667" s="1">
        <v>29744.13646055437</v>
      </c>
      <c r="J667" s="1">
        <v>4868.514570007108</v>
      </c>
      <c r="K667" s="1">
        <v>98916.13361762615</v>
      </c>
      <c r="L667" s="1">
        <v>98916.13361762615</v>
      </c>
    </row>
    <row r="668" spans="1:12" s="1" customFormat="1">
      <c r="A668" s="3">
        <v>45957</v>
      </c>
      <c r="B668" s="2" t="s">
        <v>12</v>
      </c>
      <c r="C668" s="2">
        <v>16</v>
      </c>
      <c r="D668" s="2">
        <v>18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</row>
    <row r="669" spans="1:12" s="1" customFormat="1">
      <c r="A669" s="3">
        <v>45958</v>
      </c>
      <c r="B669" s="2" t="s">
        <v>13</v>
      </c>
      <c r="C669" s="2">
        <v>15</v>
      </c>
      <c r="D669" s="2">
        <v>17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</row>
    <row r="670" spans="1:12" s="1" customFormat="1">
      <c r="A670" s="3">
        <v>45959</v>
      </c>
      <c r="B670" s="2" t="s">
        <v>14</v>
      </c>
      <c r="C670" s="2">
        <v>14</v>
      </c>
      <c r="D670" s="2">
        <v>16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</row>
    <row r="671" spans="1:12" s="1" customFormat="1">
      <c r="A671" s="3">
        <v>45960</v>
      </c>
      <c r="B671" s="2" t="s">
        <v>16</v>
      </c>
      <c r="C671" s="2">
        <v>13</v>
      </c>
      <c r="D671" s="2">
        <v>15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</row>
    <row r="672" spans="1:12" s="1" customFormat="1">
      <c r="A672" s="3">
        <v>45961</v>
      </c>
      <c r="B672" s="2" t="s">
        <v>15</v>
      </c>
      <c r="C672" s="2">
        <v>12</v>
      </c>
      <c r="D672" s="2">
        <v>14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</row>
    <row r="673" spans="1:12" s="1" customFormat="1">
      <c r="A673" s="3">
        <v>45964</v>
      </c>
      <c r="B673" s="2" t="s">
        <v>12</v>
      </c>
      <c r="C673" s="2">
        <v>11</v>
      </c>
      <c r="D673" s="2">
        <v>13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</row>
    <row r="674" spans="1:12" s="1" customFormat="1">
      <c r="A674" s="3">
        <v>45965</v>
      </c>
      <c r="B674" s="2" t="s">
        <v>13</v>
      </c>
      <c r="C674" s="2">
        <v>10</v>
      </c>
      <c r="D674" s="2">
        <v>12</v>
      </c>
      <c r="E674" s="1">
        <v>66664.61133719736</v>
      </c>
      <c r="F674" s="1">
        <v>66664.61133719736</v>
      </c>
      <c r="G674" s="1">
        <v>66664.61133719736</v>
      </c>
      <c r="H674" s="1">
        <v>66664.61133719736</v>
      </c>
      <c r="I674" s="1">
        <v>0</v>
      </c>
      <c r="J674" s="1">
        <v>0</v>
      </c>
      <c r="K674" s="1">
        <v>0</v>
      </c>
      <c r="L674" s="1">
        <v>0</v>
      </c>
    </row>
    <row r="675" spans="1:12" s="1" customFormat="1">
      <c r="A675" s="3">
        <v>45966</v>
      </c>
      <c r="B675" s="2" t="s">
        <v>14</v>
      </c>
      <c r="C675" s="2">
        <v>9</v>
      </c>
      <c r="D675" s="2">
        <v>11</v>
      </c>
      <c r="E675" s="1">
        <v>-34363.81587066516</v>
      </c>
      <c r="F675" s="1">
        <v>2231.683738533051</v>
      </c>
      <c r="G675" s="1">
        <v>2231.683738533051</v>
      </c>
      <c r="H675" s="1">
        <v>2231.683738533051</v>
      </c>
      <c r="I675" s="1">
        <v>0</v>
      </c>
      <c r="J675" s="1">
        <v>0</v>
      </c>
      <c r="K675" s="1">
        <v>0</v>
      </c>
      <c r="L675" s="1">
        <v>0</v>
      </c>
    </row>
    <row r="676" spans="1:12" s="1" customFormat="1">
      <c r="A676" s="3">
        <v>45967</v>
      </c>
      <c r="B676" s="2" t="s">
        <v>16</v>
      </c>
      <c r="C676" s="2">
        <v>8</v>
      </c>
      <c r="D676" s="2">
        <v>10</v>
      </c>
      <c r="E676" s="1">
        <v>-137690.1479277543</v>
      </c>
      <c r="F676" s="1">
        <v>-63822.65431840088</v>
      </c>
      <c r="G676" s="1">
        <v>-63822.65431840088</v>
      </c>
      <c r="H676" s="1">
        <v>-63822.65431840088</v>
      </c>
      <c r="I676" s="1">
        <v>0</v>
      </c>
      <c r="J676" s="1">
        <v>0</v>
      </c>
      <c r="K676" s="1">
        <v>0</v>
      </c>
      <c r="L676" s="1">
        <v>0</v>
      </c>
    </row>
    <row r="677" spans="1:12" s="1" customFormat="1">
      <c r="A677" s="3">
        <v>45968</v>
      </c>
      <c r="B677" s="2" t="s">
        <v>15</v>
      </c>
      <c r="C677" s="2">
        <v>7</v>
      </c>
      <c r="D677" s="2">
        <v>9</v>
      </c>
      <c r="E677" s="1">
        <v>30472.71507067656</v>
      </c>
      <c r="F677" s="1">
        <v>30472.71507067656</v>
      </c>
      <c r="G677" s="1">
        <v>30472.71507067656</v>
      </c>
      <c r="H677" s="1">
        <v>30472.71507067656</v>
      </c>
      <c r="I677" s="1">
        <v>0</v>
      </c>
      <c r="J677" s="1">
        <v>0</v>
      </c>
      <c r="K677" s="1">
        <v>0</v>
      </c>
      <c r="L677" s="1">
        <v>0</v>
      </c>
    </row>
    <row r="678" spans="1:12" s="1" customFormat="1">
      <c r="A678" s="3">
        <v>45971</v>
      </c>
      <c r="B678" s="2" t="s">
        <v>12</v>
      </c>
      <c r="C678" s="2">
        <v>6</v>
      </c>
      <c r="D678" s="2">
        <v>8</v>
      </c>
      <c r="E678" s="1">
        <v>107929.9733865602</v>
      </c>
      <c r="F678" s="1">
        <v>107929.9733865602</v>
      </c>
      <c r="G678" s="1">
        <v>107929.9733865602</v>
      </c>
      <c r="H678" s="1">
        <v>107929.9733865602</v>
      </c>
      <c r="I678" s="1">
        <v>0</v>
      </c>
      <c r="J678" s="1">
        <v>0</v>
      </c>
      <c r="K678" s="1">
        <v>0</v>
      </c>
      <c r="L678" s="1">
        <v>0</v>
      </c>
    </row>
    <row r="679" spans="1:12" s="1" customFormat="1">
      <c r="A679" s="3">
        <v>45972</v>
      </c>
      <c r="B679" s="2" t="s">
        <v>13</v>
      </c>
      <c r="C679" s="2">
        <v>5</v>
      </c>
      <c r="D679" s="2">
        <v>7</v>
      </c>
      <c r="E679" s="1">
        <v>-15013.75114592883</v>
      </c>
      <c r="F679" s="1">
        <v>16657.63813651137</v>
      </c>
      <c r="G679" s="1">
        <v>16657.63813651137</v>
      </c>
      <c r="H679" s="1">
        <v>16657.63813651137</v>
      </c>
      <c r="I679" s="1">
        <v>0</v>
      </c>
      <c r="J679" s="1">
        <v>0</v>
      </c>
      <c r="K679" s="1">
        <v>0</v>
      </c>
      <c r="L679" s="1">
        <v>0</v>
      </c>
    </row>
    <row r="680" spans="1:12" s="1" customFormat="1">
      <c r="A680" s="3">
        <v>45973</v>
      </c>
      <c r="B680" s="2" t="s">
        <v>14</v>
      </c>
      <c r="C680" s="2">
        <v>4</v>
      </c>
      <c r="D680" s="2">
        <v>6</v>
      </c>
      <c r="E680" s="1">
        <v>92252.05761316871</v>
      </c>
      <c r="F680" s="1">
        <v>-104147.1193415638</v>
      </c>
      <c r="G680" s="1">
        <v>-324510.2880658437</v>
      </c>
      <c r="H680" s="1">
        <v>-324510.2880658437</v>
      </c>
      <c r="I680" s="1">
        <v>6529.850746268658</v>
      </c>
      <c r="J680" s="1">
        <v>6529.850746268658</v>
      </c>
      <c r="K680" s="1">
        <v>6529.850746268658</v>
      </c>
      <c r="L680" s="1">
        <v>6529.850746268658</v>
      </c>
    </row>
    <row r="681" spans="1:12" s="1" customFormat="1">
      <c r="A681" s="3">
        <v>45974</v>
      </c>
      <c r="B681" s="2" t="s">
        <v>16</v>
      </c>
      <c r="C681" s="2">
        <v>3</v>
      </c>
      <c r="D681" s="2">
        <v>5</v>
      </c>
      <c r="E681" s="1">
        <v>132083.5473377846</v>
      </c>
      <c r="F681" s="1">
        <v>132083.5473377846</v>
      </c>
      <c r="G681" s="1">
        <v>132083.5473377846</v>
      </c>
      <c r="H681" s="1">
        <v>132083.5473377846</v>
      </c>
      <c r="I681" s="1">
        <v>-89704.9657178475</v>
      </c>
      <c r="J681" s="1">
        <v>-89704.9657178475</v>
      </c>
      <c r="K681" s="1">
        <v>-89704.9657178475</v>
      </c>
      <c r="L681" s="1">
        <v>-89704.9657178475</v>
      </c>
    </row>
    <row r="682" spans="1:12" s="1" customFormat="1">
      <c r="A682" s="3">
        <v>45975</v>
      </c>
      <c r="B682" s="2" t="s">
        <v>15</v>
      </c>
      <c r="C682" s="2">
        <v>2</v>
      </c>
      <c r="D682" s="2">
        <v>4</v>
      </c>
      <c r="E682" s="1">
        <v>-60560.28160750953</v>
      </c>
      <c r="F682" s="1">
        <v>163118.6355445669</v>
      </c>
      <c r="G682" s="1">
        <v>163118.6355445669</v>
      </c>
      <c r="H682" s="1">
        <v>163118.6355445669</v>
      </c>
      <c r="I682" s="1">
        <v>-4165.81995529364</v>
      </c>
      <c r="J682" s="1">
        <v>-4165.81995529364</v>
      </c>
      <c r="K682" s="1">
        <v>-4165.81995529364</v>
      </c>
      <c r="L682" s="1">
        <v>-4165.81995529364</v>
      </c>
    </row>
    <row r="683" spans="1:12" s="1" customFormat="1">
      <c r="A683" s="3">
        <v>45978</v>
      </c>
      <c r="B683" s="2" t="s">
        <v>12</v>
      </c>
      <c r="C683" s="2">
        <v>1</v>
      </c>
      <c r="D683" s="2">
        <v>3</v>
      </c>
      <c r="E683" s="1">
        <v>262330.3927746272</v>
      </c>
      <c r="F683" s="1">
        <v>262330.3927746272</v>
      </c>
      <c r="G683" s="1">
        <v>262330.3927746272</v>
      </c>
      <c r="H683" s="1">
        <v>262330.3927746272</v>
      </c>
      <c r="I683" s="1">
        <v>32807.57097791797</v>
      </c>
      <c r="J683" s="1">
        <v>32807.57097791797</v>
      </c>
      <c r="K683" s="1">
        <v>32807.57097791797</v>
      </c>
      <c r="L683" s="1">
        <v>32807.57097791797</v>
      </c>
    </row>
    <row r="684" spans="1:12" s="1" customFormat="1">
      <c r="A684" s="3">
        <v>45979</v>
      </c>
      <c r="B684" s="2" t="s">
        <v>13</v>
      </c>
      <c r="C684" s="2">
        <v>21</v>
      </c>
      <c r="D684" s="2">
        <v>2</v>
      </c>
      <c r="E684" s="1">
        <v>0</v>
      </c>
      <c r="F684" s="1">
        <v>0</v>
      </c>
      <c r="G684" s="1">
        <v>0</v>
      </c>
      <c r="H684" s="1">
        <v>0</v>
      </c>
      <c r="I684" s="1">
        <v>1940.073291657684</v>
      </c>
      <c r="J684" s="1">
        <v>1940.073291657684</v>
      </c>
      <c r="K684" s="1">
        <v>1940.073291657684</v>
      </c>
      <c r="L684" s="1">
        <v>1940.073291657684</v>
      </c>
    </row>
    <row r="685" spans="1:12" s="1" customFormat="1">
      <c r="A685" s="3">
        <v>45980</v>
      </c>
      <c r="B685" s="2" t="s">
        <v>14</v>
      </c>
      <c r="C685" s="2">
        <v>20</v>
      </c>
      <c r="D685" s="2">
        <v>1</v>
      </c>
      <c r="E685" s="1">
        <v>0</v>
      </c>
      <c r="F685" s="1">
        <v>0</v>
      </c>
      <c r="G685" s="1">
        <v>0</v>
      </c>
      <c r="H685" s="1">
        <v>0</v>
      </c>
      <c r="I685" s="1">
        <v>-39896.30346013325</v>
      </c>
      <c r="J685" s="1">
        <v>-93087.79282183539</v>
      </c>
      <c r="K685" s="1">
        <v>-114603.4816247582</v>
      </c>
      <c r="L685" s="1">
        <v>-114603.4816247582</v>
      </c>
    </row>
    <row r="686" spans="1:12" s="1" customFormat="1">
      <c r="A686" s="3">
        <v>45981</v>
      </c>
      <c r="B686" s="2" t="s">
        <v>16</v>
      </c>
      <c r="C686" s="2">
        <v>19</v>
      </c>
      <c r="D686" s="2">
        <v>24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</row>
    <row r="687" spans="1:12" s="1" customFormat="1">
      <c r="A687" s="3">
        <v>45982</v>
      </c>
      <c r="B687" s="2" t="s">
        <v>15</v>
      </c>
      <c r="C687" s="2">
        <v>18</v>
      </c>
      <c r="D687" s="2">
        <v>23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</row>
    <row r="688" spans="1:12" s="1" customFormat="1">
      <c r="A688" s="3">
        <v>45985</v>
      </c>
      <c r="B688" s="2" t="s">
        <v>12</v>
      </c>
      <c r="C688" s="2">
        <v>17</v>
      </c>
      <c r="D688" s="2">
        <v>22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</row>
    <row r="689" spans="1:12" s="1" customFormat="1">
      <c r="A689" s="3">
        <v>45986</v>
      </c>
      <c r="B689" s="2" t="s">
        <v>13</v>
      </c>
      <c r="C689" s="2">
        <v>16</v>
      </c>
      <c r="D689" s="2">
        <v>21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</row>
    <row r="690" spans="1:12" s="1" customFormat="1">
      <c r="A690" s="3">
        <v>45987</v>
      </c>
      <c r="B690" s="2" t="s">
        <v>14</v>
      </c>
      <c r="C690" s="2">
        <v>15</v>
      </c>
      <c r="D690" s="2">
        <v>20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1:12" s="1" customFormat="1">
      <c r="A691" s="3">
        <v>45988</v>
      </c>
      <c r="B691" s="2" t="s">
        <v>16</v>
      </c>
      <c r="C691" s="2">
        <v>14</v>
      </c>
      <c r="D691" s="2">
        <v>19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</row>
    <row r="692" spans="1:12" s="1" customFormat="1">
      <c r="A692" s="3">
        <v>45989</v>
      </c>
      <c r="B692" s="2" t="s">
        <v>15</v>
      </c>
      <c r="C692" s="2">
        <v>13</v>
      </c>
      <c r="D692" s="2">
        <v>18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</row>
    <row r="693" spans="1:12" s="1" customFormat="1">
      <c r="A693" s="3">
        <v>45992</v>
      </c>
      <c r="B693" s="2" t="s">
        <v>12</v>
      </c>
      <c r="C693" s="2">
        <v>12</v>
      </c>
      <c r="D693" s="2">
        <v>17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</row>
    <row r="694" spans="1:12" s="1" customFormat="1">
      <c r="A694" s="3">
        <v>45993</v>
      </c>
      <c r="B694" s="2" t="s">
        <v>13</v>
      </c>
      <c r="C694" s="2">
        <v>11</v>
      </c>
      <c r="D694" s="2">
        <v>16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</row>
    <row r="695" spans="1:12" s="1" customFormat="1">
      <c r="A695" s="3">
        <v>45994</v>
      </c>
      <c r="B695" s="2" t="s">
        <v>14</v>
      </c>
      <c r="C695" s="2">
        <v>10</v>
      </c>
      <c r="D695" s="2">
        <v>15</v>
      </c>
      <c r="E695" s="1">
        <v>65255.26912419179</v>
      </c>
      <c r="F695" s="1">
        <v>65255.26912419179</v>
      </c>
      <c r="G695" s="1">
        <v>65255.26912419179</v>
      </c>
      <c r="H695" s="1">
        <v>65255.26912419179</v>
      </c>
      <c r="I695" s="1">
        <v>0</v>
      </c>
      <c r="J695" s="1">
        <v>0</v>
      </c>
      <c r="K695" s="1">
        <v>0</v>
      </c>
      <c r="L695" s="1">
        <v>0</v>
      </c>
    </row>
    <row r="696" spans="1:12" s="1" customFormat="1">
      <c r="A696" s="3">
        <v>45995</v>
      </c>
      <c r="B696" s="2" t="s">
        <v>16</v>
      </c>
      <c r="C696" s="2">
        <v>9</v>
      </c>
      <c r="D696" s="2">
        <v>14</v>
      </c>
      <c r="E696" s="1">
        <v>-2133.565332670476</v>
      </c>
      <c r="F696" s="1">
        <v>-2133.565332670476</v>
      </c>
      <c r="G696" s="1">
        <v>-2133.565332670476</v>
      </c>
      <c r="H696" s="1">
        <v>-2133.565332670476</v>
      </c>
      <c r="I696" s="1">
        <v>0</v>
      </c>
      <c r="J696" s="1">
        <v>0</v>
      </c>
      <c r="K696" s="1">
        <v>0</v>
      </c>
      <c r="L696" s="1">
        <v>0</v>
      </c>
    </row>
    <row r="697" spans="1:12" s="1" customFormat="1">
      <c r="A697" s="3">
        <v>45996</v>
      </c>
      <c r="B697" s="2" t="s">
        <v>15</v>
      </c>
      <c r="C697" s="2">
        <v>8</v>
      </c>
      <c r="D697" s="2">
        <v>13</v>
      </c>
      <c r="E697" s="1">
        <v>-88816.33499170814</v>
      </c>
      <c r="F697" s="1">
        <v>-88816.33499170814</v>
      </c>
      <c r="G697" s="1">
        <v>-88816.33499170814</v>
      </c>
      <c r="H697" s="1">
        <v>-88816.33499170814</v>
      </c>
      <c r="I697" s="1">
        <v>0</v>
      </c>
      <c r="J697" s="1">
        <v>0</v>
      </c>
      <c r="K697" s="1">
        <v>0</v>
      </c>
      <c r="L697" s="1">
        <v>0</v>
      </c>
    </row>
    <row r="698" spans="1:12" s="1" customFormat="1">
      <c r="A698" s="3">
        <v>45999</v>
      </c>
      <c r="B698" s="2" t="s">
        <v>12</v>
      </c>
      <c r="C698" s="2">
        <v>7</v>
      </c>
      <c r="D698" s="2">
        <v>12</v>
      </c>
      <c r="E698" s="1">
        <v>24126.57502863688</v>
      </c>
      <c r="F698" s="1">
        <v>24126.57502863688</v>
      </c>
      <c r="G698" s="1">
        <v>24126.57502863688</v>
      </c>
      <c r="H698" s="1">
        <v>24126.57502863688</v>
      </c>
      <c r="I698" s="1">
        <v>0</v>
      </c>
      <c r="J698" s="1">
        <v>0</v>
      </c>
      <c r="K698" s="1">
        <v>0</v>
      </c>
      <c r="L698" s="1">
        <v>0</v>
      </c>
    </row>
    <row r="699" spans="1:12" s="1" customFormat="1">
      <c r="A699" s="3">
        <v>46000</v>
      </c>
      <c r="B699" s="2" t="s">
        <v>13</v>
      </c>
      <c r="C699" s="2">
        <v>6</v>
      </c>
      <c r="D699" s="2">
        <v>11</v>
      </c>
      <c r="E699" s="1">
        <v>-9934.529785809926</v>
      </c>
      <c r="F699" s="1">
        <v>-19661.98125836681</v>
      </c>
      <c r="G699" s="1">
        <v>-19661.98125836681</v>
      </c>
      <c r="H699" s="1">
        <v>-19661.98125836681</v>
      </c>
      <c r="I699" s="1">
        <v>0</v>
      </c>
      <c r="J699" s="1">
        <v>0</v>
      </c>
      <c r="K699" s="1">
        <v>0</v>
      </c>
      <c r="L699" s="1">
        <v>0</v>
      </c>
    </row>
    <row r="700" spans="1:12" s="1" customFormat="1">
      <c r="A700" s="3">
        <v>46001</v>
      </c>
      <c r="B700" s="2" t="s">
        <v>14</v>
      </c>
      <c r="C700" s="2">
        <v>5</v>
      </c>
      <c r="D700" s="2">
        <v>10</v>
      </c>
      <c r="E700" s="1">
        <v>-106711.126118521</v>
      </c>
      <c r="F700" s="1">
        <v>-29577.49451291575</v>
      </c>
      <c r="G700" s="1">
        <v>-29577.49451291575</v>
      </c>
      <c r="H700" s="1">
        <v>-29577.49451291575</v>
      </c>
      <c r="I700" s="1">
        <v>0</v>
      </c>
      <c r="J700" s="1">
        <v>0</v>
      </c>
      <c r="K700" s="1">
        <v>0</v>
      </c>
      <c r="L700" s="1">
        <v>0</v>
      </c>
    </row>
    <row r="701" spans="1:12" s="1" customFormat="1">
      <c r="A701" s="3">
        <v>46002</v>
      </c>
      <c r="B701" s="2" t="s">
        <v>16</v>
      </c>
      <c r="C701" s="2">
        <v>4</v>
      </c>
      <c r="D701" s="2">
        <v>9</v>
      </c>
      <c r="E701" s="1">
        <v>-40458.24890239786</v>
      </c>
      <c r="F701" s="1">
        <v>802.0938872002719</v>
      </c>
      <c r="G701" s="1">
        <v>802.0938872002719</v>
      </c>
      <c r="H701" s="1">
        <v>802.0938872002719</v>
      </c>
      <c r="I701" s="1">
        <v>0</v>
      </c>
      <c r="J701" s="1">
        <v>0</v>
      </c>
      <c r="K701" s="1">
        <v>0</v>
      </c>
      <c r="L701" s="1">
        <v>0</v>
      </c>
    </row>
    <row r="702" spans="1:12" s="1" customFormat="1">
      <c r="A702" s="3">
        <v>46003</v>
      </c>
      <c r="B702" s="2" t="s">
        <v>15</v>
      </c>
      <c r="C702" s="2">
        <v>3</v>
      </c>
      <c r="D702" s="2">
        <v>8</v>
      </c>
      <c r="E702" s="1">
        <v>57206.61646501395</v>
      </c>
      <c r="F702" s="1">
        <v>57206.61646501395</v>
      </c>
      <c r="G702" s="1">
        <v>57206.61646501395</v>
      </c>
      <c r="H702" s="1">
        <v>57206.61646501395</v>
      </c>
      <c r="I702" s="1">
        <v>0</v>
      </c>
      <c r="J702" s="1">
        <v>0</v>
      </c>
      <c r="K702" s="1">
        <v>0</v>
      </c>
      <c r="L702" s="1">
        <v>0</v>
      </c>
    </row>
    <row r="703" spans="1:12" s="1" customFormat="1">
      <c r="A703" s="3">
        <v>46006</v>
      </c>
      <c r="B703" s="2" t="s">
        <v>12</v>
      </c>
      <c r="C703" s="2">
        <v>2</v>
      </c>
      <c r="D703" s="2">
        <v>7</v>
      </c>
      <c r="E703" s="1">
        <v>30583.26612047376</v>
      </c>
      <c r="F703" s="1">
        <v>-85953.21984972619</v>
      </c>
      <c r="G703" s="1">
        <v>-56787.79131468354</v>
      </c>
      <c r="H703" s="1">
        <v>-56787.79131468354</v>
      </c>
      <c r="I703" s="1">
        <v>0</v>
      </c>
      <c r="J703" s="1">
        <v>0</v>
      </c>
      <c r="K703" s="1">
        <v>0</v>
      </c>
      <c r="L703" s="1">
        <v>0</v>
      </c>
    </row>
    <row r="704" spans="1:12" s="1" customFormat="1">
      <c r="A704" s="3">
        <v>46007</v>
      </c>
      <c r="B704" s="2" t="s">
        <v>13</v>
      </c>
      <c r="C704" s="2">
        <v>1</v>
      </c>
      <c r="D704" s="2">
        <v>6</v>
      </c>
      <c r="E704" s="1">
        <v>51383.78775439659</v>
      </c>
      <c r="F704" s="1">
        <v>-79012.01227152919</v>
      </c>
      <c r="G704" s="1">
        <v>141014.5616385084</v>
      </c>
      <c r="H704" s="1">
        <v>141014.5616385084</v>
      </c>
      <c r="I704" s="1">
        <v>21090.53497942386</v>
      </c>
      <c r="J704" s="1">
        <v>21090.53497942386</v>
      </c>
      <c r="K704" s="1">
        <v>21090.53497942386</v>
      </c>
      <c r="L704" s="1">
        <v>21090.53497942386</v>
      </c>
    </row>
    <row r="705" spans="1:12" s="1" customFormat="1">
      <c r="A705" s="3">
        <v>46008</v>
      </c>
      <c r="B705" s="2" t="s">
        <v>14</v>
      </c>
      <c r="C705" s="2">
        <v>20</v>
      </c>
      <c r="D705" s="2">
        <v>5</v>
      </c>
      <c r="E705" s="1">
        <v>0</v>
      </c>
      <c r="F705" s="1">
        <v>0</v>
      </c>
      <c r="G705" s="1">
        <v>0</v>
      </c>
      <c r="H705" s="1">
        <v>0</v>
      </c>
      <c r="I705" s="1">
        <v>37580.94357076781</v>
      </c>
      <c r="J705" s="1">
        <v>37580.94357076781</v>
      </c>
      <c r="K705" s="1">
        <v>37580.94357076781</v>
      </c>
      <c r="L705" s="1">
        <v>37580.94357076781</v>
      </c>
    </row>
    <row r="706" spans="1:12" s="1" customFormat="1">
      <c r="A706" s="3">
        <v>46009</v>
      </c>
      <c r="B706" s="2" t="s">
        <v>16</v>
      </c>
      <c r="C706" s="2">
        <v>19</v>
      </c>
      <c r="D706" s="2">
        <v>4</v>
      </c>
      <c r="E706" s="1">
        <v>0</v>
      </c>
      <c r="F706" s="1">
        <v>0</v>
      </c>
      <c r="G706" s="1">
        <v>0</v>
      </c>
      <c r="H706" s="1">
        <v>0</v>
      </c>
      <c r="I706" s="1">
        <v>-103740.9584086799</v>
      </c>
      <c r="J706" s="1">
        <v>-103740.9584086799</v>
      </c>
      <c r="K706" s="1">
        <v>-103740.9584086799</v>
      </c>
      <c r="L706" s="1">
        <v>-103740.9584086799</v>
      </c>
    </row>
    <row r="707" spans="1:12" s="1" customFormat="1">
      <c r="A707" s="3">
        <v>46010</v>
      </c>
      <c r="B707" s="2" t="s">
        <v>15</v>
      </c>
      <c r="C707" s="2">
        <v>18</v>
      </c>
      <c r="D707" s="2">
        <v>3</v>
      </c>
      <c r="E707" s="1">
        <v>0</v>
      </c>
      <c r="F707" s="1">
        <v>0</v>
      </c>
      <c r="G707" s="1">
        <v>0</v>
      </c>
      <c r="H707" s="1">
        <v>0</v>
      </c>
      <c r="I707" s="1">
        <v>-235.6267672007516</v>
      </c>
      <c r="J707" s="1">
        <v>-235.6267672007516</v>
      </c>
      <c r="K707" s="1">
        <v>-235.6267672007516</v>
      </c>
      <c r="L707" s="1">
        <v>-235.6267672007516</v>
      </c>
    </row>
    <row r="708" spans="1:12" s="1" customFormat="1">
      <c r="A708" s="3">
        <v>46013</v>
      </c>
      <c r="B708" s="2" t="s">
        <v>12</v>
      </c>
      <c r="C708" s="2">
        <v>17</v>
      </c>
      <c r="D708" s="2">
        <v>2</v>
      </c>
      <c r="E708" s="1">
        <v>0</v>
      </c>
      <c r="F708" s="1">
        <v>0</v>
      </c>
      <c r="G708" s="1">
        <v>0</v>
      </c>
      <c r="H708" s="1">
        <v>0</v>
      </c>
      <c r="I708" s="1">
        <v>16571.83908045977</v>
      </c>
      <c r="J708" s="1">
        <v>-40324.71264367816</v>
      </c>
      <c r="K708" s="1">
        <v>-134264.367816092</v>
      </c>
      <c r="L708" s="1">
        <v>-134264.367816092</v>
      </c>
    </row>
    <row r="709" spans="1:12" s="1" customFormat="1">
      <c r="A709" s="3">
        <v>46014</v>
      </c>
      <c r="B709" s="2" t="s">
        <v>13</v>
      </c>
      <c r="C709" s="2">
        <v>16</v>
      </c>
      <c r="D709" s="2">
        <v>1</v>
      </c>
      <c r="E709" s="1">
        <v>0</v>
      </c>
      <c r="F709" s="1">
        <v>0</v>
      </c>
      <c r="G709" s="1">
        <v>0</v>
      </c>
      <c r="H709" s="1">
        <v>0</v>
      </c>
      <c r="I709" s="1">
        <v>53018.14988290397</v>
      </c>
      <c r="J709" s="1">
        <v>22280.4449648712</v>
      </c>
      <c r="K709" s="1">
        <v>-121756.4402810305</v>
      </c>
      <c r="L709" s="1">
        <v>-127324.355971897</v>
      </c>
    </row>
    <row r="710" spans="1:12" s="1" customFormat="1">
      <c r="A710" s="3">
        <v>46015</v>
      </c>
      <c r="B710" s="2" t="s">
        <v>14</v>
      </c>
      <c r="C710" s="2">
        <v>15</v>
      </c>
      <c r="D710" s="2">
        <v>21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</row>
    <row r="711" spans="1:12" s="1" customFormat="1">
      <c r="A711" s="3">
        <v>46017</v>
      </c>
      <c r="B711" s="2" t="s">
        <v>15</v>
      </c>
      <c r="C711" s="2">
        <v>14</v>
      </c>
      <c r="D711" s="2">
        <v>20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</row>
    <row r="712" spans="1:12" s="1" customFormat="1">
      <c r="A712" s="3">
        <v>46020</v>
      </c>
      <c r="B712" s="2" t="s">
        <v>12</v>
      </c>
      <c r="C712" s="2">
        <v>13</v>
      </c>
      <c r="D712" s="2">
        <v>19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</row>
    <row r="713" spans="1:12" s="1" customFormat="1">
      <c r="A713" s="3">
        <v>46021</v>
      </c>
      <c r="B713" s="2" t="s">
        <v>13</v>
      </c>
      <c r="C713" s="2">
        <v>12</v>
      </c>
      <c r="D713" s="2">
        <v>18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</row>
    <row r="714" spans="1:12" s="1" customFormat="1">
      <c r="A714" s="3">
        <v>46022</v>
      </c>
      <c r="B714" s="2" t="s">
        <v>14</v>
      </c>
      <c r="C714" s="2">
        <v>11</v>
      </c>
      <c r="D714" s="2">
        <v>17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</row>
    <row r="715" spans="1:12" s="1" customFormat="1">
      <c r="A715" s="3">
        <v>46023</v>
      </c>
      <c r="B715" s="2" t="s">
        <v>16</v>
      </c>
      <c r="C715" s="2">
        <v>10</v>
      </c>
      <c r="D715" s="2">
        <v>16</v>
      </c>
      <c r="E715" s="1">
        <v>-586.60409556314</v>
      </c>
      <c r="F715" s="1">
        <v>-586.60409556314</v>
      </c>
      <c r="G715" s="1">
        <v>-586.60409556314</v>
      </c>
      <c r="H715" s="1">
        <v>-586.60409556314</v>
      </c>
      <c r="I715" s="1">
        <v>0</v>
      </c>
      <c r="J715" s="1">
        <v>0</v>
      </c>
      <c r="K715" s="1">
        <v>0</v>
      </c>
      <c r="L715" s="1">
        <v>0</v>
      </c>
    </row>
    <row r="716" spans="1:12" s="1" customFormat="1">
      <c r="A716" s="3">
        <v>46024</v>
      </c>
      <c r="B716" s="2" t="s">
        <v>15</v>
      </c>
      <c r="C716" s="2">
        <v>9</v>
      </c>
      <c r="D716" s="2">
        <v>15</v>
      </c>
      <c r="E716" s="1">
        <v>-7756.817890828389</v>
      </c>
      <c r="F716" s="1">
        <v>-7756.817890828389</v>
      </c>
      <c r="G716" s="1">
        <v>-7756.817890828389</v>
      </c>
      <c r="H716" s="1">
        <v>-7756.817890828389</v>
      </c>
      <c r="I716" s="1">
        <v>0</v>
      </c>
      <c r="J716" s="1">
        <v>0</v>
      </c>
      <c r="K716" s="1">
        <v>0</v>
      </c>
      <c r="L716" s="1">
        <v>0</v>
      </c>
    </row>
    <row r="717" spans="1:12" s="1" customFormat="1">
      <c r="A717" s="3">
        <v>46027</v>
      </c>
      <c r="B717" s="2" t="s">
        <v>12</v>
      </c>
      <c r="C717" s="2">
        <v>8</v>
      </c>
      <c r="D717" s="2">
        <v>14</v>
      </c>
      <c r="E717" s="1">
        <v>-36229.34992490883</v>
      </c>
      <c r="F717" s="1">
        <v>-6414.932417936058</v>
      </c>
      <c r="G717" s="1">
        <v>-6414.932417936058</v>
      </c>
      <c r="H717" s="1">
        <v>-6414.932417936058</v>
      </c>
      <c r="I717" s="1">
        <v>0</v>
      </c>
      <c r="J717" s="1">
        <v>0</v>
      </c>
      <c r="K717" s="1">
        <v>0</v>
      </c>
      <c r="L717" s="1">
        <v>0</v>
      </c>
    </row>
    <row r="718" spans="1:12" s="1" customFormat="1">
      <c r="A718" s="3">
        <v>46028</v>
      </c>
      <c r="B718" s="2" t="s">
        <v>13</v>
      </c>
      <c r="C718" s="2">
        <v>7</v>
      </c>
      <c r="D718" s="2">
        <v>13</v>
      </c>
      <c r="E718" s="1">
        <v>-87324.43523140706</v>
      </c>
      <c r="F718" s="1">
        <v>-106036.8897537863</v>
      </c>
      <c r="G718" s="1">
        <v>-106036.8897537863</v>
      </c>
      <c r="H718" s="1">
        <v>-106036.8897537863</v>
      </c>
      <c r="I718" s="1">
        <v>0</v>
      </c>
      <c r="J718" s="1">
        <v>0</v>
      </c>
      <c r="K718" s="1">
        <v>0</v>
      </c>
      <c r="L718" s="1">
        <v>0</v>
      </c>
    </row>
    <row r="719" spans="1:12" s="1" customFormat="1">
      <c r="A719" s="3">
        <v>46029</v>
      </c>
      <c r="B719" s="2" t="s">
        <v>14</v>
      </c>
      <c r="C719" s="2">
        <v>6</v>
      </c>
      <c r="D719" s="2">
        <v>12</v>
      </c>
      <c r="E719" s="1">
        <v>-26147.42698191934</v>
      </c>
      <c r="F719" s="1">
        <v>-51036.59596662028</v>
      </c>
      <c r="G719" s="1">
        <v>-51036.59596662028</v>
      </c>
      <c r="H719" s="1">
        <v>-51036.59596662028</v>
      </c>
      <c r="I719" s="1">
        <v>0</v>
      </c>
      <c r="J719" s="1">
        <v>0</v>
      </c>
      <c r="K719" s="1">
        <v>0</v>
      </c>
      <c r="L719" s="1">
        <v>0</v>
      </c>
    </row>
    <row r="720" spans="1:12" s="1" customFormat="1">
      <c r="A720" s="3">
        <v>46030</v>
      </c>
      <c r="B720" s="2" t="s">
        <v>16</v>
      </c>
      <c r="C720" s="2">
        <v>5</v>
      </c>
      <c r="D720" s="2">
        <v>11</v>
      </c>
      <c r="E720" s="1">
        <v>12102.07840042095</v>
      </c>
      <c r="F720" s="1">
        <v>12102.07840042095</v>
      </c>
      <c r="G720" s="1">
        <v>12102.07840042095</v>
      </c>
      <c r="H720" s="1">
        <v>12102.07840042095</v>
      </c>
      <c r="I720" s="1">
        <v>0</v>
      </c>
      <c r="J720" s="1">
        <v>0</v>
      </c>
      <c r="K720" s="1">
        <v>0</v>
      </c>
      <c r="L720" s="1">
        <v>0</v>
      </c>
    </row>
    <row r="721" spans="1:12" s="1" customFormat="1">
      <c r="A721" s="3">
        <v>46031</v>
      </c>
      <c r="B721" s="2" t="s">
        <v>15</v>
      </c>
      <c r="C721" s="2">
        <v>4</v>
      </c>
      <c r="D721" s="2">
        <v>10</v>
      </c>
      <c r="E721" s="1">
        <v>-11451.05639802348</v>
      </c>
      <c r="F721" s="1">
        <v>-255104.148918044</v>
      </c>
      <c r="G721" s="1">
        <v>-234335.0655989095</v>
      </c>
      <c r="H721" s="1">
        <v>-234335.0655989095</v>
      </c>
      <c r="I721" s="1">
        <v>0</v>
      </c>
      <c r="J721" s="1">
        <v>0</v>
      </c>
      <c r="K721" s="1">
        <v>0</v>
      </c>
      <c r="L721" s="1">
        <v>0</v>
      </c>
    </row>
    <row r="722" spans="1:12" s="1" customFormat="1">
      <c r="A722" s="3">
        <v>46034</v>
      </c>
      <c r="B722" s="2" t="s">
        <v>12</v>
      </c>
      <c r="C722" s="2">
        <v>3</v>
      </c>
      <c r="D722" s="2">
        <v>9</v>
      </c>
      <c r="E722" s="1">
        <v>-44002.45434502269</v>
      </c>
      <c r="F722" s="1">
        <v>10586.96285203211</v>
      </c>
      <c r="G722" s="1">
        <v>10586.96285203211</v>
      </c>
      <c r="H722" s="1">
        <v>10586.96285203211</v>
      </c>
      <c r="I722" s="1">
        <v>0</v>
      </c>
      <c r="J722" s="1">
        <v>0</v>
      </c>
      <c r="K722" s="1">
        <v>0</v>
      </c>
      <c r="L722" s="1">
        <v>0</v>
      </c>
    </row>
    <row r="723" spans="1:12" s="1" customFormat="1"/>
    <row r="724" spans="1:12" s="1" customFormat="1"/>
    <row r="725" spans="1:12" s="1" customFormat="1"/>
    <row r="726" spans="1:12" s="1" customFormat="1"/>
    <row r="727" spans="1:12" s="1" customFormat="1"/>
    <row r="728" spans="1:12" s="1" customFormat="1"/>
    <row r="729" spans="1:12" s="1" customFormat="1"/>
    <row r="730" spans="1:12" s="1" customFormat="1"/>
    <row r="731" spans="1:12" s="1" customFormat="1"/>
    <row r="732" spans="1:12" s="1" customFormat="1"/>
    <row r="733" spans="1:12" s="1" customFormat="1"/>
    <row r="734" spans="1:12" s="1" customFormat="1"/>
    <row r="735" spans="1:12" s="1" customFormat="1"/>
    <row r="736" spans="1:12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</sheetData>
  <conditionalFormatting sqref="C2:ZZ1000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00"/>
  <sheetViews>
    <sheetView workbookViewId="0"/>
  </sheetViews>
  <sheetFormatPr defaultRowHeight="15"/>
  <sheetData>
    <row r="1" spans="1:11" s="1" customFormat="1">
      <c r="A1" s="2" t="s">
        <v>8</v>
      </c>
      <c r="B1" s="2" t="s">
        <v>19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20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 s="1" customFormat="1">
      <c r="A2" s="4">
        <v>44928</v>
      </c>
      <c r="B2" s="1" t="s">
        <v>21</v>
      </c>
      <c r="C2" s="1" t="s">
        <v>21</v>
      </c>
      <c r="D2" s="1" t="s">
        <v>21</v>
      </c>
      <c r="E2" s="1" t="s">
        <v>21</v>
      </c>
      <c r="F2" s="1" t="s">
        <v>21</v>
      </c>
      <c r="G2" s="1" t="s">
        <v>21</v>
      </c>
      <c r="H2" s="1">
        <v>0</v>
      </c>
      <c r="I2" s="1">
        <v>0</v>
      </c>
      <c r="J2" s="1">
        <v>0</v>
      </c>
      <c r="K2" s="1">
        <v>0</v>
      </c>
    </row>
    <row r="3" spans="1:11" s="1" customFormat="1">
      <c r="A3" s="4">
        <v>44929</v>
      </c>
      <c r="B3" s="1" t="s">
        <v>21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>
        <v>0</v>
      </c>
      <c r="I3" s="1">
        <v>0</v>
      </c>
      <c r="J3" s="1">
        <v>0</v>
      </c>
      <c r="K3" s="1">
        <v>0</v>
      </c>
    </row>
    <row r="4" spans="1:11" s="1" customFormat="1">
      <c r="A4" s="4">
        <v>44930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>
        <v>0</v>
      </c>
      <c r="I4" s="1">
        <v>0</v>
      </c>
      <c r="J4" s="1">
        <v>0</v>
      </c>
      <c r="K4" s="1">
        <v>0</v>
      </c>
    </row>
    <row r="5" spans="1:11" s="1" customFormat="1">
      <c r="A5" s="4">
        <v>44932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>
        <v>0</v>
      </c>
      <c r="I5" s="1">
        <v>0</v>
      </c>
      <c r="J5" s="1">
        <v>0</v>
      </c>
      <c r="K5" s="1">
        <v>0</v>
      </c>
    </row>
    <row r="6" spans="1:11" s="1" customFormat="1">
      <c r="A6" s="4">
        <v>44938</v>
      </c>
      <c r="B6" s="1" t="s">
        <v>21</v>
      </c>
      <c r="C6" s="1" t="s">
        <v>21</v>
      </c>
      <c r="D6" s="1" t="s">
        <v>21</v>
      </c>
      <c r="E6" s="1" t="s">
        <v>21</v>
      </c>
      <c r="F6" s="1" t="s">
        <v>21</v>
      </c>
      <c r="G6" s="1" t="s">
        <v>21</v>
      </c>
      <c r="H6" s="1">
        <v>0</v>
      </c>
      <c r="I6" s="1">
        <v>0</v>
      </c>
      <c r="J6" s="1">
        <v>0</v>
      </c>
      <c r="K6" s="1">
        <v>0</v>
      </c>
    </row>
    <row r="7" spans="1:11" s="1" customFormat="1">
      <c r="A7" s="4">
        <v>44939</v>
      </c>
      <c r="B7" s="1" t="s">
        <v>21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>
        <v>0</v>
      </c>
      <c r="I7" s="1">
        <v>0</v>
      </c>
      <c r="J7" s="1">
        <v>0</v>
      </c>
      <c r="K7" s="1">
        <v>0</v>
      </c>
    </row>
    <row r="8" spans="1:11" s="1" customFormat="1">
      <c r="A8" s="4">
        <v>44942</v>
      </c>
      <c r="B8" s="1" t="s">
        <v>21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</row>
    <row r="9" spans="1:11" s="1" customFormat="1">
      <c r="A9" s="4">
        <v>44943</v>
      </c>
      <c r="B9" s="1" t="s">
        <v>21</v>
      </c>
      <c r="C9" s="1" t="s">
        <v>23</v>
      </c>
      <c r="D9" s="1" t="s">
        <v>42</v>
      </c>
      <c r="E9" s="1" t="s">
        <v>55</v>
      </c>
      <c r="F9" s="1" t="s">
        <v>55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</row>
    <row r="10" spans="1:11" s="1" customFormat="1">
      <c r="A10" s="4">
        <v>44944</v>
      </c>
      <c r="B10" s="1" t="s">
        <v>21</v>
      </c>
      <c r="C10" s="1">
        <v>0</v>
      </c>
      <c r="D10" s="1">
        <v>0</v>
      </c>
      <c r="E10" s="1">
        <v>0</v>
      </c>
      <c r="F10" s="1">
        <v>0</v>
      </c>
      <c r="G10" s="1" t="s">
        <v>21</v>
      </c>
      <c r="H10" s="1" t="s">
        <v>76</v>
      </c>
      <c r="I10" s="1" t="s">
        <v>76</v>
      </c>
      <c r="J10" s="1" t="s">
        <v>76</v>
      </c>
      <c r="K10" s="1" t="s">
        <v>76</v>
      </c>
    </row>
    <row r="11" spans="1:11" s="1" customFormat="1">
      <c r="A11" s="4">
        <v>44945</v>
      </c>
      <c r="B11" s="1" t="s">
        <v>21</v>
      </c>
      <c r="C11" s="1">
        <v>0</v>
      </c>
      <c r="D11" s="1">
        <v>0</v>
      </c>
      <c r="E11" s="1">
        <v>0</v>
      </c>
      <c r="F11" s="1">
        <v>0</v>
      </c>
      <c r="G11" s="1" t="s">
        <v>21</v>
      </c>
      <c r="H11" s="1" t="s">
        <v>21</v>
      </c>
      <c r="I11" s="1" t="s">
        <v>21</v>
      </c>
      <c r="J11" s="1" t="s">
        <v>21</v>
      </c>
      <c r="K11" s="1" t="s">
        <v>21</v>
      </c>
    </row>
    <row r="12" spans="1:11" s="1" customFormat="1">
      <c r="A12" s="4">
        <v>44946</v>
      </c>
      <c r="B12" s="1" t="s">
        <v>21</v>
      </c>
      <c r="C12" s="1">
        <v>0</v>
      </c>
      <c r="D12" s="1">
        <v>0</v>
      </c>
      <c r="E12" s="1">
        <v>0</v>
      </c>
      <c r="F12" s="1">
        <v>0</v>
      </c>
      <c r="G12" s="1" t="s">
        <v>21</v>
      </c>
      <c r="H12" s="1" t="s">
        <v>77</v>
      </c>
      <c r="I12" s="1" t="s">
        <v>122</v>
      </c>
      <c r="J12" s="1" t="s">
        <v>122</v>
      </c>
      <c r="K12" s="1" t="s">
        <v>122</v>
      </c>
    </row>
    <row r="13" spans="1:11" s="1" customFormat="1">
      <c r="A13" s="4">
        <v>44949</v>
      </c>
      <c r="B13" s="1" t="s">
        <v>21</v>
      </c>
      <c r="C13" s="1">
        <v>0</v>
      </c>
      <c r="D13" s="1">
        <v>0</v>
      </c>
      <c r="E13" s="1">
        <v>0</v>
      </c>
      <c r="F13" s="1">
        <v>0</v>
      </c>
      <c r="G13" s="1" t="s">
        <v>21</v>
      </c>
      <c r="H13" s="1" t="s">
        <v>78</v>
      </c>
      <c r="I13" s="1" t="s">
        <v>123</v>
      </c>
      <c r="J13" s="1" t="s">
        <v>129</v>
      </c>
      <c r="K13" s="1" t="s">
        <v>129</v>
      </c>
    </row>
    <row r="14" spans="1:11" s="1" customFormat="1">
      <c r="A14" s="4">
        <v>44950</v>
      </c>
      <c r="B14" s="1" t="s">
        <v>21</v>
      </c>
      <c r="C14" s="1">
        <v>0</v>
      </c>
      <c r="D14" s="1">
        <v>0</v>
      </c>
      <c r="E14" s="1">
        <v>0</v>
      </c>
      <c r="F14" s="1">
        <v>0</v>
      </c>
      <c r="G14" s="1" t="s">
        <v>21</v>
      </c>
      <c r="H14" s="1">
        <v>0</v>
      </c>
      <c r="I14" s="1">
        <v>0</v>
      </c>
      <c r="J14" s="1">
        <v>0</v>
      </c>
      <c r="K14" s="1">
        <v>0</v>
      </c>
    </row>
    <row r="15" spans="1:11" s="1" customFormat="1">
      <c r="A15" s="4">
        <v>44951</v>
      </c>
      <c r="B15" s="1" t="s">
        <v>21</v>
      </c>
      <c r="C15" s="1">
        <v>0</v>
      </c>
      <c r="D15" s="1">
        <v>0</v>
      </c>
      <c r="E15" s="1">
        <v>0</v>
      </c>
      <c r="F15" s="1">
        <v>0</v>
      </c>
      <c r="G15" s="1" t="s">
        <v>21</v>
      </c>
      <c r="H15" s="1">
        <v>0</v>
      </c>
      <c r="I15" s="1">
        <v>0</v>
      </c>
      <c r="J15" s="1">
        <v>0</v>
      </c>
      <c r="K15" s="1">
        <v>0</v>
      </c>
    </row>
    <row r="16" spans="1:11" s="1" customFormat="1">
      <c r="A16" s="4">
        <v>44953</v>
      </c>
      <c r="B16" s="1" t="s">
        <v>21</v>
      </c>
      <c r="C16" s="1">
        <v>0</v>
      </c>
      <c r="D16" s="1">
        <v>0</v>
      </c>
      <c r="E16" s="1">
        <v>0</v>
      </c>
      <c r="F16" s="1">
        <v>0</v>
      </c>
      <c r="G16" s="1" t="s">
        <v>21</v>
      </c>
      <c r="H16" s="1">
        <v>0</v>
      </c>
      <c r="I16" s="1">
        <v>0</v>
      </c>
      <c r="J16" s="1">
        <v>0</v>
      </c>
      <c r="K16" s="1">
        <v>0</v>
      </c>
    </row>
    <row r="17" spans="1:11" s="1" customFormat="1">
      <c r="A17" s="4">
        <v>44956</v>
      </c>
      <c r="B17" s="1" t="s">
        <v>21</v>
      </c>
      <c r="C17" s="1">
        <v>0</v>
      </c>
      <c r="D17" s="1">
        <v>0</v>
      </c>
      <c r="E17" s="1">
        <v>0</v>
      </c>
      <c r="F17" s="1">
        <v>0</v>
      </c>
      <c r="G17" s="1" t="s">
        <v>21</v>
      </c>
      <c r="H17" s="1">
        <v>0</v>
      </c>
      <c r="I17" s="1">
        <v>0</v>
      </c>
      <c r="J17" s="1">
        <v>0</v>
      </c>
      <c r="K17" s="1">
        <v>0</v>
      </c>
    </row>
    <row r="18" spans="1:11" s="1" customFormat="1">
      <c r="A18" s="4">
        <v>44957</v>
      </c>
      <c r="B18" s="1" t="s">
        <v>21</v>
      </c>
      <c r="C18" s="1">
        <v>0</v>
      </c>
      <c r="D18" s="1">
        <v>0</v>
      </c>
      <c r="E18" s="1">
        <v>0</v>
      </c>
      <c r="F18" s="1">
        <v>0</v>
      </c>
      <c r="G18" s="1" t="s">
        <v>21</v>
      </c>
      <c r="H18" s="1">
        <v>0</v>
      </c>
      <c r="I18" s="1">
        <v>0</v>
      </c>
      <c r="J18" s="1">
        <v>0</v>
      </c>
      <c r="K18" s="1">
        <v>0</v>
      </c>
    </row>
    <row r="19" spans="1:11" s="1" customFormat="1">
      <c r="A19" s="4">
        <v>44958</v>
      </c>
      <c r="B19" s="1" t="s">
        <v>21</v>
      </c>
      <c r="C19" s="1">
        <v>0</v>
      </c>
      <c r="D19" s="1">
        <v>0</v>
      </c>
      <c r="E19" s="1">
        <v>0</v>
      </c>
      <c r="F19" s="1">
        <v>0</v>
      </c>
      <c r="G19" s="1" t="s">
        <v>21</v>
      </c>
      <c r="H19" s="1">
        <v>0</v>
      </c>
      <c r="I19" s="1">
        <v>0</v>
      </c>
      <c r="J19" s="1">
        <v>0</v>
      </c>
      <c r="K19" s="1">
        <v>0</v>
      </c>
    </row>
    <row r="20" spans="1:11" s="1" customFormat="1">
      <c r="A20" s="4">
        <v>44959</v>
      </c>
      <c r="B20" s="1" t="s">
        <v>21</v>
      </c>
      <c r="C20" s="1" t="s">
        <v>21</v>
      </c>
      <c r="D20" s="1" t="s">
        <v>21</v>
      </c>
      <c r="E20" s="1" t="s">
        <v>21</v>
      </c>
      <c r="F20" s="1" t="s">
        <v>21</v>
      </c>
      <c r="G20" s="1" t="s">
        <v>21</v>
      </c>
      <c r="H20" s="1">
        <v>0</v>
      </c>
      <c r="I20" s="1">
        <v>0</v>
      </c>
      <c r="J20" s="1">
        <v>0</v>
      </c>
      <c r="K20" s="1">
        <v>0</v>
      </c>
    </row>
    <row r="21" spans="1:11" s="1" customFormat="1">
      <c r="A21" s="4">
        <v>44960</v>
      </c>
      <c r="B21" s="1" t="s">
        <v>21</v>
      </c>
      <c r="C21" s="1" t="s">
        <v>24</v>
      </c>
      <c r="D21" s="1" t="s">
        <v>21</v>
      </c>
      <c r="E21" s="1" t="s">
        <v>21</v>
      </c>
      <c r="F21" s="1" t="s">
        <v>21</v>
      </c>
      <c r="G21" s="1" t="s">
        <v>21</v>
      </c>
      <c r="H21" s="1">
        <v>0</v>
      </c>
      <c r="I21" s="1">
        <v>0</v>
      </c>
      <c r="J21" s="1">
        <v>0</v>
      </c>
      <c r="K21" s="1">
        <v>0</v>
      </c>
    </row>
    <row r="22" spans="1:11" s="1" customFormat="1">
      <c r="A22" s="4">
        <v>44963</v>
      </c>
      <c r="B22" s="1" t="s">
        <v>21</v>
      </c>
      <c r="C22" s="1" t="s">
        <v>21</v>
      </c>
      <c r="D22" s="1" t="s">
        <v>21</v>
      </c>
      <c r="E22" s="1" t="s">
        <v>21</v>
      </c>
      <c r="F22" s="1" t="s">
        <v>21</v>
      </c>
      <c r="G22" s="1" t="s">
        <v>21</v>
      </c>
      <c r="H22" s="1">
        <v>0</v>
      </c>
      <c r="I22" s="1">
        <v>0</v>
      </c>
      <c r="J22" s="1">
        <v>0</v>
      </c>
      <c r="K22" s="1">
        <v>0</v>
      </c>
    </row>
    <row r="23" spans="1:11" s="1" customFormat="1">
      <c r="A23" s="4">
        <v>44964</v>
      </c>
      <c r="B23" s="1" t="s">
        <v>21</v>
      </c>
      <c r="C23" s="1" t="s">
        <v>25</v>
      </c>
      <c r="D23" s="1" t="s">
        <v>25</v>
      </c>
      <c r="E23" s="1" t="s">
        <v>25</v>
      </c>
      <c r="F23" s="1" t="s">
        <v>25</v>
      </c>
      <c r="G23" s="1" t="s">
        <v>21</v>
      </c>
      <c r="H23" s="1">
        <v>0</v>
      </c>
      <c r="I23" s="1">
        <v>0</v>
      </c>
      <c r="J23" s="1">
        <v>0</v>
      </c>
      <c r="K23" s="1">
        <v>0</v>
      </c>
    </row>
    <row r="24" spans="1:11" s="1" customFormat="1">
      <c r="A24" s="4">
        <v>44965</v>
      </c>
      <c r="B24" s="1" t="s">
        <v>21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">
        <v>0</v>
      </c>
      <c r="I24" s="1">
        <v>0</v>
      </c>
      <c r="J24" s="1">
        <v>0</v>
      </c>
      <c r="K24" s="1">
        <v>0</v>
      </c>
    </row>
    <row r="25" spans="1:11" s="1" customFormat="1">
      <c r="A25" s="4">
        <v>44966</v>
      </c>
      <c r="B25" s="1" t="s">
        <v>21</v>
      </c>
      <c r="C25" s="1" t="s">
        <v>21</v>
      </c>
      <c r="D25" s="1" t="s">
        <v>21</v>
      </c>
      <c r="E25" s="1" t="s">
        <v>21</v>
      </c>
      <c r="F25" s="1" t="s">
        <v>21</v>
      </c>
      <c r="G25" s="1" t="s">
        <v>21</v>
      </c>
      <c r="H25" s="1">
        <v>0</v>
      </c>
      <c r="I25" s="1">
        <v>0</v>
      </c>
      <c r="J25" s="1">
        <v>0</v>
      </c>
      <c r="K25" s="1">
        <v>0</v>
      </c>
    </row>
    <row r="26" spans="1:11" s="1" customFormat="1">
      <c r="A26" s="4">
        <v>44967</v>
      </c>
      <c r="B26" s="1" t="s">
        <v>21</v>
      </c>
      <c r="C26" s="1" t="s">
        <v>21</v>
      </c>
      <c r="D26" s="1" t="s">
        <v>21</v>
      </c>
      <c r="E26" s="1" t="s">
        <v>21</v>
      </c>
      <c r="F26" s="1" t="s">
        <v>21</v>
      </c>
      <c r="G26" s="1" t="s">
        <v>21</v>
      </c>
      <c r="H26" s="1">
        <v>0</v>
      </c>
      <c r="I26" s="1">
        <v>0</v>
      </c>
      <c r="J26" s="1">
        <v>0</v>
      </c>
      <c r="K26" s="1">
        <v>0</v>
      </c>
    </row>
    <row r="27" spans="1:11" s="1" customFormat="1">
      <c r="A27" s="4">
        <v>44970</v>
      </c>
      <c r="B27" s="1" t="s">
        <v>21</v>
      </c>
      <c r="C27" s="1" t="s">
        <v>21</v>
      </c>
      <c r="D27" s="1" t="s">
        <v>21</v>
      </c>
      <c r="E27" s="1" t="s">
        <v>21</v>
      </c>
      <c r="F27" s="1" t="s">
        <v>21</v>
      </c>
      <c r="G27" s="1" t="s">
        <v>21</v>
      </c>
      <c r="H27" s="1">
        <v>0</v>
      </c>
      <c r="I27" s="1">
        <v>0</v>
      </c>
      <c r="J27" s="1">
        <v>0</v>
      </c>
      <c r="K27" s="1">
        <v>0</v>
      </c>
    </row>
    <row r="28" spans="1:11" s="1" customFormat="1">
      <c r="A28" s="4">
        <v>44971</v>
      </c>
      <c r="B28" s="1" t="s">
        <v>21</v>
      </c>
      <c r="C28" s="1" t="s">
        <v>21</v>
      </c>
      <c r="D28" s="1" t="s">
        <v>21</v>
      </c>
      <c r="E28" s="1" t="s">
        <v>21</v>
      </c>
      <c r="F28" s="1" t="s">
        <v>21</v>
      </c>
      <c r="G28" s="1" t="s">
        <v>21</v>
      </c>
      <c r="H28" s="1" t="s">
        <v>21</v>
      </c>
      <c r="I28" s="1" t="s">
        <v>21</v>
      </c>
      <c r="J28" s="1" t="s">
        <v>21</v>
      </c>
      <c r="K28" s="1" t="s">
        <v>21</v>
      </c>
    </row>
    <row r="29" spans="1:11" s="1" customFormat="1">
      <c r="A29" s="4">
        <v>44972</v>
      </c>
      <c r="B29" s="1" t="s">
        <v>21</v>
      </c>
      <c r="C29" s="1" t="s">
        <v>21</v>
      </c>
      <c r="D29" s="1" t="s">
        <v>21</v>
      </c>
      <c r="E29" s="1" t="s">
        <v>56</v>
      </c>
      <c r="F29" s="1" t="s">
        <v>56</v>
      </c>
      <c r="G29" s="1" t="s">
        <v>21</v>
      </c>
      <c r="H29" s="1" t="s">
        <v>21</v>
      </c>
      <c r="I29" s="1" t="s">
        <v>21</v>
      </c>
      <c r="J29" s="1" t="s">
        <v>21</v>
      </c>
      <c r="K29" s="1" t="s">
        <v>21</v>
      </c>
    </row>
    <row r="30" spans="1:11" s="1" customFormat="1">
      <c r="A30" s="4">
        <v>44973</v>
      </c>
      <c r="B30" s="1" t="s">
        <v>21</v>
      </c>
      <c r="C30" s="1">
        <v>0</v>
      </c>
      <c r="D30" s="1">
        <v>0</v>
      </c>
      <c r="E30" s="1">
        <v>0</v>
      </c>
      <c r="F30" s="1">
        <v>0</v>
      </c>
      <c r="G30" s="1" t="s">
        <v>21</v>
      </c>
      <c r="H30" s="1" t="s">
        <v>79</v>
      </c>
      <c r="I30" s="1" t="s">
        <v>79</v>
      </c>
      <c r="J30" s="1" t="s">
        <v>79</v>
      </c>
      <c r="K30" s="1" t="s">
        <v>79</v>
      </c>
    </row>
    <row r="31" spans="1:11" s="1" customFormat="1">
      <c r="A31" s="4">
        <v>44974</v>
      </c>
      <c r="B31" s="1" t="s">
        <v>21</v>
      </c>
      <c r="C31" s="1">
        <v>0</v>
      </c>
      <c r="D31" s="1">
        <v>0</v>
      </c>
      <c r="E31" s="1">
        <v>0</v>
      </c>
      <c r="F31" s="1">
        <v>0</v>
      </c>
      <c r="G31" s="1" t="s">
        <v>21</v>
      </c>
      <c r="H31" s="1" t="s">
        <v>80</v>
      </c>
      <c r="I31" s="1" t="s">
        <v>80</v>
      </c>
      <c r="J31" s="1" t="s">
        <v>80</v>
      </c>
      <c r="K31" s="1" t="s">
        <v>80</v>
      </c>
    </row>
    <row r="32" spans="1:11" s="1" customFormat="1">
      <c r="A32" s="4">
        <v>44977</v>
      </c>
      <c r="B32" s="1" t="s">
        <v>21</v>
      </c>
      <c r="C32" s="1">
        <v>0</v>
      </c>
      <c r="D32" s="1">
        <v>0</v>
      </c>
      <c r="E32" s="1">
        <v>0</v>
      </c>
      <c r="F32" s="1">
        <v>0</v>
      </c>
      <c r="G32" s="1" t="s">
        <v>21</v>
      </c>
      <c r="H32" s="1" t="s">
        <v>81</v>
      </c>
      <c r="I32" s="1" t="s">
        <v>81</v>
      </c>
      <c r="J32" s="1" t="s">
        <v>81</v>
      </c>
      <c r="K32" s="1" t="s">
        <v>81</v>
      </c>
    </row>
    <row r="33" spans="1:11" s="1" customFormat="1">
      <c r="A33" s="4">
        <v>44978</v>
      </c>
      <c r="B33" s="1" t="s">
        <v>21</v>
      </c>
      <c r="C33" s="1">
        <v>0</v>
      </c>
      <c r="D33" s="1">
        <v>0</v>
      </c>
      <c r="E33" s="1">
        <v>0</v>
      </c>
      <c r="F33" s="1">
        <v>0</v>
      </c>
      <c r="G33" s="1" t="s">
        <v>21</v>
      </c>
      <c r="H33" s="1" t="s">
        <v>21</v>
      </c>
      <c r="I33" s="1" t="s">
        <v>21</v>
      </c>
      <c r="J33" s="1" t="s">
        <v>21</v>
      </c>
      <c r="K33" s="1" t="s">
        <v>137</v>
      </c>
    </row>
    <row r="34" spans="1:11" s="1" customFormat="1">
      <c r="A34" s="4">
        <v>44979</v>
      </c>
      <c r="B34" s="1" t="s">
        <v>21</v>
      </c>
      <c r="C34" s="1">
        <v>0</v>
      </c>
      <c r="D34" s="1">
        <v>0</v>
      </c>
      <c r="E34" s="1">
        <v>0</v>
      </c>
      <c r="F34" s="1">
        <v>0</v>
      </c>
      <c r="G34" s="1" t="s">
        <v>21</v>
      </c>
      <c r="H34" s="1">
        <v>0</v>
      </c>
      <c r="I34" s="1">
        <v>0</v>
      </c>
      <c r="J34" s="1">
        <v>0</v>
      </c>
      <c r="K34" s="1">
        <v>0</v>
      </c>
    </row>
    <row r="35" spans="1:11" s="1" customFormat="1">
      <c r="A35" s="4">
        <v>44980</v>
      </c>
      <c r="B35" s="1" t="s">
        <v>21</v>
      </c>
      <c r="C35" s="1">
        <v>0</v>
      </c>
      <c r="D35" s="1">
        <v>0</v>
      </c>
      <c r="E35" s="1">
        <v>0</v>
      </c>
      <c r="F35" s="1">
        <v>0</v>
      </c>
      <c r="G35" s="1" t="s">
        <v>21</v>
      </c>
      <c r="H35" s="1">
        <v>0</v>
      </c>
      <c r="I35" s="1">
        <v>0</v>
      </c>
      <c r="J35" s="1">
        <v>0</v>
      </c>
      <c r="K35" s="1">
        <v>0</v>
      </c>
    </row>
    <row r="36" spans="1:11" s="1" customFormat="1">
      <c r="A36" s="4">
        <v>44981</v>
      </c>
      <c r="B36" s="1" t="s">
        <v>21</v>
      </c>
      <c r="C36" s="1">
        <v>0</v>
      </c>
      <c r="D36" s="1">
        <v>0</v>
      </c>
      <c r="E36" s="1">
        <v>0</v>
      </c>
      <c r="F36" s="1">
        <v>0</v>
      </c>
      <c r="G36" s="1" t="s">
        <v>21</v>
      </c>
      <c r="H36" s="1">
        <v>0</v>
      </c>
      <c r="I36" s="1">
        <v>0</v>
      </c>
      <c r="J36" s="1">
        <v>0</v>
      </c>
      <c r="K36" s="1">
        <v>0</v>
      </c>
    </row>
    <row r="37" spans="1:11" s="1" customFormat="1">
      <c r="A37" s="4">
        <v>44984</v>
      </c>
      <c r="B37" s="1" t="s">
        <v>21</v>
      </c>
      <c r="C37" s="1">
        <v>0</v>
      </c>
      <c r="D37" s="1">
        <v>0</v>
      </c>
      <c r="E37" s="1">
        <v>0</v>
      </c>
      <c r="F37" s="1">
        <v>0</v>
      </c>
      <c r="G37" s="1" t="s">
        <v>21</v>
      </c>
      <c r="H37" s="1">
        <v>0</v>
      </c>
      <c r="I37" s="1">
        <v>0</v>
      </c>
      <c r="J37" s="1">
        <v>0</v>
      </c>
      <c r="K37" s="1">
        <v>0</v>
      </c>
    </row>
    <row r="38" spans="1:11" s="1" customFormat="1">
      <c r="A38" s="4">
        <v>44985</v>
      </c>
      <c r="B38" s="1" t="s">
        <v>21</v>
      </c>
      <c r="C38" s="1">
        <v>0</v>
      </c>
      <c r="D38" s="1">
        <v>0</v>
      </c>
      <c r="E38" s="1">
        <v>0</v>
      </c>
      <c r="F38" s="1">
        <v>0</v>
      </c>
      <c r="G38" s="1" t="s">
        <v>21</v>
      </c>
      <c r="H38" s="1">
        <v>0</v>
      </c>
      <c r="I38" s="1">
        <v>0</v>
      </c>
      <c r="J38" s="1">
        <v>0</v>
      </c>
      <c r="K38" s="1">
        <v>0</v>
      </c>
    </row>
    <row r="39" spans="1:11" s="1" customFormat="1">
      <c r="A39" s="4">
        <v>44986</v>
      </c>
      <c r="B39" s="1" t="s">
        <v>21</v>
      </c>
      <c r="C39" s="1">
        <v>0</v>
      </c>
      <c r="D39" s="1">
        <v>0</v>
      </c>
      <c r="E39" s="1">
        <v>0</v>
      </c>
      <c r="F39" s="1">
        <v>0</v>
      </c>
      <c r="G39" s="1" t="s">
        <v>21</v>
      </c>
      <c r="H39" s="1">
        <v>0</v>
      </c>
      <c r="I39" s="1">
        <v>0</v>
      </c>
      <c r="J39" s="1">
        <v>0</v>
      </c>
      <c r="K39" s="1">
        <v>0</v>
      </c>
    </row>
    <row r="40" spans="1:11" s="1" customFormat="1">
      <c r="A40" s="4">
        <v>44987</v>
      </c>
      <c r="B40" s="1" t="s">
        <v>21</v>
      </c>
      <c r="C40" s="1" t="s">
        <v>21</v>
      </c>
      <c r="D40" s="1" t="s">
        <v>21</v>
      </c>
      <c r="E40" s="1" t="s">
        <v>21</v>
      </c>
      <c r="F40" s="1" t="s">
        <v>21</v>
      </c>
      <c r="G40" s="1" t="s">
        <v>21</v>
      </c>
      <c r="H40" s="1">
        <v>0</v>
      </c>
      <c r="I40" s="1">
        <v>0</v>
      </c>
      <c r="J40" s="1">
        <v>0</v>
      </c>
      <c r="K40" s="1">
        <v>0</v>
      </c>
    </row>
    <row r="41" spans="1:11" s="1" customFormat="1">
      <c r="A41" s="4">
        <v>44991</v>
      </c>
      <c r="B41" s="1" t="s">
        <v>21</v>
      </c>
      <c r="C41" s="1" t="s">
        <v>21</v>
      </c>
      <c r="D41" s="1" t="s">
        <v>21</v>
      </c>
      <c r="E41" s="1" t="s">
        <v>21</v>
      </c>
      <c r="F41" s="1" t="s">
        <v>21</v>
      </c>
      <c r="G41" s="1" t="s">
        <v>21</v>
      </c>
      <c r="H41" s="1">
        <v>0</v>
      </c>
      <c r="I41" s="1">
        <v>0</v>
      </c>
      <c r="J41" s="1">
        <v>0</v>
      </c>
      <c r="K41" s="1">
        <v>0</v>
      </c>
    </row>
    <row r="42" spans="1:11" s="1" customFormat="1">
      <c r="A42" s="4">
        <v>44992</v>
      </c>
      <c r="B42" s="1" t="s">
        <v>21</v>
      </c>
      <c r="C42" s="1" t="s">
        <v>21</v>
      </c>
      <c r="D42" s="1" t="s">
        <v>21</v>
      </c>
      <c r="E42" s="1" t="s">
        <v>21</v>
      </c>
      <c r="F42" s="1" t="s">
        <v>21</v>
      </c>
      <c r="G42" s="1" t="s">
        <v>21</v>
      </c>
      <c r="H42" s="1">
        <v>0</v>
      </c>
      <c r="I42" s="1">
        <v>0</v>
      </c>
      <c r="J42" s="1">
        <v>0</v>
      </c>
      <c r="K42" s="1">
        <v>0</v>
      </c>
    </row>
    <row r="43" spans="1:11" s="1" customFormat="1">
      <c r="A43" s="4">
        <v>44993</v>
      </c>
      <c r="B43" s="1" t="s">
        <v>21</v>
      </c>
      <c r="C43" s="1" t="s">
        <v>21</v>
      </c>
      <c r="D43" s="1" t="s">
        <v>21</v>
      </c>
      <c r="E43" s="1" t="s">
        <v>21</v>
      </c>
      <c r="F43" s="1" t="s">
        <v>21</v>
      </c>
      <c r="G43" s="1" t="s">
        <v>21</v>
      </c>
      <c r="H43" s="1">
        <v>0</v>
      </c>
      <c r="I43" s="1">
        <v>0</v>
      </c>
      <c r="J43" s="1">
        <v>0</v>
      </c>
      <c r="K43" s="1">
        <v>0</v>
      </c>
    </row>
    <row r="44" spans="1:11" s="1" customFormat="1">
      <c r="A44" s="4">
        <v>44994</v>
      </c>
      <c r="B44" s="1" t="s">
        <v>21</v>
      </c>
      <c r="C44" s="1" t="s">
        <v>21</v>
      </c>
      <c r="D44" s="1" t="s">
        <v>21</v>
      </c>
      <c r="E44" s="1" t="s">
        <v>21</v>
      </c>
      <c r="F44" s="1" t="s">
        <v>21</v>
      </c>
      <c r="G44" s="1" t="s">
        <v>21</v>
      </c>
      <c r="H44" s="1">
        <v>0</v>
      </c>
      <c r="I44" s="1">
        <v>0</v>
      </c>
      <c r="J44" s="1">
        <v>0</v>
      </c>
      <c r="K44" s="1">
        <v>0</v>
      </c>
    </row>
    <row r="45" spans="1:11" s="1" customFormat="1">
      <c r="A45" s="4">
        <v>44995</v>
      </c>
      <c r="B45" s="1" t="s">
        <v>21</v>
      </c>
      <c r="C45" s="1" t="s">
        <v>21</v>
      </c>
      <c r="D45" s="1" t="s">
        <v>21</v>
      </c>
      <c r="E45" s="1" t="s">
        <v>21</v>
      </c>
      <c r="F45" s="1" t="s">
        <v>21</v>
      </c>
      <c r="G45" s="1" t="s">
        <v>21</v>
      </c>
      <c r="H45" s="1">
        <v>0</v>
      </c>
      <c r="I45" s="1">
        <v>0</v>
      </c>
      <c r="J45" s="1">
        <v>0</v>
      </c>
      <c r="K45" s="1">
        <v>0</v>
      </c>
    </row>
    <row r="46" spans="1:11" s="1" customFormat="1">
      <c r="A46" s="4">
        <v>44998</v>
      </c>
      <c r="B46" s="1" t="s">
        <v>21</v>
      </c>
      <c r="C46" s="1" t="s">
        <v>26</v>
      </c>
      <c r="D46" s="1" t="s">
        <v>43</v>
      </c>
      <c r="E46" s="1" t="s">
        <v>57</v>
      </c>
      <c r="F46" s="1" t="s">
        <v>57</v>
      </c>
      <c r="G46" s="1" t="s">
        <v>21</v>
      </c>
      <c r="H46" s="1">
        <v>0</v>
      </c>
      <c r="I46" s="1">
        <v>0</v>
      </c>
      <c r="J46" s="1">
        <v>0</v>
      </c>
      <c r="K46" s="1">
        <v>0</v>
      </c>
    </row>
    <row r="47" spans="1:11" s="1" customFormat="1">
      <c r="A47" s="4">
        <v>44999</v>
      </c>
      <c r="B47" s="1" t="s">
        <v>21</v>
      </c>
      <c r="C47" s="1" t="s">
        <v>27</v>
      </c>
      <c r="D47" s="1" t="s">
        <v>27</v>
      </c>
      <c r="E47" s="1" t="s">
        <v>27</v>
      </c>
      <c r="F47" s="1" t="s">
        <v>27</v>
      </c>
      <c r="G47" s="1" t="s">
        <v>21</v>
      </c>
      <c r="H47" s="1">
        <v>0</v>
      </c>
      <c r="I47" s="1">
        <v>0</v>
      </c>
      <c r="J47" s="1">
        <v>0</v>
      </c>
      <c r="K47" s="1">
        <v>0</v>
      </c>
    </row>
    <row r="48" spans="1:11" s="1" customFormat="1">
      <c r="A48" s="4">
        <v>45000</v>
      </c>
      <c r="B48" s="1" t="s">
        <v>21</v>
      </c>
      <c r="C48" s="1" t="s">
        <v>28</v>
      </c>
      <c r="D48" s="1" t="s">
        <v>21</v>
      </c>
      <c r="E48" s="1" t="s">
        <v>58</v>
      </c>
      <c r="F48" s="1" t="s">
        <v>71</v>
      </c>
      <c r="G48" s="1" t="s">
        <v>21</v>
      </c>
      <c r="H48" s="1">
        <v>0</v>
      </c>
      <c r="I48" s="1">
        <v>0</v>
      </c>
      <c r="J48" s="1">
        <v>0</v>
      </c>
      <c r="K48" s="1">
        <v>0</v>
      </c>
    </row>
    <row r="49" spans="1:11" s="1" customFormat="1">
      <c r="A49" s="4">
        <v>45001</v>
      </c>
      <c r="B49" s="1" t="s">
        <v>21</v>
      </c>
      <c r="C49" s="1" t="s">
        <v>21</v>
      </c>
      <c r="D49" s="1" t="s">
        <v>21</v>
      </c>
      <c r="E49" s="1" t="s">
        <v>59</v>
      </c>
      <c r="F49" s="1" t="s">
        <v>72</v>
      </c>
      <c r="G49" s="1" t="s">
        <v>21</v>
      </c>
      <c r="H49" s="1">
        <v>0</v>
      </c>
      <c r="I49" s="1">
        <v>0</v>
      </c>
      <c r="J49" s="1">
        <v>0</v>
      </c>
      <c r="K49" s="1">
        <v>0</v>
      </c>
    </row>
    <row r="50" spans="1:11" s="1" customFormat="1">
      <c r="A50" s="4">
        <v>45002</v>
      </c>
      <c r="B50" s="1" t="s">
        <v>21</v>
      </c>
      <c r="C50" s="1">
        <v>0</v>
      </c>
      <c r="D50" s="1">
        <v>0</v>
      </c>
      <c r="E50" s="1">
        <v>0</v>
      </c>
      <c r="F50" s="1">
        <v>0</v>
      </c>
      <c r="G50" s="1" t="s">
        <v>21</v>
      </c>
      <c r="H50" s="1" t="s">
        <v>82</v>
      </c>
      <c r="I50" s="1" t="s">
        <v>82</v>
      </c>
      <c r="J50" s="1" t="s">
        <v>82</v>
      </c>
      <c r="K50" s="1" t="s">
        <v>82</v>
      </c>
    </row>
    <row r="51" spans="1:11" s="1" customFormat="1">
      <c r="A51" s="4">
        <v>45005</v>
      </c>
      <c r="B51" s="1" t="s">
        <v>21</v>
      </c>
      <c r="C51" s="1">
        <v>0</v>
      </c>
      <c r="D51" s="1">
        <v>0</v>
      </c>
      <c r="E51" s="1">
        <v>0</v>
      </c>
      <c r="F51" s="1">
        <v>0</v>
      </c>
      <c r="G51" s="1" t="s">
        <v>21</v>
      </c>
      <c r="H51" s="1" t="s">
        <v>21</v>
      </c>
      <c r="I51" s="1" t="s">
        <v>124</v>
      </c>
      <c r="J51" s="1" t="s">
        <v>124</v>
      </c>
      <c r="K51" s="1" t="s">
        <v>124</v>
      </c>
    </row>
    <row r="52" spans="1:11" s="1" customFormat="1">
      <c r="A52" s="4">
        <v>45006</v>
      </c>
      <c r="B52" s="1" t="s">
        <v>21</v>
      </c>
      <c r="C52" s="1">
        <v>0</v>
      </c>
      <c r="D52" s="1">
        <v>0</v>
      </c>
      <c r="E52" s="1">
        <v>0</v>
      </c>
      <c r="F52" s="1">
        <v>0</v>
      </c>
      <c r="G52" s="1" t="s">
        <v>21</v>
      </c>
      <c r="H52" s="1" t="s">
        <v>83</v>
      </c>
      <c r="I52" s="1" t="s">
        <v>83</v>
      </c>
      <c r="J52" s="1" t="s">
        <v>83</v>
      </c>
      <c r="K52" s="1" t="s">
        <v>83</v>
      </c>
    </row>
    <row r="53" spans="1:11" s="1" customFormat="1">
      <c r="A53" s="4">
        <v>45007</v>
      </c>
      <c r="B53" s="1" t="s">
        <v>21</v>
      </c>
      <c r="C53" s="1">
        <v>0</v>
      </c>
      <c r="D53" s="1">
        <v>0</v>
      </c>
      <c r="E53" s="1">
        <v>0</v>
      </c>
      <c r="F53" s="1">
        <v>0</v>
      </c>
      <c r="G53" s="1" t="s">
        <v>21</v>
      </c>
      <c r="H53" s="1" t="s">
        <v>84</v>
      </c>
      <c r="I53" s="1" t="s">
        <v>84</v>
      </c>
      <c r="J53" s="1" t="s">
        <v>84</v>
      </c>
      <c r="K53" s="1" t="s">
        <v>84</v>
      </c>
    </row>
    <row r="54" spans="1:11" s="1" customFormat="1">
      <c r="A54" s="4">
        <v>45008</v>
      </c>
      <c r="B54" s="1" t="s">
        <v>21</v>
      </c>
      <c r="C54" s="1">
        <v>0</v>
      </c>
      <c r="D54" s="1">
        <v>0</v>
      </c>
      <c r="E54" s="1">
        <v>0</v>
      </c>
      <c r="F54" s="1">
        <v>0</v>
      </c>
      <c r="G54" s="1" t="s">
        <v>21</v>
      </c>
      <c r="H54" s="1" t="s">
        <v>81</v>
      </c>
      <c r="I54" s="1" t="s">
        <v>81</v>
      </c>
      <c r="J54" s="1" t="s">
        <v>81</v>
      </c>
      <c r="K54" s="1" t="s">
        <v>81</v>
      </c>
    </row>
    <row r="55" spans="1:11" s="1" customFormat="1">
      <c r="A55" s="4">
        <v>45009</v>
      </c>
      <c r="B55" s="1" t="s">
        <v>21</v>
      </c>
      <c r="C55" s="1">
        <v>0</v>
      </c>
      <c r="D55" s="1">
        <v>0</v>
      </c>
      <c r="E55" s="1">
        <v>0</v>
      </c>
      <c r="F55" s="1">
        <v>0</v>
      </c>
      <c r="G55" s="1" t="s">
        <v>21</v>
      </c>
      <c r="H55" s="1" t="s">
        <v>85</v>
      </c>
      <c r="I55" s="1" t="s">
        <v>85</v>
      </c>
      <c r="J55" s="1" t="s">
        <v>85</v>
      </c>
      <c r="K55" s="1" t="s">
        <v>85</v>
      </c>
    </row>
    <row r="56" spans="1:11" s="1" customFormat="1">
      <c r="A56" s="4">
        <v>45012</v>
      </c>
      <c r="B56" s="1" t="s">
        <v>21</v>
      </c>
      <c r="C56" s="1">
        <v>0</v>
      </c>
      <c r="D56" s="1">
        <v>0</v>
      </c>
      <c r="E56" s="1">
        <v>0</v>
      </c>
      <c r="F56" s="1">
        <v>0</v>
      </c>
      <c r="G56" s="1" t="s">
        <v>21</v>
      </c>
      <c r="H56" s="1">
        <v>0</v>
      </c>
      <c r="I56" s="1">
        <v>0</v>
      </c>
      <c r="J56" s="1">
        <v>0</v>
      </c>
      <c r="K56" s="1">
        <v>0</v>
      </c>
    </row>
    <row r="57" spans="1:11" s="1" customFormat="1">
      <c r="A57" s="4">
        <v>45013</v>
      </c>
      <c r="B57" s="1" t="s">
        <v>21</v>
      </c>
      <c r="C57" s="1">
        <v>0</v>
      </c>
      <c r="D57" s="1">
        <v>0</v>
      </c>
      <c r="E57" s="1">
        <v>0</v>
      </c>
      <c r="F57" s="1">
        <v>0</v>
      </c>
      <c r="G57" s="1" t="s">
        <v>21</v>
      </c>
      <c r="H57" s="1">
        <v>0</v>
      </c>
      <c r="I57" s="1">
        <v>0</v>
      </c>
      <c r="J57" s="1">
        <v>0</v>
      </c>
      <c r="K57" s="1">
        <v>0</v>
      </c>
    </row>
    <row r="58" spans="1:11" s="1" customFormat="1">
      <c r="A58" s="4">
        <v>45014</v>
      </c>
      <c r="B58" s="1" t="s">
        <v>21</v>
      </c>
      <c r="C58" s="1">
        <v>0</v>
      </c>
      <c r="D58" s="1">
        <v>0</v>
      </c>
      <c r="E58" s="1">
        <v>0</v>
      </c>
      <c r="F58" s="1">
        <v>0</v>
      </c>
      <c r="G58" s="1" t="s">
        <v>21</v>
      </c>
      <c r="H58" s="1">
        <v>0</v>
      </c>
      <c r="I58" s="1">
        <v>0</v>
      </c>
      <c r="J58" s="1">
        <v>0</v>
      </c>
      <c r="K58" s="1">
        <v>0</v>
      </c>
    </row>
    <row r="59" spans="1:11" s="1" customFormat="1">
      <c r="A59" s="4">
        <v>45015</v>
      </c>
      <c r="B59" s="1" t="s">
        <v>21</v>
      </c>
      <c r="C59" s="1">
        <v>0</v>
      </c>
      <c r="D59" s="1">
        <v>0</v>
      </c>
      <c r="E59" s="1">
        <v>0</v>
      </c>
      <c r="F59" s="1">
        <v>0</v>
      </c>
      <c r="G59" s="1" t="s">
        <v>21</v>
      </c>
      <c r="H59" s="1">
        <v>0</v>
      </c>
      <c r="I59" s="1">
        <v>0</v>
      </c>
      <c r="J59" s="1">
        <v>0</v>
      </c>
      <c r="K59" s="1">
        <v>0</v>
      </c>
    </row>
    <row r="60" spans="1:11" s="1" customFormat="1">
      <c r="A60" s="4">
        <v>45016</v>
      </c>
      <c r="B60" s="1" t="s">
        <v>21</v>
      </c>
      <c r="C60" s="1">
        <v>0</v>
      </c>
      <c r="D60" s="1">
        <v>0</v>
      </c>
      <c r="E60" s="1">
        <v>0</v>
      </c>
      <c r="F60" s="1">
        <v>0</v>
      </c>
      <c r="G60" s="1" t="s">
        <v>21</v>
      </c>
      <c r="H60" s="1">
        <v>0</v>
      </c>
      <c r="I60" s="1">
        <v>0</v>
      </c>
      <c r="J60" s="1">
        <v>0</v>
      </c>
      <c r="K60" s="1">
        <v>0</v>
      </c>
    </row>
    <row r="61" spans="1:11" s="1" customFormat="1">
      <c r="A61" s="4">
        <v>45019</v>
      </c>
      <c r="B61" s="1" t="s">
        <v>21</v>
      </c>
      <c r="C61" s="1" t="s">
        <v>21</v>
      </c>
      <c r="D61" s="1" t="s">
        <v>21</v>
      </c>
      <c r="E61" s="1" t="s">
        <v>21</v>
      </c>
      <c r="F61" s="1" t="s">
        <v>21</v>
      </c>
      <c r="G61" s="1" t="s">
        <v>21</v>
      </c>
      <c r="H61" s="1">
        <v>0</v>
      </c>
      <c r="I61" s="1">
        <v>0</v>
      </c>
      <c r="J61" s="1">
        <v>0</v>
      </c>
      <c r="K61" s="1">
        <v>0</v>
      </c>
    </row>
    <row r="62" spans="1:11" s="1" customFormat="1">
      <c r="A62" s="4">
        <v>45020</v>
      </c>
      <c r="B62" s="1" t="s">
        <v>21</v>
      </c>
      <c r="C62" s="1" t="s">
        <v>21</v>
      </c>
      <c r="D62" s="1" t="s">
        <v>21</v>
      </c>
      <c r="E62" s="1" t="s">
        <v>21</v>
      </c>
      <c r="F62" s="1" t="s">
        <v>21</v>
      </c>
      <c r="G62" s="1" t="s">
        <v>21</v>
      </c>
      <c r="H62" s="1">
        <v>0</v>
      </c>
      <c r="I62" s="1">
        <v>0</v>
      </c>
      <c r="J62" s="1">
        <v>0</v>
      </c>
      <c r="K62" s="1">
        <v>0</v>
      </c>
    </row>
    <row r="63" spans="1:11" s="1" customFormat="1">
      <c r="A63" s="4">
        <v>45021</v>
      </c>
      <c r="B63" s="1" t="s">
        <v>21</v>
      </c>
      <c r="C63" s="1" t="s">
        <v>21</v>
      </c>
      <c r="D63" s="1" t="s">
        <v>21</v>
      </c>
      <c r="E63" s="1" t="s">
        <v>21</v>
      </c>
      <c r="F63" s="1" t="s">
        <v>21</v>
      </c>
      <c r="G63" s="1" t="s">
        <v>21</v>
      </c>
      <c r="H63" s="1">
        <v>0</v>
      </c>
      <c r="I63" s="1">
        <v>0</v>
      </c>
      <c r="J63" s="1">
        <v>0</v>
      </c>
      <c r="K63" s="1">
        <v>0</v>
      </c>
    </row>
    <row r="64" spans="1:11" s="1" customFormat="1">
      <c r="A64" s="4">
        <v>45022</v>
      </c>
      <c r="B64" s="1" t="s">
        <v>21</v>
      </c>
      <c r="C64" s="1" t="s">
        <v>21</v>
      </c>
      <c r="D64" s="1" t="s">
        <v>21</v>
      </c>
      <c r="E64" s="1" t="s">
        <v>21</v>
      </c>
      <c r="F64" s="1" t="s">
        <v>21</v>
      </c>
      <c r="G64" s="1" t="s">
        <v>21</v>
      </c>
      <c r="H64" s="1">
        <v>0</v>
      </c>
      <c r="I64" s="1">
        <v>0</v>
      </c>
      <c r="J64" s="1">
        <v>0</v>
      </c>
      <c r="K64" s="1">
        <v>0</v>
      </c>
    </row>
    <row r="65" spans="1:11" s="1" customFormat="1">
      <c r="A65" s="4">
        <v>45026</v>
      </c>
      <c r="B65" s="1" t="s">
        <v>21</v>
      </c>
      <c r="C65" s="1" t="s">
        <v>21</v>
      </c>
      <c r="D65" s="1" t="s">
        <v>21</v>
      </c>
      <c r="E65" s="1" t="s">
        <v>21</v>
      </c>
      <c r="F65" s="1" t="s">
        <v>21</v>
      </c>
      <c r="G65" s="1" t="s">
        <v>21</v>
      </c>
      <c r="H65" s="1">
        <v>0</v>
      </c>
      <c r="I65" s="1">
        <v>0</v>
      </c>
      <c r="J65" s="1">
        <v>0</v>
      </c>
      <c r="K65" s="1">
        <v>0</v>
      </c>
    </row>
    <row r="66" spans="1:11" s="1" customFormat="1">
      <c r="A66" s="4">
        <v>45027</v>
      </c>
      <c r="B66" s="1" t="s">
        <v>21</v>
      </c>
      <c r="C66" s="1" t="s">
        <v>21</v>
      </c>
      <c r="D66" s="1" t="s">
        <v>21</v>
      </c>
      <c r="E66" s="1" t="s">
        <v>21</v>
      </c>
      <c r="F66" s="1" t="s">
        <v>21</v>
      </c>
      <c r="G66" s="1" t="s">
        <v>21</v>
      </c>
      <c r="H66" s="1">
        <v>0</v>
      </c>
      <c r="I66" s="1">
        <v>0</v>
      </c>
      <c r="J66" s="1">
        <v>0</v>
      </c>
      <c r="K66" s="1">
        <v>0</v>
      </c>
    </row>
    <row r="67" spans="1:11" s="1" customFormat="1">
      <c r="A67" s="4">
        <v>45028</v>
      </c>
      <c r="B67" s="1" t="s">
        <v>21</v>
      </c>
      <c r="C67" s="1" t="s">
        <v>21</v>
      </c>
      <c r="D67" s="1" t="s">
        <v>21</v>
      </c>
      <c r="E67" s="1" t="s">
        <v>21</v>
      </c>
      <c r="F67" s="1" t="s">
        <v>21</v>
      </c>
      <c r="G67" s="1" t="s">
        <v>21</v>
      </c>
      <c r="H67" s="1">
        <v>0</v>
      </c>
      <c r="I67" s="1">
        <v>0</v>
      </c>
      <c r="J67" s="1">
        <v>0</v>
      </c>
      <c r="K67" s="1">
        <v>0</v>
      </c>
    </row>
    <row r="68" spans="1:11" s="1" customFormat="1">
      <c r="A68" s="4">
        <v>45029</v>
      </c>
      <c r="B68" s="1" t="s">
        <v>21</v>
      </c>
      <c r="C68" s="1" t="s">
        <v>21</v>
      </c>
      <c r="D68" s="1" t="s">
        <v>21</v>
      </c>
      <c r="E68" s="1" t="s">
        <v>21</v>
      </c>
      <c r="F68" s="1" t="s">
        <v>21</v>
      </c>
      <c r="G68" s="1" t="s">
        <v>21</v>
      </c>
      <c r="H68" s="1">
        <v>0</v>
      </c>
      <c r="I68" s="1">
        <v>0</v>
      </c>
      <c r="J68" s="1">
        <v>0</v>
      </c>
      <c r="K68" s="1">
        <v>0</v>
      </c>
    </row>
    <row r="69" spans="1:11" s="1" customFormat="1">
      <c r="A69" s="4">
        <v>45030</v>
      </c>
      <c r="B69" s="1" t="s">
        <v>21</v>
      </c>
      <c r="C69" s="1" t="s">
        <v>21</v>
      </c>
      <c r="D69" s="1" t="s">
        <v>21</v>
      </c>
      <c r="E69" s="1" t="s">
        <v>21</v>
      </c>
      <c r="F69" s="1" t="s">
        <v>21</v>
      </c>
      <c r="G69" s="1" t="s">
        <v>21</v>
      </c>
      <c r="H69" s="1" t="s">
        <v>21</v>
      </c>
      <c r="I69" s="1" t="s">
        <v>21</v>
      </c>
      <c r="J69" s="1" t="s">
        <v>21</v>
      </c>
      <c r="K69" s="1" t="s">
        <v>21</v>
      </c>
    </row>
    <row r="70" spans="1:11" s="1" customFormat="1">
      <c r="A70" s="4">
        <v>45033</v>
      </c>
      <c r="B70" s="1" t="s">
        <v>21</v>
      </c>
      <c r="C70" s="1" t="s">
        <v>21</v>
      </c>
      <c r="D70" s="1" t="s">
        <v>21</v>
      </c>
      <c r="E70" s="1" t="s">
        <v>21</v>
      </c>
      <c r="F70" s="1" t="s">
        <v>21</v>
      </c>
      <c r="G70" s="1" t="s">
        <v>21</v>
      </c>
      <c r="H70" s="1" t="s">
        <v>21</v>
      </c>
      <c r="I70" s="1" t="s">
        <v>125</v>
      </c>
      <c r="J70" s="1" t="s">
        <v>125</v>
      </c>
      <c r="K70" s="1" t="s">
        <v>125</v>
      </c>
    </row>
    <row r="71" spans="1:11" s="1" customFormat="1">
      <c r="A71" s="4">
        <v>45034</v>
      </c>
      <c r="B71" s="1" t="s">
        <v>21</v>
      </c>
      <c r="C71" s="1">
        <v>0</v>
      </c>
      <c r="D71" s="1">
        <v>0</v>
      </c>
      <c r="E71" s="1">
        <v>0</v>
      </c>
      <c r="F71" s="1">
        <v>0</v>
      </c>
      <c r="G71" s="1" t="s">
        <v>21</v>
      </c>
      <c r="H71" s="1" t="s">
        <v>21</v>
      </c>
      <c r="I71" s="1" t="s">
        <v>21</v>
      </c>
      <c r="J71" s="1" t="s">
        <v>21</v>
      </c>
      <c r="K71" s="1" t="s">
        <v>21</v>
      </c>
    </row>
    <row r="72" spans="1:11" s="1" customFormat="1">
      <c r="A72" s="4">
        <v>45035</v>
      </c>
      <c r="B72" s="1" t="s">
        <v>21</v>
      </c>
      <c r="C72" s="1">
        <v>0</v>
      </c>
      <c r="D72" s="1">
        <v>0</v>
      </c>
      <c r="E72" s="1">
        <v>0</v>
      </c>
      <c r="F72" s="1">
        <v>0</v>
      </c>
      <c r="G72" s="1" t="s">
        <v>21</v>
      </c>
      <c r="H72" s="1" t="s">
        <v>21</v>
      </c>
      <c r="I72" s="1" t="s">
        <v>105</v>
      </c>
      <c r="J72" s="1" t="s">
        <v>84</v>
      </c>
      <c r="K72" s="1" t="s">
        <v>84</v>
      </c>
    </row>
    <row r="73" spans="1:11" s="1" customFormat="1">
      <c r="A73" s="4">
        <v>45036</v>
      </c>
      <c r="B73" s="1" t="s">
        <v>21</v>
      </c>
      <c r="C73" s="1">
        <v>0</v>
      </c>
      <c r="D73" s="1">
        <v>0</v>
      </c>
      <c r="E73" s="1">
        <v>0</v>
      </c>
      <c r="F73" s="1">
        <v>0</v>
      </c>
      <c r="G73" s="1" t="s">
        <v>21</v>
      </c>
      <c r="H73" s="1" t="s">
        <v>21</v>
      </c>
      <c r="I73" s="1" t="s">
        <v>21</v>
      </c>
      <c r="J73" s="1" t="s">
        <v>140</v>
      </c>
      <c r="K73" s="1" t="s">
        <v>140</v>
      </c>
    </row>
    <row r="74" spans="1:11" s="1" customFormat="1">
      <c r="A74" s="4">
        <v>45037</v>
      </c>
      <c r="B74" s="1" t="s">
        <v>21</v>
      </c>
      <c r="C74" s="1">
        <v>0</v>
      </c>
      <c r="D74" s="1">
        <v>0</v>
      </c>
      <c r="E74" s="1">
        <v>0</v>
      </c>
      <c r="F74" s="1">
        <v>0</v>
      </c>
      <c r="G74" s="1" t="s">
        <v>21</v>
      </c>
      <c r="H74" s="1" t="s">
        <v>21</v>
      </c>
      <c r="I74" s="1" t="s">
        <v>21</v>
      </c>
      <c r="J74" s="1" t="s">
        <v>141</v>
      </c>
      <c r="K74" s="1" t="s">
        <v>161</v>
      </c>
    </row>
    <row r="75" spans="1:11" s="1" customFormat="1">
      <c r="A75" s="4">
        <v>45040</v>
      </c>
      <c r="B75" s="1" t="s">
        <v>21</v>
      </c>
      <c r="C75" s="1">
        <v>0</v>
      </c>
      <c r="D75" s="1">
        <v>0</v>
      </c>
      <c r="E75" s="1">
        <v>0</v>
      </c>
      <c r="F75" s="1">
        <v>0</v>
      </c>
      <c r="G75" s="1" t="s">
        <v>21</v>
      </c>
      <c r="H75" s="1">
        <v>0</v>
      </c>
      <c r="I75" s="1">
        <v>0</v>
      </c>
      <c r="J75" s="1">
        <v>0</v>
      </c>
      <c r="K75" s="1">
        <v>0</v>
      </c>
    </row>
    <row r="76" spans="1:11" s="1" customFormat="1">
      <c r="A76" s="4">
        <v>45041</v>
      </c>
      <c r="B76" s="1" t="s">
        <v>21</v>
      </c>
      <c r="C76" s="1">
        <v>0</v>
      </c>
      <c r="D76" s="1">
        <v>0</v>
      </c>
      <c r="E76" s="1">
        <v>0</v>
      </c>
      <c r="F76" s="1">
        <v>0</v>
      </c>
      <c r="G76" s="1" t="s">
        <v>21</v>
      </c>
      <c r="H76" s="1">
        <v>0</v>
      </c>
      <c r="I76" s="1">
        <v>0</v>
      </c>
      <c r="J76" s="1">
        <v>0</v>
      </c>
      <c r="K76" s="1">
        <v>0</v>
      </c>
    </row>
    <row r="77" spans="1:11" s="1" customFormat="1">
      <c r="A77" s="4">
        <v>45042</v>
      </c>
      <c r="B77" s="1" t="s">
        <v>21</v>
      </c>
      <c r="C77" s="1">
        <v>0</v>
      </c>
      <c r="D77" s="1">
        <v>0</v>
      </c>
      <c r="E77" s="1">
        <v>0</v>
      </c>
      <c r="F77" s="1">
        <v>0</v>
      </c>
      <c r="G77" s="1" t="s">
        <v>21</v>
      </c>
      <c r="H77" s="1">
        <v>0</v>
      </c>
      <c r="I77" s="1">
        <v>0</v>
      </c>
      <c r="J77" s="1">
        <v>0</v>
      </c>
      <c r="K77" s="1">
        <v>0</v>
      </c>
    </row>
    <row r="78" spans="1:11" s="1" customFormat="1">
      <c r="A78" s="4">
        <v>45043</v>
      </c>
      <c r="B78" s="1" t="s">
        <v>21</v>
      </c>
      <c r="C78" s="1">
        <v>0</v>
      </c>
      <c r="D78" s="1">
        <v>0</v>
      </c>
      <c r="E78" s="1">
        <v>0</v>
      </c>
      <c r="F78" s="1">
        <v>0</v>
      </c>
      <c r="G78" s="1" t="s">
        <v>21</v>
      </c>
      <c r="H78" s="1">
        <v>0</v>
      </c>
      <c r="I78" s="1">
        <v>0</v>
      </c>
      <c r="J78" s="1">
        <v>0</v>
      </c>
      <c r="K78" s="1">
        <v>0</v>
      </c>
    </row>
    <row r="79" spans="1:11" s="1" customFormat="1">
      <c r="A79" s="4">
        <v>45044</v>
      </c>
      <c r="B79" s="1" t="s">
        <v>21</v>
      </c>
      <c r="C79" s="1">
        <v>0</v>
      </c>
      <c r="D79" s="1">
        <v>0</v>
      </c>
      <c r="E79" s="1">
        <v>0</v>
      </c>
      <c r="F79" s="1">
        <v>0</v>
      </c>
      <c r="G79" s="1" t="s">
        <v>21</v>
      </c>
      <c r="H79" s="1">
        <v>0</v>
      </c>
      <c r="I79" s="1">
        <v>0</v>
      </c>
      <c r="J79" s="1">
        <v>0</v>
      </c>
      <c r="K79" s="1">
        <v>0</v>
      </c>
    </row>
    <row r="80" spans="1:11" s="1" customFormat="1">
      <c r="A80" s="4">
        <v>45047</v>
      </c>
      <c r="B80" s="1" t="s">
        <v>21</v>
      </c>
      <c r="C80" s="1">
        <v>0</v>
      </c>
      <c r="D80" s="1">
        <v>0</v>
      </c>
      <c r="E80" s="1">
        <v>0</v>
      </c>
      <c r="F80" s="1">
        <v>0</v>
      </c>
      <c r="G80" s="1" t="s">
        <v>21</v>
      </c>
      <c r="H80" s="1">
        <v>0</v>
      </c>
      <c r="I80" s="1">
        <v>0</v>
      </c>
      <c r="J80" s="1">
        <v>0</v>
      </c>
      <c r="K80" s="1">
        <v>0</v>
      </c>
    </row>
    <row r="81" spans="1:11" s="1" customFormat="1">
      <c r="A81" s="4">
        <v>45048</v>
      </c>
      <c r="B81" s="1" t="s">
        <v>21</v>
      </c>
      <c r="C81" s="1">
        <v>0</v>
      </c>
      <c r="D81" s="1">
        <v>0</v>
      </c>
      <c r="E81" s="1">
        <v>0</v>
      </c>
      <c r="F81" s="1">
        <v>0</v>
      </c>
      <c r="G81" s="1" t="s">
        <v>21</v>
      </c>
      <c r="H81" s="1">
        <v>0</v>
      </c>
      <c r="I81" s="1">
        <v>0</v>
      </c>
      <c r="J81" s="1">
        <v>0</v>
      </c>
      <c r="K81" s="1">
        <v>0</v>
      </c>
    </row>
    <row r="82" spans="1:11" s="1" customFormat="1">
      <c r="A82" s="4">
        <v>45049</v>
      </c>
      <c r="B82" s="1" t="s">
        <v>21</v>
      </c>
      <c r="C82" s="1">
        <v>0</v>
      </c>
      <c r="D82" s="1">
        <v>0</v>
      </c>
      <c r="E82" s="1">
        <v>0</v>
      </c>
      <c r="F82" s="1">
        <v>0</v>
      </c>
      <c r="G82" s="1" t="s">
        <v>21</v>
      </c>
      <c r="H82" s="1">
        <v>0</v>
      </c>
      <c r="I82" s="1">
        <v>0</v>
      </c>
      <c r="J82" s="1">
        <v>0</v>
      </c>
      <c r="K82" s="1">
        <v>0</v>
      </c>
    </row>
    <row r="83" spans="1:11" s="1" customFormat="1">
      <c r="A83" s="4">
        <v>45050</v>
      </c>
      <c r="B83" s="1" t="s">
        <v>21</v>
      </c>
      <c r="C83" s="1" t="s">
        <v>21</v>
      </c>
      <c r="D83" s="1" t="s">
        <v>21</v>
      </c>
      <c r="E83" s="1" t="s">
        <v>21</v>
      </c>
      <c r="F83" s="1" t="s">
        <v>21</v>
      </c>
      <c r="G83" s="1" t="s">
        <v>21</v>
      </c>
      <c r="H83" s="1">
        <v>0</v>
      </c>
      <c r="I83" s="1">
        <v>0</v>
      </c>
      <c r="J83" s="1">
        <v>0</v>
      </c>
      <c r="K83" s="1">
        <v>0</v>
      </c>
    </row>
    <row r="84" spans="1:11" s="1" customFormat="1">
      <c r="A84" s="4">
        <v>45051</v>
      </c>
      <c r="B84" s="1" t="s">
        <v>21</v>
      </c>
      <c r="C84" s="1" t="s">
        <v>21</v>
      </c>
      <c r="D84" s="1" t="s">
        <v>21</v>
      </c>
      <c r="E84" s="1" t="s">
        <v>21</v>
      </c>
      <c r="F84" s="1" t="s">
        <v>21</v>
      </c>
      <c r="G84" s="1" t="s">
        <v>21</v>
      </c>
      <c r="H84" s="1">
        <v>0</v>
      </c>
      <c r="I84" s="1">
        <v>0</v>
      </c>
      <c r="J84" s="1">
        <v>0</v>
      </c>
      <c r="K84" s="1">
        <v>0</v>
      </c>
    </row>
    <row r="85" spans="1:11" s="1" customFormat="1">
      <c r="A85" s="4">
        <v>45054</v>
      </c>
      <c r="B85" s="1" t="s">
        <v>21</v>
      </c>
      <c r="C85" s="1" t="s">
        <v>21</v>
      </c>
      <c r="D85" s="1" t="s">
        <v>21</v>
      </c>
      <c r="E85" s="1" t="s">
        <v>21</v>
      </c>
      <c r="F85" s="1" t="s">
        <v>21</v>
      </c>
      <c r="G85" s="1" t="s">
        <v>21</v>
      </c>
      <c r="H85" s="1">
        <v>0</v>
      </c>
      <c r="I85" s="1">
        <v>0</v>
      </c>
      <c r="J85" s="1">
        <v>0</v>
      </c>
      <c r="K85" s="1">
        <v>0</v>
      </c>
    </row>
    <row r="86" spans="1:11" s="1" customFormat="1">
      <c r="A86" s="4">
        <v>45055</v>
      </c>
      <c r="B86" s="1" t="s">
        <v>21</v>
      </c>
      <c r="C86" s="1" t="s">
        <v>21</v>
      </c>
      <c r="D86" s="1" t="s">
        <v>21</v>
      </c>
      <c r="E86" s="1" t="s">
        <v>21</v>
      </c>
      <c r="F86" s="1" t="s">
        <v>21</v>
      </c>
      <c r="G86" s="1" t="s">
        <v>21</v>
      </c>
      <c r="H86" s="1">
        <v>0</v>
      </c>
      <c r="I86" s="1">
        <v>0</v>
      </c>
      <c r="J86" s="1">
        <v>0</v>
      </c>
      <c r="K86" s="1">
        <v>0</v>
      </c>
    </row>
    <row r="87" spans="1:11" s="1" customFormat="1">
      <c r="A87" s="4">
        <v>45056</v>
      </c>
      <c r="B87" s="1" t="s">
        <v>21</v>
      </c>
      <c r="C87" s="1" t="s">
        <v>21</v>
      </c>
      <c r="D87" s="1" t="s">
        <v>21</v>
      </c>
      <c r="E87" s="1" t="s">
        <v>21</v>
      </c>
      <c r="F87" s="1" t="s">
        <v>21</v>
      </c>
      <c r="G87" s="1" t="s">
        <v>21</v>
      </c>
      <c r="H87" s="1">
        <v>0</v>
      </c>
      <c r="I87" s="1">
        <v>0</v>
      </c>
      <c r="J87" s="1">
        <v>0</v>
      </c>
      <c r="K87" s="1">
        <v>0</v>
      </c>
    </row>
    <row r="88" spans="1:11" s="1" customFormat="1">
      <c r="A88" s="4">
        <v>45057</v>
      </c>
      <c r="B88" s="1" t="s">
        <v>21</v>
      </c>
      <c r="C88" s="1" t="s">
        <v>21</v>
      </c>
      <c r="D88" s="1" t="s">
        <v>21</v>
      </c>
      <c r="E88" s="1" t="s">
        <v>21</v>
      </c>
      <c r="F88" s="1" t="s">
        <v>21</v>
      </c>
      <c r="G88" s="1" t="s">
        <v>21</v>
      </c>
      <c r="H88" s="1">
        <v>0</v>
      </c>
      <c r="I88" s="1">
        <v>0</v>
      </c>
      <c r="J88" s="1">
        <v>0</v>
      </c>
      <c r="K88" s="1">
        <v>0</v>
      </c>
    </row>
    <row r="89" spans="1:11" s="1" customFormat="1">
      <c r="A89" s="4">
        <v>45058</v>
      </c>
      <c r="B89" s="1" t="s">
        <v>21</v>
      </c>
      <c r="C89" s="1" t="s">
        <v>21</v>
      </c>
      <c r="D89" s="1" t="s">
        <v>21</v>
      </c>
      <c r="E89" s="1" t="s">
        <v>21</v>
      </c>
      <c r="F89" s="1" t="s">
        <v>21</v>
      </c>
      <c r="G89" s="1" t="s">
        <v>21</v>
      </c>
      <c r="H89" s="1">
        <v>0</v>
      </c>
      <c r="I89" s="1">
        <v>0</v>
      </c>
      <c r="J89" s="1">
        <v>0</v>
      </c>
      <c r="K89" s="1">
        <v>0</v>
      </c>
    </row>
    <row r="90" spans="1:11" s="1" customFormat="1">
      <c r="A90" s="4">
        <v>45061</v>
      </c>
      <c r="B90" s="1" t="s">
        <v>21</v>
      </c>
      <c r="C90" s="1" t="s">
        <v>21</v>
      </c>
      <c r="D90" s="1" t="s">
        <v>21</v>
      </c>
      <c r="E90" s="1" t="s">
        <v>21</v>
      </c>
      <c r="F90" s="1" t="s">
        <v>21</v>
      </c>
      <c r="G90" s="1" t="s">
        <v>21</v>
      </c>
      <c r="H90" s="1" t="s">
        <v>21</v>
      </c>
      <c r="I90" s="1" t="s">
        <v>21</v>
      </c>
      <c r="J90" s="1" t="s">
        <v>21</v>
      </c>
      <c r="K90" s="1" t="s">
        <v>21</v>
      </c>
    </row>
    <row r="91" spans="1:11" s="1" customFormat="1">
      <c r="A91" s="4">
        <v>45062</v>
      </c>
      <c r="B91" s="1" t="s">
        <v>21</v>
      </c>
      <c r="C91" s="1" t="s">
        <v>21</v>
      </c>
      <c r="D91" s="1" t="s">
        <v>21</v>
      </c>
      <c r="E91" s="1" t="s">
        <v>21</v>
      </c>
      <c r="F91" s="1" t="s">
        <v>21</v>
      </c>
      <c r="G91" s="1" t="s">
        <v>21</v>
      </c>
      <c r="H91" s="1" t="s">
        <v>21</v>
      </c>
      <c r="I91" s="1" t="s">
        <v>126</v>
      </c>
      <c r="J91" s="1" t="s">
        <v>126</v>
      </c>
      <c r="K91" s="1" t="s">
        <v>126</v>
      </c>
    </row>
    <row r="92" spans="1:11" s="1" customFormat="1">
      <c r="A92" s="4">
        <v>45063</v>
      </c>
      <c r="B92" s="1" t="s">
        <v>21</v>
      </c>
      <c r="C92" s="1" t="s">
        <v>21</v>
      </c>
      <c r="D92" s="1" t="s">
        <v>21</v>
      </c>
      <c r="E92" s="1" t="s">
        <v>21</v>
      </c>
      <c r="F92" s="1" t="s">
        <v>21</v>
      </c>
      <c r="G92" s="1" t="s">
        <v>21</v>
      </c>
      <c r="H92" s="1" t="s">
        <v>21</v>
      </c>
      <c r="I92" s="1" t="s">
        <v>21</v>
      </c>
      <c r="J92" s="1" t="s">
        <v>21</v>
      </c>
      <c r="K92" s="1" t="s">
        <v>21</v>
      </c>
    </row>
    <row r="93" spans="1:11" s="1" customFormat="1">
      <c r="A93" s="4">
        <v>45064</v>
      </c>
      <c r="B93" s="1" t="s">
        <v>21</v>
      </c>
      <c r="C93" s="1">
        <v>0</v>
      </c>
      <c r="D93" s="1">
        <v>0</v>
      </c>
      <c r="E93" s="1">
        <v>0</v>
      </c>
      <c r="F93" s="1">
        <v>0</v>
      </c>
      <c r="G93" s="1" t="s">
        <v>21</v>
      </c>
      <c r="H93" s="1" t="s">
        <v>21</v>
      </c>
      <c r="I93" s="1" t="s">
        <v>127</v>
      </c>
      <c r="J93" s="1" t="s">
        <v>127</v>
      </c>
      <c r="K93" s="1" t="s">
        <v>127</v>
      </c>
    </row>
    <row r="94" spans="1:11" s="1" customFormat="1">
      <c r="A94" s="4">
        <v>45065</v>
      </c>
      <c r="B94" s="1" t="s">
        <v>21</v>
      </c>
      <c r="C94" s="1">
        <v>0</v>
      </c>
      <c r="D94" s="1">
        <v>0</v>
      </c>
      <c r="E94" s="1">
        <v>0</v>
      </c>
      <c r="F94" s="1">
        <v>0</v>
      </c>
      <c r="G94" s="1" t="s">
        <v>21</v>
      </c>
      <c r="H94" s="1" t="s">
        <v>21</v>
      </c>
      <c r="I94" s="1" t="s">
        <v>21</v>
      </c>
      <c r="J94" s="1" t="s">
        <v>142</v>
      </c>
      <c r="K94" s="1" t="s">
        <v>142</v>
      </c>
    </row>
    <row r="95" spans="1:11" s="1" customFormat="1">
      <c r="A95" s="4">
        <v>45069</v>
      </c>
      <c r="B95" s="1" t="s">
        <v>21</v>
      </c>
      <c r="C95" s="1">
        <v>0</v>
      </c>
      <c r="D95" s="1">
        <v>0</v>
      </c>
      <c r="E95" s="1">
        <v>0</v>
      </c>
      <c r="F95" s="1">
        <v>0</v>
      </c>
      <c r="G95" s="1" t="s">
        <v>21</v>
      </c>
      <c r="H95" s="1" t="s">
        <v>86</v>
      </c>
      <c r="I95" s="1" t="s">
        <v>99</v>
      </c>
      <c r="J95" s="1" t="s">
        <v>143</v>
      </c>
      <c r="K95" s="1" t="s">
        <v>143</v>
      </c>
    </row>
    <row r="96" spans="1:11" s="1" customFormat="1">
      <c r="A96" s="4">
        <v>45070</v>
      </c>
      <c r="B96" s="1" t="s">
        <v>21</v>
      </c>
      <c r="C96" s="1">
        <v>0</v>
      </c>
      <c r="D96" s="1">
        <v>0</v>
      </c>
      <c r="E96" s="1">
        <v>0</v>
      </c>
      <c r="F96" s="1">
        <v>0</v>
      </c>
      <c r="G96" s="1" t="s">
        <v>21</v>
      </c>
      <c r="H96" s="1">
        <v>0</v>
      </c>
      <c r="I96" s="1">
        <v>0</v>
      </c>
      <c r="J96" s="1">
        <v>0</v>
      </c>
      <c r="K96" s="1">
        <v>0</v>
      </c>
    </row>
    <row r="97" spans="1:11" s="1" customFormat="1">
      <c r="A97" s="4">
        <v>45071</v>
      </c>
      <c r="B97" s="1" t="s">
        <v>21</v>
      </c>
      <c r="C97" s="1">
        <v>0</v>
      </c>
      <c r="D97" s="1">
        <v>0</v>
      </c>
      <c r="E97" s="1">
        <v>0</v>
      </c>
      <c r="F97" s="1">
        <v>0</v>
      </c>
      <c r="G97" s="1" t="s">
        <v>21</v>
      </c>
      <c r="H97" s="1">
        <v>0</v>
      </c>
      <c r="I97" s="1">
        <v>0</v>
      </c>
      <c r="J97" s="1">
        <v>0</v>
      </c>
      <c r="K97" s="1">
        <v>0</v>
      </c>
    </row>
    <row r="98" spans="1:11" s="1" customFormat="1">
      <c r="A98" s="4">
        <v>45072</v>
      </c>
      <c r="B98" s="1" t="s">
        <v>21</v>
      </c>
      <c r="C98" s="1">
        <v>0</v>
      </c>
      <c r="D98" s="1">
        <v>0</v>
      </c>
      <c r="E98" s="1">
        <v>0</v>
      </c>
      <c r="F98" s="1">
        <v>0</v>
      </c>
      <c r="G98" s="1" t="s">
        <v>21</v>
      </c>
      <c r="H98" s="1">
        <v>0</v>
      </c>
      <c r="I98" s="1">
        <v>0</v>
      </c>
      <c r="J98" s="1">
        <v>0</v>
      </c>
      <c r="K98" s="1">
        <v>0</v>
      </c>
    </row>
    <row r="99" spans="1:11" s="1" customFormat="1">
      <c r="A99" s="4">
        <v>45075</v>
      </c>
      <c r="B99" s="1" t="s">
        <v>21</v>
      </c>
      <c r="C99" s="1">
        <v>0</v>
      </c>
      <c r="D99" s="1">
        <v>0</v>
      </c>
      <c r="E99" s="1">
        <v>0</v>
      </c>
      <c r="F99" s="1">
        <v>0</v>
      </c>
      <c r="G99" s="1" t="s">
        <v>21</v>
      </c>
      <c r="H99" s="1">
        <v>0</v>
      </c>
      <c r="I99" s="1">
        <v>0</v>
      </c>
      <c r="J99" s="1">
        <v>0</v>
      </c>
      <c r="K99" s="1">
        <v>0</v>
      </c>
    </row>
    <row r="100" spans="1:11" s="1" customFormat="1">
      <c r="A100" s="4">
        <v>45076</v>
      </c>
      <c r="B100" s="1" t="s">
        <v>21</v>
      </c>
      <c r="C100" s="1">
        <v>0</v>
      </c>
      <c r="D100" s="1">
        <v>0</v>
      </c>
      <c r="E100" s="1">
        <v>0</v>
      </c>
      <c r="F100" s="1">
        <v>0</v>
      </c>
      <c r="G100" s="1" t="s">
        <v>21</v>
      </c>
      <c r="H100" s="1">
        <v>0</v>
      </c>
      <c r="I100" s="1">
        <v>0</v>
      </c>
      <c r="J100" s="1">
        <v>0</v>
      </c>
      <c r="K100" s="1">
        <v>0</v>
      </c>
    </row>
    <row r="101" spans="1:11" s="1" customFormat="1">
      <c r="A101" s="4">
        <v>45077</v>
      </c>
      <c r="B101" s="1" t="s">
        <v>21</v>
      </c>
      <c r="C101" s="1">
        <v>0</v>
      </c>
      <c r="D101" s="1">
        <v>0</v>
      </c>
      <c r="E101" s="1">
        <v>0</v>
      </c>
      <c r="F101" s="1">
        <v>0</v>
      </c>
      <c r="G101" s="1" t="s">
        <v>21</v>
      </c>
      <c r="H101" s="1">
        <v>0</v>
      </c>
      <c r="I101" s="1">
        <v>0</v>
      </c>
      <c r="J101" s="1">
        <v>0</v>
      </c>
      <c r="K101" s="1">
        <v>0</v>
      </c>
    </row>
    <row r="102" spans="1:11" s="1" customFormat="1">
      <c r="A102" s="4">
        <v>45078</v>
      </c>
      <c r="B102" s="1" t="s">
        <v>21</v>
      </c>
      <c r="C102" s="1" t="s">
        <v>21</v>
      </c>
      <c r="D102" s="1" t="s">
        <v>21</v>
      </c>
      <c r="E102" s="1" t="s">
        <v>21</v>
      </c>
      <c r="F102" s="1" t="s">
        <v>21</v>
      </c>
      <c r="G102" s="1" t="s">
        <v>21</v>
      </c>
      <c r="H102" s="1">
        <v>0</v>
      </c>
      <c r="I102" s="1">
        <v>0</v>
      </c>
      <c r="J102" s="1">
        <v>0</v>
      </c>
      <c r="K102" s="1">
        <v>0</v>
      </c>
    </row>
    <row r="103" spans="1:11" s="1" customFormat="1">
      <c r="A103" s="4">
        <v>45079</v>
      </c>
      <c r="B103" s="1" t="s">
        <v>21</v>
      </c>
      <c r="C103" s="1" t="s">
        <v>21</v>
      </c>
      <c r="D103" s="1" t="s">
        <v>21</v>
      </c>
      <c r="E103" s="1" t="s">
        <v>21</v>
      </c>
      <c r="F103" s="1" t="s">
        <v>21</v>
      </c>
      <c r="G103" s="1" t="s">
        <v>21</v>
      </c>
      <c r="H103" s="1">
        <v>0</v>
      </c>
      <c r="I103" s="1">
        <v>0</v>
      </c>
      <c r="J103" s="1">
        <v>0</v>
      </c>
      <c r="K103" s="1">
        <v>0</v>
      </c>
    </row>
    <row r="104" spans="1:11" s="1" customFormat="1">
      <c r="A104" s="4">
        <v>45082</v>
      </c>
      <c r="B104" s="1" t="s">
        <v>21</v>
      </c>
      <c r="C104" s="1" t="s">
        <v>21</v>
      </c>
      <c r="D104" s="1" t="s">
        <v>21</v>
      </c>
      <c r="E104" s="1" t="s">
        <v>21</v>
      </c>
      <c r="F104" s="1" t="s">
        <v>21</v>
      </c>
      <c r="G104" s="1" t="s">
        <v>21</v>
      </c>
      <c r="H104" s="1">
        <v>0</v>
      </c>
      <c r="I104" s="1">
        <v>0</v>
      </c>
      <c r="J104" s="1">
        <v>0</v>
      </c>
      <c r="K104" s="1">
        <v>0</v>
      </c>
    </row>
    <row r="105" spans="1:11" s="1" customFormat="1">
      <c r="A105" s="4">
        <v>45083</v>
      </c>
      <c r="B105" s="1" t="s">
        <v>21</v>
      </c>
      <c r="C105" s="1" t="s">
        <v>21</v>
      </c>
      <c r="D105" s="1" t="s">
        <v>21</v>
      </c>
      <c r="E105" s="1" t="s">
        <v>21</v>
      </c>
      <c r="F105" s="1" t="s">
        <v>21</v>
      </c>
      <c r="G105" s="1" t="s">
        <v>21</v>
      </c>
      <c r="H105" s="1">
        <v>0</v>
      </c>
      <c r="I105" s="1">
        <v>0</v>
      </c>
      <c r="J105" s="1">
        <v>0</v>
      </c>
      <c r="K105" s="1">
        <v>0</v>
      </c>
    </row>
    <row r="106" spans="1:11" s="1" customFormat="1">
      <c r="A106" s="4">
        <v>45084</v>
      </c>
      <c r="B106" s="1" t="s">
        <v>21</v>
      </c>
      <c r="C106" s="1" t="s">
        <v>21</v>
      </c>
      <c r="D106" s="1" t="s">
        <v>21</v>
      </c>
      <c r="E106" s="1" t="s">
        <v>21</v>
      </c>
      <c r="F106" s="1" t="s">
        <v>21</v>
      </c>
      <c r="G106" s="1" t="s">
        <v>21</v>
      </c>
      <c r="H106" s="1">
        <v>0</v>
      </c>
      <c r="I106" s="1">
        <v>0</v>
      </c>
      <c r="J106" s="1">
        <v>0</v>
      </c>
      <c r="K106" s="1">
        <v>0</v>
      </c>
    </row>
    <row r="107" spans="1:11" s="1" customFormat="1">
      <c r="A107" s="4">
        <v>45085</v>
      </c>
      <c r="B107" s="1" t="s">
        <v>21</v>
      </c>
      <c r="C107" s="1" t="s">
        <v>21</v>
      </c>
      <c r="D107" s="1" t="s">
        <v>21</v>
      </c>
      <c r="E107" s="1" t="s">
        <v>60</v>
      </c>
      <c r="F107" s="1" t="s">
        <v>60</v>
      </c>
      <c r="G107" s="1" t="s">
        <v>21</v>
      </c>
      <c r="H107" s="1">
        <v>0</v>
      </c>
      <c r="I107" s="1">
        <v>0</v>
      </c>
      <c r="J107" s="1">
        <v>0</v>
      </c>
      <c r="K107" s="1">
        <v>0</v>
      </c>
    </row>
    <row r="108" spans="1:11" s="1" customFormat="1">
      <c r="A108" s="4">
        <v>45086</v>
      </c>
      <c r="B108" s="1" t="s">
        <v>21</v>
      </c>
      <c r="C108" s="1" t="s">
        <v>21</v>
      </c>
      <c r="D108" s="1" t="s">
        <v>21</v>
      </c>
      <c r="E108" s="1" t="s">
        <v>21</v>
      </c>
      <c r="F108" s="1" t="s">
        <v>21</v>
      </c>
      <c r="G108" s="1" t="s">
        <v>21</v>
      </c>
      <c r="H108" s="1">
        <v>0</v>
      </c>
      <c r="I108" s="1">
        <v>0</v>
      </c>
      <c r="J108" s="1">
        <v>0</v>
      </c>
      <c r="K108" s="1">
        <v>0</v>
      </c>
    </row>
    <row r="109" spans="1:11" s="1" customFormat="1">
      <c r="A109" s="4">
        <v>45089</v>
      </c>
      <c r="B109" s="1" t="s">
        <v>21</v>
      </c>
      <c r="C109" s="1" t="s">
        <v>21</v>
      </c>
      <c r="D109" s="1" t="s">
        <v>44</v>
      </c>
      <c r="E109" s="1" t="s">
        <v>61</v>
      </c>
      <c r="F109" s="1" t="s">
        <v>61</v>
      </c>
      <c r="G109" s="1" t="s">
        <v>21</v>
      </c>
      <c r="H109" s="1">
        <v>0</v>
      </c>
      <c r="I109" s="1">
        <v>0</v>
      </c>
      <c r="J109" s="1">
        <v>0</v>
      </c>
      <c r="K109" s="1">
        <v>0</v>
      </c>
    </row>
    <row r="110" spans="1:11" s="1" customFormat="1">
      <c r="A110" s="4">
        <v>45090</v>
      </c>
      <c r="B110" s="1" t="s">
        <v>21</v>
      </c>
      <c r="C110" s="1" t="s">
        <v>21</v>
      </c>
      <c r="D110" s="1" t="s">
        <v>21</v>
      </c>
      <c r="E110" s="1" t="s">
        <v>21</v>
      </c>
      <c r="F110" s="1" t="s">
        <v>21</v>
      </c>
      <c r="G110" s="1" t="s">
        <v>21</v>
      </c>
      <c r="H110" s="1">
        <v>0</v>
      </c>
      <c r="I110" s="1">
        <v>0</v>
      </c>
      <c r="J110" s="1">
        <v>0</v>
      </c>
      <c r="K110" s="1">
        <v>0</v>
      </c>
    </row>
    <row r="111" spans="1:11" s="1" customFormat="1">
      <c r="A111" s="4">
        <v>45091</v>
      </c>
      <c r="B111" s="1" t="s">
        <v>21</v>
      </c>
      <c r="C111" s="1" t="s">
        <v>21</v>
      </c>
      <c r="D111" s="1" t="s">
        <v>21</v>
      </c>
      <c r="E111" s="1" t="s">
        <v>21</v>
      </c>
      <c r="F111" s="1" t="s">
        <v>73</v>
      </c>
      <c r="G111" s="1" t="s">
        <v>21</v>
      </c>
      <c r="H111" s="1">
        <v>0</v>
      </c>
      <c r="I111" s="1">
        <v>0</v>
      </c>
      <c r="J111" s="1">
        <v>0</v>
      </c>
      <c r="K111" s="1">
        <v>0</v>
      </c>
    </row>
    <row r="112" spans="1:11" s="1" customFormat="1">
      <c r="A112" s="4">
        <v>45092</v>
      </c>
      <c r="B112" s="1" t="s">
        <v>21</v>
      </c>
      <c r="C112" s="1">
        <v>0</v>
      </c>
      <c r="D112" s="1">
        <v>0</v>
      </c>
      <c r="E112" s="1">
        <v>0</v>
      </c>
      <c r="F112" s="1">
        <v>0</v>
      </c>
      <c r="G112" s="1" t="s">
        <v>21</v>
      </c>
      <c r="H112" s="1">
        <v>0</v>
      </c>
      <c r="I112" s="1">
        <v>0</v>
      </c>
      <c r="J112" s="1">
        <v>0</v>
      </c>
      <c r="K112" s="1">
        <v>0</v>
      </c>
    </row>
    <row r="113" spans="1:11" s="1" customFormat="1">
      <c r="A113" s="4">
        <v>45093</v>
      </c>
      <c r="B113" s="1" t="s">
        <v>21</v>
      </c>
      <c r="C113" s="1">
        <v>0</v>
      </c>
      <c r="D113" s="1">
        <v>0</v>
      </c>
      <c r="E113" s="1">
        <v>0</v>
      </c>
      <c r="F113" s="1">
        <v>0</v>
      </c>
      <c r="G113" s="1" t="s">
        <v>21</v>
      </c>
      <c r="H113" s="1" t="s">
        <v>21</v>
      </c>
      <c r="I113" s="1" t="s">
        <v>21</v>
      </c>
      <c r="J113" s="1" t="s">
        <v>21</v>
      </c>
      <c r="K113" s="1" t="s">
        <v>21</v>
      </c>
    </row>
    <row r="114" spans="1:11" s="1" customFormat="1">
      <c r="A114" s="4">
        <v>45096</v>
      </c>
      <c r="B114" s="1" t="s">
        <v>21</v>
      </c>
      <c r="C114" s="1">
        <v>0</v>
      </c>
      <c r="D114" s="1">
        <v>0</v>
      </c>
      <c r="E114" s="1">
        <v>0</v>
      </c>
      <c r="F114" s="1">
        <v>0</v>
      </c>
      <c r="G114" s="1" t="s">
        <v>21</v>
      </c>
      <c r="H114" s="1" t="s">
        <v>21</v>
      </c>
      <c r="I114" s="1" t="s">
        <v>21</v>
      </c>
      <c r="J114" s="1" t="s">
        <v>21</v>
      </c>
      <c r="K114" s="1" t="s">
        <v>21</v>
      </c>
    </row>
    <row r="115" spans="1:11" s="1" customFormat="1">
      <c r="A115" s="4">
        <v>45097</v>
      </c>
      <c r="B115" s="1" t="s">
        <v>21</v>
      </c>
      <c r="C115" s="1">
        <v>0</v>
      </c>
      <c r="D115" s="1">
        <v>0</v>
      </c>
      <c r="E115" s="1">
        <v>0</v>
      </c>
      <c r="F115" s="1">
        <v>0</v>
      </c>
      <c r="G115" s="1" t="s">
        <v>21</v>
      </c>
      <c r="H115" s="1" t="s">
        <v>21</v>
      </c>
      <c r="I115" s="1" t="s">
        <v>21</v>
      </c>
      <c r="J115" s="1" t="s">
        <v>21</v>
      </c>
      <c r="K115" s="1" t="s">
        <v>21</v>
      </c>
    </row>
    <row r="116" spans="1:11" s="1" customFormat="1">
      <c r="A116" s="4">
        <v>45098</v>
      </c>
      <c r="B116" s="1" t="s">
        <v>21</v>
      </c>
      <c r="C116" s="1">
        <v>0</v>
      </c>
      <c r="D116" s="1">
        <v>0</v>
      </c>
      <c r="E116" s="1">
        <v>0</v>
      </c>
      <c r="F116" s="1">
        <v>0</v>
      </c>
      <c r="G116" s="1" t="s">
        <v>21</v>
      </c>
      <c r="H116" s="1" t="s">
        <v>87</v>
      </c>
      <c r="I116" s="1" t="s">
        <v>87</v>
      </c>
      <c r="J116" s="1" t="s">
        <v>87</v>
      </c>
      <c r="K116" s="1" t="s">
        <v>87</v>
      </c>
    </row>
    <row r="117" spans="1:11" s="1" customFormat="1">
      <c r="A117" s="4">
        <v>45099</v>
      </c>
      <c r="B117" s="1" t="s">
        <v>21</v>
      </c>
      <c r="C117" s="1">
        <v>0</v>
      </c>
      <c r="D117" s="1">
        <v>0</v>
      </c>
      <c r="E117" s="1">
        <v>0</v>
      </c>
      <c r="F117" s="1">
        <v>0</v>
      </c>
      <c r="G117" s="1" t="s">
        <v>21</v>
      </c>
      <c r="H117" s="1" t="s">
        <v>88</v>
      </c>
      <c r="I117" s="1" t="s">
        <v>96</v>
      </c>
      <c r="J117" s="1" t="s">
        <v>96</v>
      </c>
      <c r="K117" s="1" t="s">
        <v>96</v>
      </c>
    </row>
    <row r="118" spans="1:11" s="1" customFormat="1">
      <c r="A118" s="4">
        <v>45100</v>
      </c>
      <c r="B118" s="1" t="s">
        <v>21</v>
      </c>
      <c r="C118" s="1">
        <v>0</v>
      </c>
      <c r="D118" s="1">
        <v>0</v>
      </c>
      <c r="E118" s="1">
        <v>0</v>
      </c>
      <c r="F118" s="1">
        <v>0</v>
      </c>
      <c r="G118" s="1" t="s">
        <v>21</v>
      </c>
      <c r="H118" s="1" t="s">
        <v>21</v>
      </c>
      <c r="I118" s="1" t="s">
        <v>21</v>
      </c>
      <c r="J118" s="1" t="s">
        <v>21</v>
      </c>
      <c r="K118" s="1" t="s">
        <v>162</v>
      </c>
    </row>
    <row r="119" spans="1:11" s="1" customFormat="1">
      <c r="A119" s="4">
        <v>45103</v>
      </c>
      <c r="B119" s="1" t="s">
        <v>21</v>
      </c>
      <c r="C119" s="1">
        <v>0</v>
      </c>
      <c r="D119" s="1">
        <v>0</v>
      </c>
      <c r="E119" s="1">
        <v>0</v>
      </c>
      <c r="F119" s="1">
        <v>0</v>
      </c>
      <c r="G119" s="1" t="s">
        <v>21</v>
      </c>
      <c r="H119" s="1">
        <v>0</v>
      </c>
      <c r="I119" s="1">
        <v>0</v>
      </c>
      <c r="J119" s="1">
        <v>0</v>
      </c>
      <c r="K119" s="1">
        <v>0</v>
      </c>
    </row>
    <row r="120" spans="1:11" s="1" customFormat="1">
      <c r="A120" s="4">
        <v>45104</v>
      </c>
      <c r="B120" s="1" t="s">
        <v>21</v>
      </c>
      <c r="C120" s="1">
        <v>0</v>
      </c>
      <c r="D120" s="1">
        <v>0</v>
      </c>
      <c r="E120" s="1">
        <v>0</v>
      </c>
      <c r="F120" s="1">
        <v>0</v>
      </c>
      <c r="G120" s="1" t="s">
        <v>21</v>
      </c>
      <c r="H120" s="1">
        <v>0</v>
      </c>
      <c r="I120" s="1">
        <v>0</v>
      </c>
      <c r="J120" s="1">
        <v>0</v>
      </c>
      <c r="K120" s="1">
        <v>0</v>
      </c>
    </row>
    <row r="121" spans="1:11" s="1" customFormat="1">
      <c r="A121" s="4">
        <v>45105</v>
      </c>
      <c r="B121" s="1" t="s">
        <v>21</v>
      </c>
      <c r="C121" s="1">
        <v>0</v>
      </c>
      <c r="D121" s="1">
        <v>0</v>
      </c>
      <c r="E121" s="1">
        <v>0</v>
      </c>
      <c r="F121" s="1">
        <v>0</v>
      </c>
      <c r="G121" s="1" t="s">
        <v>21</v>
      </c>
      <c r="H121" s="1">
        <v>0</v>
      </c>
      <c r="I121" s="1">
        <v>0</v>
      </c>
      <c r="J121" s="1">
        <v>0</v>
      </c>
      <c r="K121" s="1">
        <v>0</v>
      </c>
    </row>
    <row r="122" spans="1:11" s="1" customFormat="1">
      <c r="A122" s="4">
        <v>45106</v>
      </c>
      <c r="B122" s="1" t="s">
        <v>21</v>
      </c>
      <c r="C122" s="1">
        <v>0</v>
      </c>
      <c r="D122" s="1">
        <v>0</v>
      </c>
      <c r="E122" s="1">
        <v>0</v>
      </c>
      <c r="F122" s="1">
        <v>0</v>
      </c>
      <c r="G122" s="1" t="s">
        <v>21</v>
      </c>
      <c r="H122" s="1">
        <v>0</v>
      </c>
      <c r="I122" s="1">
        <v>0</v>
      </c>
      <c r="J122" s="1">
        <v>0</v>
      </c>
      <c r="K122" s="1">
        <v>0</v>
      </c>
    </row>
    <row r="123" spans="1:11" s="1" customFormat="1">
      <c r="A123" s="4">
        <v>45107</v>
      </c>
      <c r="B123" s="1" t="s">
        <v>21</v>
      </c>
      <c r="C123" s="1" t="s">
        <v>21</v>
      </c>
      <c r="D123" s="1" t="s">
        <v>21</v>
      </c>
      <c r="E123" s="1" t="s">
        <v>21</v>
      </c>
      <c r="F123" s="1" t="s">
        <v>21</v>
      </c>
      <c r="G123" s="1" t="s">
        <v>21</v>
      </c>
      <c r="H123" s="1">
        <v>0</v>
      </c>
      <c r="I123" s="1">
        <v>0</v>
      </c>
      <c r="J123" s="1">
        <v>0</v>
      </c>
      <c r="K123" s="1">
        <v>0</v>
      </c>
    </row>
    <row r="124" spans="1:11" s="1" customFormat="1">
      <c r="A124" s="4">
        <v>45110</v>
      </c>
      <c r="B124" s="1" t="s">
        <v>21</v>
      </c>
      <c r="C124" s="1" t="s">
        <v>21</v>
      </c>
      <c r="D124" s="1" t="s">
        <v>21</v>
      </c>
      <c r="E124" s="1" t="s">
        <v>21</v>
      </c>
      <c r="F124" s="1" t="s">
        <v>21</v>
      </c>
      <c r="G124" s="1" t="s">
        <v>21</v>
      </c>
      <c r="H124" s="1">
        <v>0</v>
      </c>
      <c r="I124" s="1">
        <v>0</v>
      </c>
      <c r="J124" s="1">
        <v>0</v>
      </c>
      <c r="K124" s="1">
        <v>0</v>
      </c>
    </row>
    <row r="125" spans="1:11" s="1" customFormat="1">
      <c r="A125" s="4">
        <v>45112</v>
      </c>
      <c r="B125" s="1" t="s">
        <v>21</v>
      </c>
      <c r="C125" s="1" t="s">
        <v>21</v>
      </c>
      <c r="D125" s="1" t="s">
        <v>21</v>
      </c>
      <c r="E125" s="1" t="s">
        <v>21</v>
      </c>
      <c r="F125" s="1" t="s">
        <v>21</v>
      </c>
      <c r="G125" s="1" t="s">
        <v>21</v>
      </c>
      <c r="H125" s="1">
        <v>0</v>
      </c>
      <c r="I125" s="1">
        <v>0</v>
      </c>
      <c r="J125" s="1">
        <v>0</v>
      </c>
      <c r="K125" s="1">
        <v>0</v>
      </c>
    </row>
    <row r="126" spans="1:11" s="1" customFormat="1">
      <c r="A126" s="4">
        <v>45113</v>
      </c>
      <c r="B126" s="1" t="s">
        <v>21</v>
      </c>
      <c r="C126" s="1" t="s">
        <v>21</v>
      </c>
      <c r="D126" s="1" t="s">
        <v>21</v>
      </c>
      <c r="E126" s="1" t="s">
        <v>21</v>
      </c>
      <c r="F126" s="1" t="s">
        <v>21</v>
      </c>
      <c r="G126" s="1" t="s">
        <v>21</v>
      </c>
      <c r="H126" s="1">
        <v>0</v>
      </c>
      <c r="I126" s="1">
        <v>0</v>
      </c>
      <c r="J126" s="1">
        <v>0</v>
      </c>
      <c r="K126" s="1">
        <v>0</v>
      </c>
    </row>
    <row r="127" spans="1:11" s="1" customFormat="1">
      <c r="A127" s="4">
        <v>45114</v>
      </c>
      <c r="B127" s="1" t="s">
        <v>21</v>
      </c>
      <c r="C127" s="1" t="s">
        <v>21</v>
      </c>
      <c r="D127" s="1" t="s">
        <v>21</v>
      </c>
      <c r="E127" s="1" t="s">
        <v>21</v>
      </c>
      <c r="F127" s="1" t="s">
        <v>21</v>
      </c>
      <c r="G127" s="1" t="s">
        <v>21</v>
      </c>
      <c r="H127" s="1">
        <v>0</v>
      </c>
      <c r="I127" s="1">
        <v>0</v>
      </c>
      <c r="J127" s="1">
        <v>0</v>
      </c>
      <c r="K127" s="1">
        <v>0</v>
      </c>
    </row>
    <row r="128" spans="1:11" s="1" customFormat="1">
      <c r="A128" s="4">
        <v>45117</v>
      </c>
      <c r="B128" s="1" t="s">
        <v>21</v>
      </c>
      <c r="C128" s="1" t="s">
        <v>21</v>
      </c>
      <c r="D128" s="1" t="s">
        <v>21</v>
      </c>
      <c r="E128" s="1" t="s">
        <v>21</v>
      </c>
      <c r="F128" s="1" t="s">
        <v>21</v>
      </c>
      <c r="G128" s="1" t="s">
        <v>21</v>
      </c>
      <c r="H128" s="1">
        <v>0</v>
      </c>
      <c r="I128" s="1">
        <v>0</v>
      </c>
      <c r="J128" s="1">
        <v>0</v>
      </c>
      <c r="K128" s="1">
        <v>0</v>
      </c>
    </row>
    <row r="129" spans="1:11" s="1" customFormat="1">
      <c r="A129" s="4">
        <v>45118</v>
      </c>
      <c r="B129" s="1" t="s">
        <v>21</v>
      </c>
      <c r="C129" s="1" t="s">
        <v>21</v>
      </c>
      <c r="D129" s="1" t="s">
        <v>21</v>
      </c>
      <c r="E129" s="1" t="s">
        <v>21</v>
      </c>
      <c r="F129" s="1" t="s">
        <v>21</v>
      </c>
      <c r="G129" s="1" t="s">
        <v>21</v>
      </c>
      <c r="H129" s="1">
        <v>0</v>
      </c>
      <c r="I129" s="1">
        <v>0</v>
      </c>
      <c r="J129" s="1">
        <v>0</v>
      </c>
      <c r="K129" s="1">
        <v>0</v>
      </c>
    </row>
    <row r="130" spans="1:11" s="1" customFormat="1">
      <c r="A130" s="4">
        <v>45119</v>
      </c>
      <c r="B130" s="1" t="s">
        <v>21</v>
      </c>
      <c r="C130" s="1" t="s">
        <v>21</v>
      </c>
      <c r="D130" s="1" t="s">
        <v>21</v>
      </c>
      <c r="E130" s="1" t="s">
        <v>21</v>
      </c>
      <c r="F130" s="1" t="s">
        <v>21</v>
      </c>
      <c r="G130" s="1" t="s">
        <v>21</v>
      </c>
      <c r="H130" s="1">
        <v>0</v>
      </c>
      <c r="I130" s="1">
        <v>0</v>
      </c>
      <c r="J130" s="1">
        <v>0</v>
      </c>
      <c r="K130" s="1">
        <v>0</v>
      </c>
    </row>
    <row r="131" spans="1:11" s="1" customFormat="1">
      <c r="A131" s="4">
        <v>45120</v>
      </c>
      <c r="B131" s="1" t="s">
        <v>21</v>
      </c>
      <c r="C131" s="1" t="s">
        <v>21</v>
      </c>
      <c r="D131" s="1" t="s">
        <v>21</v>
      </c>
      <c r="E131" s="1" t="s">
        <v>21</v>
      </c>
      <c r="F131" s="1" t="s">
        <v>21</v>
      </c>
      <c r="G131" s="1" t="s">
        <v>21</v>
      </c>
      <c r="H131" s="1">
        <v>0</v>
      </c>
      <c r="I131" s="1">
        <v>0</v>
      </c>
      <c r="J131" s="1">
        <v>0</v>
      </c>
      <c r="K131" s="1">
        <v>0</v>
      </c>
    </row>
    <row r="132" spans="1:11" s="1" customFormat="1">
      <c r="A132" s="4">
        <v>45124</v>
      </c>
      <c r="B132" s="1" t="s">
        <v>21</v>
      </c>
      <c r="C132" s="1" t="s">
        <v>21</v>
      </c>
      <c r="D132" s="1" t="s">
        <v>45</v>
      </c>
      <c r="E132" s="1" t="s">
        <v>31</v>
      </c>
      <c r="F132" s="1" t="s">
        <v>31</v>
      </c>
      <c r="G132" s="1" t="s">
        <v>21</v>
      </c>
      <c r="H132" s="1" t="s">
        <v>21</v>
      </c>
      <c r="I132" s="1" t="s">
        <v>21</v>
      </c>
      <c r="J132" s="1" t="s">
        <v>21</v>
      </c>
      <c r="K132" s="1" t="s">
        <v>21</v>
      </c>
    </row>
    <row r="133" spans="1:11" s="1" customFormat="1">
      <c r="A133" s="4">
        <v>45125</v>
      </c>
      <c r="B133" s="1" t="s">
        <v>21</v>
      </c>
      <c r="C133" s="1">
        <v>0</v>
      </c>
      <c r="D133" s="1">
        <v>0</v>
      </c>
      <c r="E133" s="1">
        <v>0</v>
      </c>
      <c r="F133" s="1">
        <v>0</v>
      </c>
      <c r="G133" s="1" t="s">
        <v>21</v>
      </c>
      <c r="H133" s="1" t="s">
        <v>21</v>
      </c>
      <c r="I133" s="1" t="s">
        <v>21</v>
      </c>
      <c r="J133" s="1" t="s">
        <v>21</v>
      </c>
      <c r="K133" s="1" t="s">
        <v>21</v>
      </c>
    </row>
    <row r="134" spans="1:11" s="1" customFormat="1">
      <c r="A134" s="4">
        <v>45126</v>
      </c>
      <c r="B134" s="1" t="s">
        <v>21</v>
      </c>
      <c r="C134" s="1">
        <v>0</v>
      </c>
      <c r="D134" s="1">
        <v>0</v>
      </c>
      <c r="E134" s="1">
        <v>0</v>
      </c>
      <c r="F134" s="1">
        <v>0</v>
      </c>
      <c r="G134" s="1" t="s">
        <v>21</v>
      </c>
      <c r="H134" s="1" t="s">
        <v>21</v>
      </c>
      <c r="I134" s="1" t="s">
        <v>21</v>
      </c>
      <c r="J134" s="1" t="s">
        <v>21</v>
      </c>
      <c r="K134" s="1" t="s">
        <v>21</v>
      </c>
    </row>
    <row r="135" spans="1:11" s="1" customFormat="1">
      <c r="A135" s="4">
        <v>45127</v>
      </c>
      <c r="B135" s="1" t="s">
        <v>21</v>
      </c>
      <c r="C135" s="1">
        <v>0</v>
      </c>
      <c r="D135" s="1">
        <v>0</v>
      </c>
      <c r="E135" s="1">
        <v>0</v>
      </c>
      <c r="F135" s="1">
        <v>0</v>
      </c>
      <c r="G135" s="1" t="s">
        <v>21</v>
      </c>
      <c r="H135" s="1" t="s">
        <v>21</v>
      </c>
      <c r="I135" s="1" t="s">
        <v>21</v>
      </c>
      <c r="J135" s="1" t="s">
        <v>21</v>
      </c>
      <c r="K135" s="1" t="s">
        <v>21</v>
      </c>
    </row>
    <row r="136" spans="1:11" s="1" customFormat="1">
      <c r="A136" s="4">
        <v>45128</v>
      </c>
      <c r="B136" s="1" t="s">
        <v>21</v>
      </c>
      <c r="C136" s="1">
        <v>0</v>
      </c>
      <c r="D136" s="1">
        <v>0</v>
      </c>
      <c r="E136" s="1">
        <v>0</v>
      </c>
      <c r="F136" s="1">
        <v>0</v>
      </c>
      <c r="G136" s="1" t="s">
        <v>21</v>
      </c>
      <c r="H136" s="1" t="s">
        <v>21</v>
      </c>
      <c r="I136" s="1" t="s">
        <v>21</v>
      </c>
      <c r="J136" s="1" t="s">
        <v>21</v>
      </c>
      <c r="K136" s="1" t="s">
        <v>21</v>
      </c>
    </row>
    <row r="137" spans="1:11" s="1" customFormat="1">
      <c r="A137" s="4">
        <v>45131</v>
      </c>
      <c r="B137" s="1" t="s">
        <v>21</v>
      </c>
      <c r="C137" s="1">
        <v>0</v>
      </c>
      <c r="D137" s="1">
        <v>0</v>
      </c>
      <c r="E137" s="1">
        <v>0</v>
      </c>
      <c r="F137" s="1">
        <v>0</v>
      </c>
      <c r="G137" s="1" t="s">
        <v>21</v>
      </c>
      <c r="H137" s="1" t="s">
        <v>21</v>
      </c>
      <c r="I137" s="1" t="s">
        <v>21</v>
      </c>
      <c r="J137" s="1" t="s">
        <v>144</v>
      </c>
      <c r="K137" s="1" t="s">
        <v>144</v>
      </c>
    </row>
    <row r="138" spans="1:11" s="1" customFormat="1">
      <c r="A138" s="4">
        <v>45132</v>
      </c>
      <c r="B138" s="1" t="s">
        <v>21</v>
      </c>
      <c r="C138" s="1">
        <v>0</v>
      </c>
      <c r="D138" s="1">
        <v>0</v>
      </c>
      <c r="E138" s="1">
        <v>0</v>
      </c>
      <c r="F138" s="1">
        <v>0</v>
      </c>
      <c r="G138" s="1" t="s">
        <v>21</v>
      </c>
      <c r="H138" s="1">
        <v>0</v>
      </c>
      <c r="I138" s="1">
        <v>0</v>
      </c>
      <c r="J138" s="1">
        <v>0</v>
      </c>
      <c r="K138" s="1">
        <v>0</v>
      </c>
    </row>
    <row r="139" spans="1:11" s="1" customFormat="1">
      <c r="A139" s="4">
        <v>45133</v>
      </c>
      <c r="B139" s="1" t="s">
        <v>21</v>
      </c>
      <c r="C139" s="1">
        <v>0</v>
      </c>
      <c r="D139" s="1">
        <v>0</v>
      </c>
      <c r="E139" s="1">
        <v>0</v>
      </c>
      <c r="F139" s="1">
        <v>0</v>
      </c>
      <c r="G139" s="1" t="s">
        <v>21</v>
      </c>
      <c r="H139" s="1">
        <v>0</v>
      </c>
      <c r="I139" s="1">
        <v>0</v>
      </c>
      <c r="J139" s="1">
        <v>0</v>
      </c>
      <c r="K139" s="1">
        <v>0</v>
      </c>
    </row>
    <row r="140" spans="1:11" s="1" customFormat="1">
      <c r="A140" s="4">
        <v>45134</v>
      </c>
      <c r="B140" s="1" t="s">
        <v>21</v>
      </c>
      <c r="C140" s="1">
        <v>0</v>
      </c>
      <c r="D140" s="1">
        <v>0</v>
      </c>
      <c r="E140" s="1">
        <v>0</v>
      </c>
      <c r="F140" s="1">
        <v>0</v>
      </c>
      <c r="G140" s="1" t="s">
        <v>21</v>
      </c>
      <c r="H140" s="1">
        <v>0</v>
      </c>
      <c r="I140" s="1">
        <v>0</v>
      </c>
      <c r="J140" s="1">
        <v>0</v>
      </c>
      <c r="K140" s="1">
        <v>0</v>
      </c>
    </row>
    <row r="141" spans="1:11" s="1" customFormat="1">
      <c r="A141" s="4">
        <v>45135</v>
      </c>
      <c r="B141" s="1" t="s">
        <v>21</v>
      </c>
      <c r="C141" s="1">
        <v>0</v>
      </c>
      <c r="D141" s="1">
        <v>0</v>
      </c>
      <c r="E141" s="1">
        <v>0</v>
      </c>
      <c r="F141" s="1">
        <v>0</v>
      </c>
      <c r="G141" s="1" t="s">
        <v>21</v>
      </c>
      <c r="H141" s="1">
        <v>0</v>
      </c>
      <c r="I141" s="1">
        <v>0</v>
      </c>
      <c r="J141" s="1">
        <v>0</v>
      </c>
      <c r="K141" s="1">
        <v>0</v>
      </c>
    </row>
    <row r="142" spans="1:11" s="1" customFormat="1">
      <c r="A142" s="4">
        <v>45138</v>
      </c>
      <c r="B142" s="1" t="s">
        <v>21</v>
      </c>
      <c r="C142" s="1">
        <v>0</v>
      </c>
      <c r="D142" s="1">
        <v>0</v>
      </c>
      <c r="E142" s="1">
        <v>0</v>
      </c>
      <c r="F142" s="1">
        <v>0</v>
      </c>
      <c r="G142" s="1" t="s">
        <v>21</v>
      </c>
      <c r="H142" s="1">
        <v>0</v>
      </c>
      <c r="I142" s="1">
        <v>0</v>
      </c>
      <c r="J142" s="1">
        <v>0</v>
      </c>
      <c r="K142" s="1">
        <v>0</v>
      </c>
    </row>
    <row r="143" spans="1:11" s="1" customFormat="1">
      <c r="A143" s="4">
        <v>45139</v>
      </c>
      <c r="B143" s="1" t="s">
        <v>21</v>
      </c>
      <c r="C143" s="1">
        <v>0</v>
      </c>
      <c r="D143" s="1">
        <v>0</v>
      </c>
      <c r="E143" s="1">
        <v>0</v>
      </c>
      <c r="F143" s="1">
        <v>0</v>
      </c>
      <c r="G143" s="1" t="s">
        <v>21</v>
      </c>
      <c r="H143" s="1">
        <v>0</v>
      </c>
      <c r="I143" s="1">
        <v>0</v>
      </c>
      <c r="J143" s="1">
        <v>0</v>
      </c>
      <c r="K143" s="1">
        <v>0</v>
      </c>
    </row>
    <row r="144" spans="1:11" s="1" customFormat="1">
      <c r="A144" s="4">
        <v>45140</v>
      </c>
      <c r="B144" s="1" t="s">
        <v>21</v>
      </c>
      <c r="C144" s="1">
        <v>0</v>
      </c>
      <c r="D144" s="1">
        <v>0</v>
      </c>
      <c r="E144" s="1">
        <v>0</v>
      </c>
      <c r="F144" s="1">
        <v>0</v>
      </c>
      <c r="G144" s="1" t="s">
        <v>21</v>
      </c>
      <c r="H144" s="1">
        <v>0</v>
      </c>
      <c r="I144" s="1">
        <v>0</v>
      </c>
      <c r="J144" s="1">
        <v>0</v>
      </c>
      <c r="K144" s="1">
        <v>0</v>
      </c>
    </row>
    <row r="145" spans="1:11" s="1" customFormat="1">
      <c r="A145" s="4">
        <v>45141</v>
      </c>
      <c r="B145" s="1" t="s">
        <v>21</v>
      </c>
      <c r="C145" s="1" t="s">
        <v>21</v>
      </c>
      <c r="D145" s="1" t="s">
        <v>21</v>
      </c>
      <c r="E145" s="1" t="s">
        <v>21</v>
      </c>
      <c r="F145" s="1" t="s">
        <v>21</v>
      </c>
      <c r="G145" s="1" t="s">
        <v>21</v>
      </c>
      <c r="H145" s="1">
        <v>0</v>
      </c>
      <c r="I145" s="1">
        <v>0</v>
      </c>
      <c r="J145" s="1">
        <v>0</v>
      </c>
      <c r="K145" s="1">
        <v>0</v>
      </c>
    </row>
    <row r="146" spans="1:11" s="1" customFormat="1">
      <c r="A146" s="4">
        <v>45142</v>
      </c>
      <c r="B146" s="1" t="s">
        <v>21</v>
      </c>
      <c r="C146" s="1" t="s">
        <v>21</v>
      </c>
      <c r="D146" s="1" t="s">
        <v>21</v>
      </c>
      <c r="E146" s="1" t="s">
        <v>21</v>
      </c>
      <c r="F146" s="1" t="s">
        <v>21</v>
      </c>
      <c r="G146" s="1" t="s">
        <v>21</v>
      </c>
      <c r="H146" s="1">
        <v>0</v>
      </c>
      <c r="I146" s="1">
        <v>0</v>
      </c>
      <c r="J146" s="1">
        <v>0</v>
      </c>
      <c r="K146" s="1">
        <v>0</v>
      </c>
    </row>
    <row r="147" spans="1:11" s="1" customFormat="1">
      <c r="A147" s="4">
        <v>45145</v>
      </c>
      <c r="B147" s="1" t="s">
        <v>21</v>
      </c>
      <c r="C147" s="1" t="s">
        <v>21</v>
      </c>
      <c r="D147" s="1" t="s">
        <v>21</v>
      </c>
      <c r="E147" s="1" t="s">
        <v>21</v>
      </c>
      <c r="F147" s="1" t="s">
        <v>21</v>
      </c>
      <c r="G147" s="1" t="s">
        <v>21</v>
      </c>
      <c r="H147" s="1">
        <v>0</v>
      </c>
      <c r="I147" s="1">
        <v>0</v>
      </c>
      <c r="J147" s="1">
        <v>0</v>
      </c>
      <c r="K147" s="1">
        <v>0</v>
      </c>
    </row>
    <row r="148" spans="1:11" s="1" customFormat="1">
      <c r="A148" s="4">
        <v>45146</v>
      </c>
      <c r="B148" s="1" t="s">
        <v>21</v>
      </c>
      <c r="C148" s="1" t="s">
        <v>21</v>
      </c>
      <c r="D148" s="1" t="s">
        <v>21</v>
      </c>
      <c r="E148" s="1" t="s">
        <v>21</v>
      </c>
      <c r="F148" s="1" t="s">
        <v>21</v>
      </c>
      <c r="G148" s="1" t="s">
        <v>21</v>
      </c>
      <c r="H148" s="1">
        <v>0</v>
      </c>
      <c r="I148" s="1">
        <v>0</v>
      </c>
      <c r="J148" s="1">
        <v>0</v>
      </c>
      <c r="K148" s="1">
        <v>0</v>
      </c>
    </row>
    <row r="149" spans="1:11" s="1" customFormat="1">
      <c r="A149" s="4">
        <v>45147</v>
      </c>
      <c r="B149" s="1" t="s">
        <v>21</v>
      </c>
      <c r="C149" s="1" t="s">
        <v>21</v>
      </c>
      <c r="D149" s="1" t="s">
        <v>21</v>
      </c>
      <c r="E149" s="1" t="s">
        <v>21</v>
      </c>
      <c r="F149" s="1" t="s">
        <v>21</v>
      </c>
      <c r="G149" s="1" t="s">
        <v>21</v>
      </c>
      <c r="H149" s="1">
        <v>0</v>
      </c>
      <c r="I149" s="1">
        <v>0</v>
      </c>
      <c r="J149" s="1">
        <v>0</v>
      </c>
      <c r="K149" s="1">
        <v>0</v>
      </c>
    </row>
    <row r="150" spans="1:11" s="1" customFormat="1">
      <c r="A150" s="4">
        <v>45148</v>
      </c>
      <c r="B150" s="1" t="s">
        <v>21</v>
      </c>
      <c r="C150" s="1" t="s">
        <v>21</v>
      </c>
      <c r="D150" s="1" t="s">
        <v>21</v>
      </c>
      <c r="E150" s="1" t="s">
        <v>21</v>
      </c>
      <c r="F150" s="1" t="s">
        <v>21</v>
      </c>
      <c r="G150" s="1" t="s">
        <v>21</v>
      </c>
      <c r="H150" s="1">
        <v>0</v>
      </c>
      <c r="I150" s="1">
        <v>0</v>
      </c>
      <c r="J150" s="1">
        <v>0</v>
      </c>
      <c r="K150" s="1">
        <v>0</v>
      </c>
    </row>
    <row r="151" spans="1:11" s="1" customFormat="1">
      <c r="A151" s="4">
        <v>45149</v>
      </c>
      <c r="B151" s="1" t="s">
        <v>21</v>
      </c>
      <c r="C151" s="1" t="s">
        <v>21</v>
      </c>
      <c r="D151" s="1" t="s">
        <v>21</v>
      </c>
      <c r="E151" s="1" t="s">
        <v>21</v>
      </c>
      <c r="F151" s="1" t="s">
        <v>21</v>
      </c>
      <c r="G151" s="1" t="s">
        <v>21</v>
      </c>
      <c r="H151" s="1">
        <v>0</v>
      </c>
      <c r="I151" s="1">
        <v>0</v>
      </c>
      <c r="J151" s="1">
        <v>0</v>
      </c>
      <c r="K151" s="1">
        <v>0</v>
      </c>
    </row>
    <row r="152" spans="1:11" s="1" customFormat="1">
      <c r="A152" s="4">
        <v>45152</v>
      </c>
      <c r="B152" s="1" t="s">
        <v>21</v>
      </c>
      <c r="C152" s="1" t="s">
        <v>21</v>
      </c>
      <c r="D152" s="1" t="s">
        <v>21</v>
      </c>
      <c r="E152" s="1" t="s">
        <v>21</v>
      </c>
      <c r="F152" s="1" t="s">
        <v>21</v>
      </c>
      <c r="G152" s="1" t="s">
        <v>21</v>
      </c>
      <c r="H152" s="1">
        <v>0</v>
      </c>
      <c r="I152" s="1">
        <v>0</v>
      </c>
      <c r="J152" s="1">
        <v>0</v>
      </c>
      <c r="K152" s="1">
        <v>0</v>
      </c>
    </row>
    <row r="153" spans="1:11" s="1" customFormat="1">
      <c r="A153" s="4">
        <v>45154</v>
      </c>
      <c r="B153" s="1" t="s">
        <v>21</v>
      </c>
      <c r="C153" s="1" t="s">
        <v>21</v>
      </c>
      <c r="D153" s="1" t="s">
        <v>21</v>
      </c>
      <c r="E153" s="1" t="s">
        <v>21</v>
      </c>
      <c r="F153" s="1" t="s">
        <v>21</v>
      </c>
      <c r="G153" s="1" t="s">
        <v>21</v>
      </c>
      <c r="H153" s="1">
        <v>0</v>
      </c>
      <c r="I153" s="1">
        <v>0</v>
      </c>
      <c r="J153" s="1">
        <v>0</v>
      </c>
      <c r="K153" s="1">
        <v>0</v>
      </c>
    </row>
    <row r="154" spans="1:11" s="1" customFormat="1">
      <c r="A154" s="4">
        <v>45155</v>
      </c>
      <c r="B154" s="1" t="s">
        <v>21</v>
      </c>
      <c r="C154" s="1" t="s">
        <v>21</v>
      </c>
      <c r="D154" s="1" t="s">
        <v>21</v>
      </c>
      <c r="E154" s="1" t="s">
        <v>21</v>
      </c>
      <c r="F154" s="1" t="s">
        <v>21</v>
      </c>
      <c r="G154" s="1" t="s">
        <v>21</v>
      </c>
      <c r="H154" s="1" t="s">
        <v>39</v>
      </c>
      <c r="I154" s="1" t="s">
        <v>39</v>
      </c>
      <c r="J154" s="1" t="s">
        <v>39</v>
      </c>
      <c r="K154" s="1" t="s">
        <v>39</v>
      </c>
    </row>
    <row r="155" spans="1:11" s="1" customFormat="1">
      <c r="A155" s="4">
        <v>45156</v>
      </c>
      <c r="B155" s="1" t="s">
        <v>21</v>
      </c>
      <c r="C155" s="1">
        <v>0</v>
      </c>
      <c r="D155" s="1">
        <v>0</v>
      </c>
      <c r="E155" s="1">
        <v>0</v>
      </c>
      <c r="F155" s="1">
        <v>0</v>
      </c>
      <c r="G155" s="1" t="s">
        <v>21</v>
      </c>
      <c r="H155" s="1" t="s">
        <v>21</v>
      </c>
      <c r="I155" s="1" t="s">
        <v>21</v>
      </c>
      <c r="J155" s="1" t="s">
        <v>21</v>
      </c>
      <c r="K155" s="1" t="s">
        <v>21</v>
      </c>
    </row>
    <row r="156" spans="1:11" s="1" customFormat="1">
      <c r="A156" s="4">
        <v>45159</v>
      </c>
      <c r="B156" s="1" t="s">
        <v>21</v>
      </c>
      <c r="C156" s="1">
        <v>0</v>
      </c>
      <c r="D156" s="1">
        <v>0</v>
      </c>
      <c r="E156" s="1">
        <v>0</v>
      </c>
      <c r="F156" s="1">
        <v>0</v>
      </c>
      <c r="G156" s="1" t="s">
        <v>21</v>
      </c>
      <c r="H156" s="1" t="s">
        <v>21</v>
      </c>
      <c r="I156" s="1" t="s">
        <v>21</v>
      </c>
      <c r="J156" s="1" t="s">
        <v>21</v>
      </c>
      <c r="K156" s="1" t="s">
        <v>21</v>
      </c>
    </row>
    <row r="157" spans="1:11" s="1" customFormat="1">
      <c r="A157" s="4">
        <v>45160</v>
      </c>
      <c r="B157" s="1" t="s">
        <v>21</v>
      </c>
      <c r="C157" s="1">
        <v>0</v>
      </c>
      <c r="D157" s="1">
        <v>0</v>
      </c>
      <c r="E157" s="1">
        <v>0</v>
      </c>
      <c r="F157" s="1">
        <v>0</v>
      </c>
      <c r="G157" s="1" t="s">
        <v>21</v>
      </c>
      <c r="H157" s="1" t="s">
        <v>21</v>
      </c>
      <c r="I157" s="1" t="s">
        <v>21</v>
      </c>
      <c r="J157" s="1" t="s">
        <v>21</v>
      </c>
      <c r="K157" s="1" t="s">
        <v>21</v>
      </c>
    </row>
    <row r="158" spans="1:11" s="1" customFormat="1">
      <c r="A158" s="4">
        <v>45161</v>
      </c>
      <c r="B158" s="1" t="s">
        <v>21</v>
      </c>
      <c r="C158" s="1">
        <v>0</v>
      </c>
      <c r="D158" s="1">
        <v>0</v>
      </c>
      <c r="E158" s="1">
        <v>0</v>
      </c>
      <c r="F158" s="1">
        <v>0</v>
      </c>
      <c r="G158" s="1" t="s">
        <v>21</v>
      </c>
      <c r="H158" s="1" t="s">
        <v>21</v>
      </c>
      <c r="I158" s="1" t="s">
        <v>128</v>
      </c>
      <c r="J158" s="1" t="s">
        <v>128</v>
      </c>
      <c r="K158" s="1" t="s">
        <v>128</v>
      </c>
    </row>
    <row r="159" spans="1:11" s="1" customFormat="1">
      <c r="A159" s="4">
        <v>45162</v>
      </c>
      <c r="B159" s="1" t="s">
        <v>21</v>
      </c>
      <c r="C159" s="1">
        <v>0</v>
      </c>
      <c r="D159" s="1">
        <v>0</v>
      </c>
      <c r="E159" s="1">
        <v>0</v>
      </c>
      <c r="F159" s="1">
        <v>0</v>
      </c>
      <c r="G159" s="1" t="s">
        <v>21</v>
      </c>
      <c r="H159" s="1" t="s">
        <v>21</v>
      </c>
      <c r="I159" s="1" t="s">
        <v>21</v>
      </c>
      <c r="J159" s="1" t="s">
        <v>21</v>
      </c>
      <c r="K159" s="1" t="s">
        <v>133</v>
      </c>
    </row>
    <row r="160" spans="1:11" s="1" customFormat="1">
      <c r="A160" s="4">
        <v>45163</v>
      </c>
      <c r="B160" s="1" t="s">
        <v>21</v>
      </c>
      <c r="C160" s="1">
        <v>0</v>
      </c>
      <c r="D160" s="1">
        <v>0</v>
      </c>
      <c r="E160" s="1">
        <v>0</v>
      </c>
      <c r="F160" s="1">
        <v>0</v>
      </c>
      <c r="G160" s="1" t="s">
        <v>21</v>
      </c>
      <c r="H160" s="1">
        <v>0</v>
      </c>
      <c r="I160" s="1">
        <v>0</v>
      </c>
      <c r="J160" s="1">
        <v>0</v>
      </c>
      <c r="K160" s="1">
        <v>0</v>
      </c>
    </row>
    <row r="161" spans="1:11" s="1" customFormat="1">
      <c r="A161" s="4">
        <v>45166</v>
      </c>
      <c r="B161" s="1" t="s">
        <v>21</v>
      </c>
      <c r="C161" s="1">
        <v>0</v>
      </c>
      <c r="D161" s="1">
        <v>0</v>
      </c>
      <c r="E161" s="1">
        <v>0</v>
      </c>
      <c r="F161" s="1">
        <v>0</v>
      </c>
      <c r="G161" s="1" t="s">
        <v>21</v>
      </c>
      <c r="H161" s="1">
        <v>0</v>
      </c>
      <c r="I161" s="1">
        <v>0</v>
      </c>
      <c r="J161" s="1">
        <v>0</v>
      </c>
      <c r="K161" s="1">
        <v>0</v>
      </c>
    </row>
    <row r="162" spans="1:11" s="1" customFormat="1">
      <c r="A162" s="4">
        <v>45167</v>
      </c>
      <c r="B162" s="1" t="s">
        <v>21</v>
      </c>
      <c r="C162" s="1">
        <v>0</v>
      </c>
      <c r="D162" s="1">
        <v>0</v>
      </c>
      <c r="E162" s="1">
        <v>0</v>
      </c>
      <c r="F162" s="1">
        <v>0</v>
      </c>
      <c r="G162" s="1" t="s">
        <v>21</v>
      </c>
      <c r="H162" s="1">
        <v>0</v>
      </c>
      <c r="I162" s="1">
        <v>0</v>
      </c>
      <c r="J162" s="1">
        <v>0</v>
      </c>
      <c r="K162" s="1">
        <v>0</v>
      </c>
    </row>
    <row r="163" spans="1:11" s="1" customFormat="1">
      <c r="A163" s="4">
        <v>45168</v>
      </c>
      <c r="B163" s="1" t="s">
        <v>21</v>
      </c>
      <c r="C163" s="1">
        <v>0</v>
      </c>
      <c r="D163" s="1">
        <v>0</v>
      </c>
      <c r="E163" s="1">
        <v>0</v>
      </c>
      <c r="F163" s="1">
        <v>0</v>
      </c>
      <c r="G163" s="1" t="s">
        <v>21</v>
      </c>
      <c r="H163" s="1">
        <v>0</v>
      </c>
      <c r="I163" s="1">
        <v>0</v>
      </c>
      <c r="J163" s="1">
        <v>0</v>
      </c>
      <c r="K163" s="1">
        <v>0</v>
      </c>
    </row>
    <row r="164" spans="1:11" s="1" customFormat="1">
      <c r="A164" s="4">
        <v>45169</v>
      </c>
      <c r="B164" s="1" t="s">
        <v>21</v>
      </c>
      <c r="C164" s="1">
        <v>0</v>
      </c>
      <c r="D164" s="1">
        <v>0</v>
      </c>
      <c r="E164" s="1">
        <v>0</v>
      </c>
      <c r="F164" s="1">
        <v>0</v>
      </c>
      <c r="G164" s="1" t="s">
        <v>21</v>
      </c>
      <c r="H164" s="1">
        <v>0</v>
      </c>
      <c r="I164" s="1">
        <v>0</v>
      </c>
      <c r="J164" s="1">
        <v>0</v>
      </c>
      <c r="K164" s="1">
        <v>0</v>
      </c>
    </row>
    <row r="165" spans="1:11" s="1" customFormat="1">
      <c r="A165" s="4">
        <v>45170</v>
      </c>
      <c r="B165" s="1" t="s">
        <v>21</v>
      </c>
      <c r="C165" s="1">
        <v>0</v>
      </c>
      <c r="D165" s="1">
        <v>0</v>
      </c>
      <c r="E165" s="1">
        <v>0</v>
      </c>
      <c r="F165" s="1">
        <v>0</v>
      </c>
      <c r="G165" s="1" t="s">
        <v>21</v>
      </c>
      <c r="H165" s="1">
        <v>0</v>
      </c>
      <c r="I165" s="1">
        <v>0</v>
      </c>
      <c r="J165" s="1">
        <v>0</v>
      </c>
      <c r="K165" s="1">
        <v>0</v>
      </c>
    </row>
    <row r="166" spans="1:11" s="1" customFormat="1">
      <c r="A166" s="4">
        <v>45173</v>
      </c>
      <c r="B166" s="1" t="s">
        <v>21</v>
      </c>
      <c r="C166" s="1" t="s">
        <v>21</v>
      </c>
      <c r="D166" s="1" t="s">
        <v>21</v>
      </c>
      <c r="E166" s="1" t="s">
        <v>21</v>
      </c>
      <c r="F166" s="1" t="s">
        <v>21</v>
      </c>
      <c r="G166" s="1" t="s">
        <v>21</v>
      </c>
      <c r="H166" s="1">
        <v>0</v>
      </c>
      <c r="I166" s="1">
        <v>0</v>
      </c>
      <c r="J166" s="1">
        <v>0</v>
      </c>
      <c r="K166" s="1">
        <v>0</v>
      </c>
    </row>
    <row r="167" spans="1:11" s="1" customFormat="1">
      <c r="A167" s="4">
        <v>45174</v>
      </c>
      <c r="B167" s="1" t="s">
        <v>21</v>
      </c>
      <c r="C167" s="1" t="s">
        <v>21</v>
      </c>
      <c r="D167" s="1" t="s">
        <v>21</v>
      </c>
      <c r="E167" s="1" t="s">
        <v>21</v>
      </c>
      <c r="F167" s="1" t="s">
        <v>21</v>
      </c>
      <c r="G167" s="1" t="s">
        <v>21</v>
      </c>
      <c r="H167" s="1">
        <v>0</v>
      </c>
      <c r="I167" s="1">
        <v>0</v>
      </c>
      <c r="J167" s="1">
        <v>0</v>
      </c>
      <c r="K167" s="1">
        <v>0</v>
      </c>
    </row>
    <row r="168" spans="1:11" s="1" customFormat="1">
      <c r="A168" s="4">
        <v>45175</v>
      </c>
      <c r="B168" s="1" t="s">
        <v>21</v>
      </c>
      <c r="C168" s="1" t="s">
        <v>21</v>
      </c>
      <c r="D168" s="1" t="s">
        <v>21</v>
      </c>
      <c r="E168" s="1" t="s">
        <v>21</v>
      </c>
      <c r="F168" s="1" t="s">
        <v>21</v>
      </c>
      <c r="G168" s="1" t="s">
        <v>21</v>
      </c>
      <c r="H168" s="1">
        <v>0</v>
      </c>
      <c r="I168" s="1">
        <v>0</v>
      </c>
      <c r="J168" s="1">
        <v>0</v>
      </c>
      <c r="K168" s="1">
        <v>0</v>
      </c>
    </row>
    <row r="169" spans="1:11" s="1" customFormat="1">
      <c r="A169" s="4">
        <v>45176</v>
      </c>
      <c r="B169" s="1" t="s">
        <v>21</v>
      </c>
      <c r="C169" s="1" t="s">
        <v>21</v>
      </c>
      <c r="D169" s="1" t="s">
        <v>21</v>
      </c>
      <c r="E169" s="1" t="s">
        <v>21</v>
      </c>
      <c r="F169" s="1" t="s">
        <v>21</v>
      </c>
      <c r="G169" s="1" t="s">
        <v>21</v>
      </c>
      <c r="H169" s="1">
        <v>0</v>
      </c>
      <c r="I169" s="1">
        <v>0</v>
      </c>
      <c r="J169" s="1">
        <v>0</v>
      </c>
      <c r="K169" s="1">
        <v>0</v>
      </c>
    </row>
    <row r="170" spans="1:11" s="1" customFormat="1">
      <c r="A170" s="4">
        <v>45177</v>
      </c>
      <c r="B170" s="1" t="s">
        <v>21</v>
      </c>
      <c r="C170" s="1" t="s">
        <v>21</v>
      </c>
      <c r="D170" s="1" t="s">
        <v>21</v>
      </c>
      <c r="E170" s="1" t="s">
        <v>21</v>
      </c>
      <c r="F170" s="1" t="s">
        <v>21</v>
      </c>
      <c r="G170" s="1" t="s">
        <v>21</v>
      </c>
      <c r="H170" s="1">
        <v>0</v>
      </c>
      <c r="I170" s="1">
        <v>0</v>
      </c>
      <c r="J170" s="1">
        <v>0</v>
      </c>
      <c r="K170" s="1">
        <v>0</v>
      </c>
    </row>
    <row r="171" spans="1:11" s="1" customFormat="1">
      <c r="A171" s="4">
        <v>45180</v>
      </c>
      <c r="B171" s="1" t="s">
        <v>21</v>
      </c>
      <c r="C171" s="1" t="s">
        <v>21</v>
      </c>
      <c r="D171" s="1" t="s">
        <v>21</v>
      </c>
      <c r="E171" s="1" t="s">
        <v>21</v>
      </c>
      <c r="F171" s="1" t="s">
        <v>21</v>
      </c>
      <c r="G171" s="1" t="s">
        <v>21</v>
      </c>
      <c r="H171" s="1">
        <v>0</v>
      </c>
      <c r="I171" s="1">
        <v>0</v>
      </c>
      <c r="J171" s="1">
        <v>0</v>
      </c>
      <c r="K171" s="1">
        <v>0</v>
      </c>
    </row>
    <row r="172" spans="1:11" s="1" customFormat="1">
      <c r="A172" s="4">
        <v>45181</v>
      </c>
      <c r="B172" s="1" t="s">
        <v>21</v>
      </c>
      <c r="C172" s="1" t="s">
        <v>21</v>
      </c>
      <c r="D172" s="1" t="s">
        <v>21</v>
      </c>
      <c r="E172" s="1" t="s">
        <v>21</v>
      </c>
      <c r="F172" s="1" t="s">
        <v>21</v>
      </c>
      <c r="G172" s="1" t="s">
        <v>21</v>
      </c>
      <c r="H172" s="1">
        <v>0</v>
      </c>
      <c r="I172" s="1">
        <v>0</v>
      </c>
      <c r="J172" s="1">
        <v>0</v>
      </c>
      <c r="K172" s="1">
        <v>0</v>
      </c>
    </row>
    <row r="173" spans="1:11" s="1" customFormat="1">
      <c r="A173" s="4">
        <v>45182</v>
      </c>
      <c r="B173" s="1" t="s">
        <v>21</v>
      </c>
      <c r="C173" s="1" t="s">
        <v>21</v>
      </c>
      <c r="D173" s="1" t="s">
        <v>21</v>
      </c>
      <c r="E173" s="1" t="s">
        <v>21</v>
      </c>
      <c r="F173" s="1" t="s">
        <v>21</v>
      </c>
      <c r="G173" s="1" t="s">
        <v>21</v>
      </c>
      <c r="H173" s="1">
        <v>0</v>
      </c>
      <c r="I173" s="1">
        <v>0</v>
      </c>
      <c r="J173" s="1">
        <v>0</v>
      </c>
      <c r="K173" s="1">
        <v>0</v>
      </c>
    </row>
    <row r="174" spans="1:11" s="1" customFormat="1">
      <c r="A174" s="4">
        <v>45183</v>
      </c>
      <c r="B174" s="1" t="s">
        <v>21</v>
      </c>
      <c r="C174" s="1" t="s">
        <v>21</v>
      </c>
      <c r="D174" s="1" t="s">
        <v>21</v>
      </c>
      <c r="E174" s="1" t="s">
        <v>21</v>
      </c>
      <c r="F174" s="1" t="s">
        <v>21</v>
      </c>
      <c r="G174" s="1" t="s">
        <v>21</v>
      </c>
      <c r="H174" s="1">
        <v>0</v>
      </c>
      <c r="I174" s="1">
        <v>0</v>
      </c>
      <c r="J174" s="1">
        <v>0</v>
      </c>
      <c r="K174" s="1">
        <v>0</v>
      </c>
    </row>
    <row r="175" spans="1:11" s="1" customFormat="1">
      <c r="A175" s="4">
        <v>45184</v>
      </c>
      <c r="B175" s="1" t="s">
        <v>21</v>
      </c>
      <c r="C175" s="1" t="s">
        <v>21</v>
      </c>
      <c r="D175" s="1" t="s">
        <v>21</v>
      </c>
      <c r="E175" s="1" t="s">
        <v>21</v>
      </c>
      <c r="F175" s="1" t="s">
        <v>21</v>
      </c>
      <c r="G175" s="1" t="s">
        <v>21</v>
      </c>
      <c r="H175" s="1" t="s">
        <v>21</v>
      </c>
      <c r="I175" s="1" t="s">
        <v>21</v>
      </c>
      <c r="J175" s="1" t="s">
        <v>21</v>
      </c>
      <c r="K175" s="1" t="s">
        <v>21</v>
      </c>
    </row>
    <row r="176" spans="1:11" s="1" customFormat="1">
      <c r="A176" s="4">
        <v>45187</v>
      </c>
      <c r="B176" s="1" t="s">
        <v>21</v>
      </c>
      <c r="C176" s="1">
        <v>0</v>
      </c>
      <c r="D176" s="1">
        <v>0</v>
      </c>
      <c r="E176" s="1">
        <v>0</v>
      </c>
      <c r="F176" s="1">
        <v>0</v>
      </c>
      <c r="G176" s="1" t="s">
        <v>21</v>
      </c>
      <c r="H176" s="1" t="s">
        <v>21</v>
      </c>
      <c r="I176" s="1" t="s">
        <v>21</v>
      </c>
      <c r="J176" s="1" t="s">
        <v>21</v>
      </c>
      <c r="K176" s="1" t="s">
        <v>21</v>
      </c>
    </row>
    <row r="177" spans="1:11" s="1" customFormat="1">
      <c r="A177" s="4">
        <v>45188</v>
      </c>
      <c r="B177" s="1" t="s">
        <v>21</v>
      </c>
      <c r="C177" s="1">
        <v>0</v>
      </c>
      <c r="D177" s="1">
        <v>0</v>
      </c>
      <c r="E177" s="1">
        <v>0</v>
      </c>
      <c r="F177" s="1">
        <v>0</v>
      </c>
      <c r="G177" s="1" t="s">
        <v>21</v>
      </c>
      <c r="H177" s="1" t="s">
        <v>21</v>
      </c>
      <c r="I177" s="1" t="s">
        <v>129</v>
      </c>
      <c r="J177" s="1" t="s">
        <v>129</v>
      </c>
      <c r="K177" s="1" t="s">
        <v>129</v>
      </c>
    </row>
    <row r="178" spans="1:11" s="1" customFormat="1">
      <c r="A178" s="4">
        <v>45189</v>
      </c>
      <c r="B178" s="1" t="s">
        <v>21</v>
      </c>
      <c r="C178" s="1">
        <v>0</v>
      </c>
      <c r="D178" s="1">
        <v>0</v>
      </c>
      <c r="E178" s="1">
        <v>0</v>
      </c>
      <c r="F178" s="1">
        <v>0</v>
      </c>
      <c r="G178" s="1" t="s">
        <v>21</v>
      </c>
      <c r="H178" s="1" t="s">
        <v>21</v>
      </c>
      <c r="I178" s="1" t="s">
        <v>21</v>
      </c>
      <c r="J178" s="1" t="s">
        <v>21</v>
      </c>
      <c r="K178" s="1" t="s">
        <v>21</v>
      </c>
    </row>
    <row r="179" spans="1:11" s="1" customFormat="1">
      <c r="A179" s="4">
        <v>45190</v>
      </c>
      <c r="B179" s="1" t="s">
        <v>21</v>
      </c>
      <c r="C179" s="1">
        <v>0</v>
      </c>
      <c r="D179" s="1">
        <v>0</v>
      </c>
      <c r="E179" s="1">
        <v>0</v>
      </c>
      <c r="F179" s="1">
        <v>0</v>
      </c>
      <c r="G179" s="1" t="s">
        <v>21</v>
      </c>
      <c r="H179" s="1" t="s">
        <v>89</v>
      </c>
      <c r="I179" s="1" t="s">
        <v>89</v>
      </c>
      <c r="J179" s="1" t="s">
        <v>89</v>
      </c>
      <c r="K179" s="1" t="s">
        <v>89</v>
      </c>
    </row>
    <row r="180" spans="1:11" s="1" customFormat="1">
      <c r="A180" s="4">
        <v>45191</v>
      </c>
      <c r="B180" s="1" t="s">
        <v>21</v>
      </c>
      <c r="C180" s="1">
        <v>0</v>
      </c>
      <c r="D180" s="1">
        <v>0</v>
      </c>
      <c r="E180" s="1">
        <v>0</v>
      </c>
      <c r="F180" s="1">
        <v>0</v>
      </c>
      <c r="G180" s="1" t="s">
        <v>21</v>
      </c>
      <c r="H180" s="1" t="s">
        <v>90</v>
      </c>
      <c r="I180" s="1" t="s">
        <v>130</v>
      </c>
      <c r="J180" s="1" t="s">
        <v>130</v>
      </c>
      <c r="K180" s="1" t="s">
        <v>130</v>
      </c>
    </row>
    <row r="181" spans="1:11" s="1" customFormat="1">
      <c r="A181" s="4">
        <v>45194</v>
      </c>
      <c r="B181" s="1" t="s">
        <v>21</v>
      </c>
      <c r="C181" s="1">
        <v>0</v>
      </c>
      <c r="D181" s="1">
        <v>0</v>
      </c>
      <c r="E181" s="1">
        <v>0</v>
      </c>
      <c r="F181" s="1">
        <v>0</v>
      </c>
      <c r="G181" s="1" t="s">
        <v>21</v>
      </c>
      <c r="H181" s="1">
        <v>0</v>
      </c>
      <c r="I181" s="1">
        <v>0</v>
      </c>
      <c r="J181" s="1">
        <v>0</v>
      </c>
      <c r="K181" s="1">
        <v>0</v>
      </c>
    </row>
    <row r="182" spans="1:11" s="1" customFormat="1">
      <c r="A182" s="4">
        <v>45195</v>
      </c>
      <c r="B182" s="1" t="s">
        <v>21</v>
      </c>
      <c r="C182" s="1">
        <v>0</v>
      </c>
      <c r="D182" s="1">
        <v>0</v>
      </c>
      <c r="E182" s="1">
        <v>0</v>
      </c>
      <c r="F182" s="1">
        <v>0</v>
      </c>
      <c r="G182" s="1" t="s">
        <v>21</v>
      </c>
      <c r="H182" s="1">
        <v>0</v>
      </c>
      <c r="I182" s="1">
        <v>0</v>
      </c>
      <c r="J182" s="1">
        <v>0</v>
      </c>
      <c r="K182" s="1">
        <v>0</v>
      </c>
    </row>
    <row r="183" spans="1:11" s="1" customFormat="1">
      <c r="A183" s="4">
        <v>45196</v>
      </c>
      <c r="B183" s="1" t="s">
        <v>21</v>
      </c>
      <c r="C183" s="1">
        <v>0</v>
      </c>
      <c r="D183" s="1">
        <v>0</v>
      </c>
      <c r="E183" s="1">
        <v>0</v>
      </c>
      <c r="F183" s="1">
        <v>0</v>
      </c>
      <c r="G183" s="1" t="s">
        <v>21</v>
      </c>
      <c r="H183" s="1">
        <v>0</v>
      </c>
      <c r="I183" s="1">
        <v>0</v>
      </c>
      <c r="J183" s="1">
        <v>0</v>
      </c>
      <c r="K183" s="1">
        <v>0</v>
      </c>
    </row>
    <row r="184" spans="1:11" s="1" customFormat="1">
      <c r="A184" s="4">
        <v>45197</v>
      </c>
      <c r="B184" s="1" t="s">
        <v>21</v>
      </c>
      <c r="C184" s="1">
        <v>0</v>
      </c>
      <c r="D184" s="1">
        <v>0</v>
      </c>
      <c r="E184" s="1">
        <v>0</v>
      </c>
      <c r="F184" s="1">
        <v>0</v>
      </c>
      <c r="G184" s="1" t="s">
        <v>21</v>
      </c>
      <c r="H184" s="1">
        <v>0</v>
      </c>
      <c r="I184" s="1">
        <v>0</v>
      </c>
      <c r="J184" s="1">
        <v>0</v>
      </c>
      <c r="K184" s="1">
        <v>0</v>
      </c>
    </row>
    <row r="185" spans="1:11" s="1" customFormat="1">
      <c r="A185" s="4">
        <v>45198</v>
      </c>
      <c r="B185" s="1" t="s">
        <v>21</v>
      </c>
      <c r="C185" s="1">
        <v>0</v>
      </c>
      <c r="D185" s="1">
        <v>0</v>
      </c>
      <c r="E185" s="1">
        <v>0</v>
      </c>
      <c r="F185" s="1">
        <v>0</v>
      </c>
      <c r="G185" s="1" t="s">
        <v>21</v>
      </c>
      <c r="H185" s="1">
        <v>0</v>
      </c>
      <c r="I185" s="1">
        <v>0</v>
      </c>
      <c r="J185" s="1">
        <v>0</v>
      </c>
      <c r="K185" s="1">
        <v>0</v>
      </c>
    </row>
    <row r="186" spans="1:11" s="1" customFormat="1">
      <c r="A186" s="4">
        <v>45202</v>
      </c>
      <c r="B186" s="1" t="s">
        <v>21</v>
      </c>
      <c r="C186" s="1">
        <v>0</v>
      </c>
      <c r="D186" s="1">
        <v>0</v>
      </c>
      <c r="E186" s="1">
        <v>0</v>
      </c>
      <c r="F186" s="1">
        <v>0</v>
      </c>
      <c r="G186" s="1" t="s">
        <v>21</v>
      </c>
      <c r="H186" s="1">
        <v>0</v>
      </c>
      <c r="I186" s="1">
        <v>0</v>
      </c>
      <c r="J186" s="1">
        <v>0</v>
      </c>
      <c r="K186" s="1">
        <v>0</v>
      </c>
    </row>
    <row r="187" spans="1:11" s="1" customFormat="1">
      <c r="A187" s="4">
        <v>45203</v>
      </c>
      <c r="B187" s="1" t="s">
        <v>21</v>
      </c>
      <c r="C187" s="1" t="s">
        <v>21</v>
      </c>
      <c r="D187" s="1" t="s">
        <v>21</v>
      </c>
      <c r="E187" s="1" t="s">
        <v>21</v>
      </c>
      <c r="F187" s="1" t="s">
        <v>21</v>
      </c>
      <c r="G187" s="1" t="s">
        <v>21</v>
      </c>
      <c r="H187" s="1">
        <v>0</v>
      </c>
      <c r="I187" s="1">
        <v>0</v>
      </c>
      <c r="J187" s="1">
        <v>0</v>
      </c>
      <c r="K187" s="1">
        <v>0</v>
      </c>
    </row>
    <row r="188" spans="1:11" s="1" customFormat="1">
      <c r="A188" s="4">
        <v>45204</v>
      </c>
      <c r="B188" s="1" t="s">
        <v>21</v>
      </c>
      <c r="C188" s="1" t="s">
        <v>21</v>
      </c>
      <c r="D188" s="1" t="s">
        <v>21</v>
      </c>
      <c r="E188" s="1" t="s">
        <v>21</v>
      </c>
      <c r="F188" s="1" t="s">
        <v>21</v>
      </c>
      <c r="G188" s="1" t="s">
        <v>21</v>
      </c>
      <c r="H188" s="1">
        <v>0</v>
      </c>
      <c r="I188" s="1">
        <v>0</v>
      </c>
      <c r="J188" s="1">
        <v>0</v>
      </c>
      <c r="K188" s="1">
        <v>0</v>
      </c>
    </row>
    <row r="189" spans="1:11" s="1" customFormat="1">
      <c r="A189" s="4">
        <v>45205</v>
      </c>
      <c r="B189" s="1" t="s">
        <v>21</v>
      </c>
      <c r="C189" s="1" t="s">
        <v>21</v>
      </c>
      <c r="D189" s="1" t="s">
        <v>21</v>
      </c>
      <c r="E189" s="1" t="s">
        <v>21</v>
      </c>
      <c r="F189" s="1" t="s">
        <v>21</v>
      </c>
      <c r="G189" s="1" t="s">
        <v>21</v>
      </c>
      <c r="H189" s="1">
        <v>0</v>
      </c>
      <c r="I189" s="1">
        <v>0</v>
      </c>
      <c r="J189" s="1">
        <v>0</v>
      </c>
      <c r="K189" s="1">
        <v>0</v>
      </c>
    </row>
    <row r="190" spans="1:11" s="1" customFormat="1">
      <c r="A190" s="4">
        <v>45208</v>
      </c>
      <c r="B190" s="1" t="s">
        <v>21</v>
      </c>
      <c r="C190" s="1" t="s">
        <v>21</v>
      </c>
      <c r="D190" s="1" t="s">
        <v>21</v>
      </c>
      <c r="E190" s="1" t="s">
        <v>21</v>
      </c>
      <c r="F190" s="1" t="s">
        <v>21</v>
      </c>
      <c r="G190" s="1" t="s">
        <v>21</v>
      </c>
      <c r="H190" s="1">
        <v>0</v>
      </c>
      <c r="I190" s="1">
        <v>0</v>
      </c>
      <c r="J190" s="1">
        <v>0</v>
      </c>
      <c r="K190" s="1">
        <v>0</v>
      </c>
    </row>
    <row r="191" spans="1:11" s="1" customFormat="1">
      <c r="A191" s="4">
        <v>45209</v>
      </c>
      <c r="B191" s="1" t="s">
        <v>21</v>
      </c>
      <c r="C191" s="1" t="s">
        <v>21</v>
      </c>
      <c r="D191" s="1" t="s">
        <v>21</v>
      </c>
      <c r="E191" s="1" t="s">
        <v>21</v>
      </c>
      <c r="F191" s="1" t="s">
        <v>21</v>
      </c>
      <c r="G191" s="1" t="s">
        <v>21</v>
      </c>
      <c r="H191" s="1">
        <v>0</v>
      </c>
      <c r="I191" s="1">
        <v>0</v>
      </c>
      <c r="J191" s="1">
        <v>0</v>
      </c>
      <c r="K191" s="1">
        <v>0</v>
      </c>
    </row>
    <row r="192" spans="1:11" s="1" customFormat="1">
      <c r="A192" s="4">
        <v>45210</v>
      </c>
      <c r="B192" s="1" t="s">
        <v>21</v>
      </c>
      <c r="C192" s="1" t="s">
        <v>21</v>
      </c>
      <c r="D192" s="1" t="s">
        <v>21</v>
      </c>
      <c r="E192" s="1" t="s">
        <v>21</v>
      </c>
      <c r="F192" s="1" t="s">
        <v>21</v>
      </c>
      <c r="G192" s="1" t="s">
        <v>21</v>
      </c>
      <c r="H192" s="1">
        <v>0</v>
      </c>
      <c r="I192" s="1">
        <v>0</v>
      </c>
      <c r="J192" s="1">
        <v>0</v>
      </c>
      <c r="K192" s="1">
        <v>0</v>
      </c>
    </row>
    <row r="193" spans="1:11" s="1" customFormat="1">
      <c r="A193" s="4">
        <v>45211</v>
      </c>
      <c r="B193" s="1" t="s">
        <v>21</v>
      </c>
      <c r="C193" s="1" t="s">
        <v>21</v>
      </c>
      <c r="D193" s="1" t="s">
        <v>21</v>
      </c>
      <c r="E193" s="1" t="s">
        <v>21</v>
      </c>
      <c r="F193" s="1" t="s">
        <v>21</v>
      </c>
      <c r="G193" s="1" t="s">
        <v>21</v>
      </c>
      <c r="H193" s="1">
        <v>0</v>
      </c>
      <c r="I193" s="1">
        <v>0</v>
      </c>
      <c r="J193" s="1">
        <v>0</v>
      </c>
      <c r="K193" s="1">
        <v>0</v>
      </c>
    </row>
    <row r="194" spans="1:11" s="1" customFormat="1">
      <c r="A194" s="4">
        <v>45212</v>
      </c>
      <c r="B194" s="1" t="s">
        <v>21</v>
      </c>
      <c r="C194" s="1" t="s">
        <v>21</v>
      </c>
      <c r="D194" s="1" t="s">
        <v>21</v>
      </c>
      <c r="E194" s="1" t="s">
        <v>21</v>
      </c>
      <c r="F194" s="1" t="s">
        <v>21</v>
      </c>
      <c r="G194" s="1" t="s">
        <v>21</v>
      </c>
      <c r="H194" s="1">
        <v>0</v>
      </c>
      <c r="I194" s="1">
        <v>0</v>
      </c>
      <c r="J194" s="1">
        <v>0</v>
      </c>
      <c r="K194" s="1">
        <v>0</v>
      </c>
    </row>
    <row r="195" spans="1:11" s="1" customFormat="1">
      <c r="A195" s="4">
        <v>45215</v>
      </c>
      <c r="B195" s="1" t="s">
        <v>21</v>
      </c>
      <c r="C195" s="1" t="s">
        <v>21</v>
      </c>
      <c r="D195" s="1" t="s">
        <v>21</v>
      </c>
      <c r="E195" s="1" t="s">
        <v>21</v>
      </c>
      <c r="F195" s="1" t="s">
        <v>21</v>
      </c>
      <c r="G195" s="1" t="s">
        <v>21</v>
      </c>
      <c r="H195" s="1">
        <v>0</v>
      </c>
      <c r="I195" s="1">
        <v>0</v>
      </c>
      <c r="J195" s="1">
        <v>0</v>
      </c>
      <c r="K195" s="1">
        <v>0</v>
      </c>
    </row>
    <row r="196" spans="1:11" s="1" customFormat="1">
      <c r="A196" s="4">
        <v>45216</v>
      </c>
      <c r="B196" s="1" t="s">
        <v>21</v>
      </c>
      <c r="C196" s="1" t="s">
        <v>21</v>
      </c>
      <c r="D196" s="1" t="s">
        <v>21</v>
      </c>
      <c r="E196" s="1" t="s">
        <v>62</v>
      </c>
      <c r="F196" s="1" t="s">
        <v>62</v>
      </c>
      <c r="G196" s="1" t="s">
        <v>21</v>
      </c>
      <c r="H196" s="1" t="s">
        <v>21</v>
      </c>
      <c r="I196" s="1" t="s">
        <v>21</v>
      </c>
      <c r="J196" s="1" t="s">
        <v>21</v>
      </c>
      <c r="K196" s="1" t="s">
        <v>21</v>
      </c>
    </row>
    <row r="197" spans="1:11" s="1" customFormat="1">
      <c r="A197" s="4">
        <v>45217</v>
      </c>
      <c r="B197" s="1" t="s">
        <v>21</v>
      </c>
      <c r="C197" s="1">
        <v>0</v>
      </c>
      <c r="D197" s="1">
        <v>0</v>
      </c>
      <c r="E197" s="1">
        <v>0</v>
      </c>
      <c r="F197" s="1">
        <v>0</v>
      </c>
      <c r="G197" s="1" t="s">
        <v>21</v>
      </c>
      <c r="H197" s="1" t="s">
        <v>21</v>
      </c>
      <c r="I197" s="1" t="s">
        <v>21</v>
      </c>
      <c r="J197" s="1" t="s">
        <v>21</v>
      </c>
      <c r="K197" s="1" t="s">
        <v>21</v>
      </c>
    </row>
    <row r="198" spans="1:11" s="1" customFormat="1">
      <c r="A198" s="4">
        <v>45218</v>
      </c>
      <c r="B198" s="1" t="s">
        <v>21</v>
      </c>
      <c r="C198" s="1">
        <v>0</v>
      </c>
      <c r="D198" s="1">
        <v>0</v>
      </c>
      <c r="E198" s="1">
        <v>0</v>
      </c>
      <c r="F198" s="1">
        <v>0</v>
      </c>
      <c r="G198" s="1" t="s">
        <v>21</v>
      </c>
      <c r="H198" s="1">
        <v>0</v>
      </c>
      <c r="I198" s="1">
        <v>0</v>
      </c>
      <c r="J198" s="1">
        <v>0</v>
      </c>
      <c r="K198" s="1">
        <v>0</v>
      </c>
    </row>
    <row r="199" spans="1:11" s="1" customFormat="1">
      <c r="A199" s="4">
        <v>45219</v>
      </c>
      <c r="B199" s="1" t="s">
        <v>21</v>
      </c>
      <c r="C199" s="1">
        <v>0</v>
      </c>
      <c r="D199" s="1">
        <v>0</v>
      </c>
      <c r="E199" s="1">
        <v>0</v>
      </c>
      <c r="F199" s="1">
        <v>0</v>
      </c>
      <c r="G199" s="1" t="s">
        <v>21</v>
      </c>
      <c r="H199" s="1" t="s">
        <v>21</v>
      </c>
      <c r="I199" s="1" t="s">
        <v>21</v>
      </c>
      <c r="J199" s="1" t="s">
        <v>21</v>
      </c>
      <c r="K199" s="1" t="s">
        <v>21</v>
      </c>
    </row>
    <row r="200" spans="1:11" s="1" customFormat="1">
      <c r="A200" s="4">
        <v>45222</v>
      </c>
      <c r="B200" s="1" t="s">
        <v>21</v>
      </c>
      <c r="C200" s="1">
        <v>0</v>
      </c>
      <c r="D200" s="1">
        <v>0</v>
      </c>
      <c r="E200" s="1">
        <v>0</v>
      </c>
      <c r="F200" s="1">
        <v>0</v>
      </c>
      <c r="G200" s="1" t="s">
        <v>21</v>
      </c>
      <c r="H200" s="1" t="s">
        <v>21</v>
      </c>
      <c r="I200" s="1" t="s">
        <v>21</v>
      </c>
      <c r="J200" s="1" t="s">
        <v>21</v>
      </c>
      <c r="K200" s="1" t="s">
        <v>21</v>
      </c>
    </row>
    <row r="201" spans="1:11" s="1" customFormat="1">
      <c r="A201" s="4">
        <v>45223</v>
      </c>
      <c r="B201" s="1" t="s">
        <v>21</v>
      </c>
      <c r="C201" s="1">
        <v>0</v>
      </c>
      <c r="D201" s="1">
        <v>0</v>
      </c>
      <c r="E201" s="1">
        <v>0</v>
      </c>
      <c r="F201" s="1">
        <v>0</v>
      </c>
      <c r="G201" s="1" t="s">
        <v>21</v>
      </c>
      <c r="H201" s="1" t="s">
        <v>91</v>
      </c>
      <c r="I201" s="1" t="s">
        <v>101</v>
      </c>
      <c r="J201" s="1" t="s">
        <v>145</v>
      </c>
      <c r="K201" s="1" t="s">
        <v>145</v>
      </c>
    </row>
    <row r="202" spans="1:11" s="1" customFormat="1">
      <c r="A202" s="4">
        <v>45224</v>
      </c>
      <c r="B202" s="1" t="s">
        <v>21</v>
      </c>
      <c r="C202" s="1">
        <v>0</v>
      </c>
      <c r="D202" s="1">
        <v>0</v>
      </c>
      <c r="E202" s="1">
        <v>0</v>
      </c>
      <c r="F202" s="1">
        <v>0</v>
      </c>
      <c r="G202" s="1" t="s">
        <v>21</v>
      </c>
      <c r="H202" s="1">
        <v>0</v>
      </c>
      <c r="I202" s="1">
        <v>0</v>
      </c>
      <c r="J202" s="1">
        <v>0</v>
      </c>
      <c r="K202" s="1">
        <v>0</v>
      </c>
    </row>
    <row r="203" spans="1:11" s="1" customFormat="1">
      <c r="A203" s="4">
        <v>45225</v>
      </c>
      <c r="B203" s="1" t="s">
        <v>21</v>
      </c>
      <c r="C203" s="1" t="s">
        <v>21</v>
      </c>
      <c r="D203" s="1" t="s">
        <v>21</v>
      </c>
      <c r="E203" s="1" t="s">
        <v>21</v>
      </c>
      <c r="F203" s="1" t="s">
        <v>21</v>
      </c>
      <c r="G203" s="1" t="s">
        <v>21</v>
      </c>
      <c r="H203" s="1">
        <v>0</v>
      </c>
      <c r="I203" s="1">
        <v>0</v>
      </c>
      <c r="J203" s="1">
        <v>0</v>
      </c>
      <c r="K203" s="1">
        <v>0</v>
      </c>
    </row>
    <row r="204" spans="1:11" s="1" customFormat="1">
      <c r="A204" s="4">
        <v>45229</v>
      </c>
      <c r="B204" s="1" t="s">
        <v>21</v>
      </c>
      <c r="C204" s="1" t="s">
        <v>21</v>
      </c>
      <c r="D204" s="1" t="s">
        <v>21</v>
      </c>
      <c r="E204" s="1" t="s">
        <v>21</v>
      </c>
      <c r="F204" s="1" t="s">
        <v>21</v>
      </c>
      <c r="G204" s="1" t="s">
        <v>21</v>
      </c>
      <c r="H204" s="1">
        <v>0</v>
      </c>
      <c r="I204" s="1">
        <v>0</v>
      </c>
      <c r="J204" s="1">
        <v>0</v>
      </c>
      <c r="K204" s="1">
        <v>0</v>
      </c>
    </row>
    <row r="205" spans="1:11" s="1" customFormat="1">
      <c r="A205" s="4">
        <v>45230</v>
      </c>
      <c r="B205" s="1" t="s">
        <v>21</v>
      </c>
      <c r="C205" s="1" t="s">
        <v>21</v>
      </c>
      <c r="D205" s="1" t="s">
        <v>21</v>
      </c>
      <c r="E205" s="1" t="s">
        <v>21</v>
      </c>
      <c r="F205" s="1" t="s">
        <v>21</v>
      </c>
      <c r="G205" s="1" t="s">
        <v>21</v>
      </c>
      <c r="H205" s="1">
        <v>0</v>
      </c>
      <c r="I205" s="1">
        <v>0</v>
      </c>
      <c r="J205" s="1">
        <v>0</v>
      </c>
      <c r="K205" s="1">
        <v>0</v>
      </c>
    </row>
    <row r="206" spans="1:11" s="1" customFormat="1">
      <c r="A206" s="4">
        <v>45231</v>
      </c>
      <c r="B206" s="1" t="s">
        <v>21</v>
      </c>
      <c r="C206" s="1">
        <v>0</v>
      </c>
      <c r="D206" s="1">
        <v>0</v>
      </c>
      <c r="E206" s="1">
        <v>0</v>
      </c>
      <c r="F206" s="1">
        <v>0</v>
      </c>
      <c r="G206" s="1" t="s">
        <v>21</v>
      </c>
      <c r="H206" s="1">
        <v>0</v>
      </c>
      <c r="I206" s="1">
        <v>0</v>
      </c>
      <c r="J206" s="1">
        <v>0</v>
      </c>
      <c r="K206" s="1">
        <v>0</v>
      </c>
    </row>
    <row r="207" spans="1:11" s="1" customFormat="1">
      <c r="A207" s="4">
        <v>45232</v>
      </c>
      <c r="B207" s="1" t="s">
        <v>21</v>
      </c>
      <c r="C207" s="1" t="s">
        <v>21</v>
      </c>
      <c r="D207" s="1" t="s">
        <v>21</v>
      </c>
      <c r="E207" s="1" t="s">
        <v>21</v>
      </c>
      <c r="F207" s="1" t="s">
        <v>21</v>
      </c>
      <c r="G207" s="1" t="s">
        <v>21</v>
      </c>
      <c r="H207" s="1">
        <v>0</v>
      </c>
      <c r="I207" s="1">
        <v>0</v>
      </c>
      <c r="J207" s="1">
        <v>0</v>
      </c>
      <c r="K207" s="1">
        <v>0</v>
      </c>
    </row>
    <row r="208" spans="1:11" s="1" customFormat="1">
      <c r="A208" s="4">
        <v>45233</v>
      </c>
      <c r="B208" s="1" t="s">
        <v>21</v>
      </c>
      <c r="C208" s="1">
        <v>0</v>
      </c>
      <c r="D208" s="1">
        <v>0</v>
      </c>
      <c r="E208" s="1">
        <v>0</v>
      </c>
      <c r="F208" s="1">
        <v>0</v>
      </c>
      <c r="G208" s="1" t="s">
        <v>21</v>
      </c>
      <c r="H208" s="1">
        <v>0</v>
      </c>
      <c r="I208" s="1">
        <v>0</v>
      </c>
      <c r="J208" s="1">
        <v>0</v>
      </c>
      <c r="K208" s="1">
        <v>0</v>
      </c>
    </row>
    <row r="209" spans="1:11" s="1" customFormat="1">
      <c r="A209" s="4">
        <v>45237</v>
      </c>
      <c r="B209" s="1" t="s">
        <v>21</v>
      </c>
      <c r="C209" s="1" t="s">
        <v>21</v>
      </c>
      <c r="D209" s="1" t="s">
        <v>21</v>
      </c>
      <c r="E209" s="1" t="s">
        <v>21</v>
      </c>
      <c r="F209" s="1" t="s">
        <v>21</v>
      </c>
      <c r="G209" s="1" t="s">
        <v>21</v>
      </c>
      <c r="H209" s="1">
        <v>0</v>
      </c>
      <c r="I209" s="1">
        <v>0</v>
      </c>
      <c r="J209" s="1">
        <v>0</v>
      </c>
      <c r="K209" s="1">
        <v>0</v>
      </c>
    </row>
    <row r="210" spans="1:11" s="1" customFormat="1">
      <c r="A210" s="4">
        <v>45239</v>
      </c>
      <c r="B210" s="1" t="s">
        <v>21</v>
      </c>
      <c r="C210" s="1" t="s">
        <v>21</v>
      </c>
      <c r="D210" s="1" t="s">
        <v>21</v>
      </c>
      <c r="E210" s="1" t="s">
        <v>21</v>
      </c>
      <c r="F210" s="1" t="s">
        <v>21</v>
      </c>
      <c r="G210" s="1" t="s">
        <v>21</v>
      </c>
      <c r="H210" s="1">
        <v>0</v>
      </c>
      <c r="I210" s="1">
        <v>0</v>
      </c>
      <c r="J210" s="1">
        <v>0</v>
      </c>
      <c r="K210" s="1">
        <v>0</v>
      </c>
    </row>
    <row r="211" spans="1:11" s="1" customFormat="1">
      <c r="A211" s="4">
        <v>45240</v>
      </c>
      <c r="B211" s="1" t="s">
        <v>21</v>
      </c>
      <c r="C211" s="1" t="s">
        <v>21</v>
      </c>
      <c r="D211" s="1" t="s">
        <v>21</v>
      </c>
      <c r="E211" s="1" t="s">
        <v>21</v>
      </c>
      <c r="F211" s="1" t="s">
        <v>21</v>
      </c>
      <c r="G211" s="1" t="s">
        <v>21</v>
      </c>
      <c r="H211" s="1">
        <v>0</v>
      </c>
      <c r="I211" s="1">
        <v>0</v>
      </c>
      <c r="J211" s="1">
        <v>0</v>
      </c>
      <c r="K211" s="1">
        <v>0</v>
      </c>
    </row>
    <row r="212" spans="1:11" s="1" customFormat="1">
      <c r="A212" s="4">
        <v>45242</v>
      </c>
      <c r="B212" s="1" t="s">
        <v>21</v>
      </c>
      <c r="C212" s="1" t="s">
        <v>21</v>
      </c>
      <c r="D212" s="1" t="s">
        <v>21</v>
      </c>
      <c r="E212" s="1" t="s">
        <v>21</v>
      </c>
      <c r="F212" s="1" t="s">
        <v>21</v>
      </c>
      <c r="G212" s="1" t="s">
        <v>21</v>
      </c>
      <c r="H212" s="1" t="s">
        <v>21</v>
      </c>
      <c r="I212" s="1" t="s">
        <v>21</v>
      </c>
      <c r="J212" s="1" t="s">
        <v>21</v>
      </c>
      <c r="K212" s="1" t="s">
        <v>21</v>
      </c>
    </row>
    <row r="213" spans="1:11" s="1" customFormat="1">
      <c r="A213" s="4">
        <v>45246</v>
      </c>
      <c r="B213" s="1" t="s">
        <v>21</v>
      </c>
      <c r="C213" s="1">
        <v>0</v>
      </c>
      <c r="D213" s="1">
        <v>0</v>
      </c>
      <c r="E213" s="1">
        <v>0</v>
      </c>
      <c r="F213" s="1">
        <v>0</v>
      </c>
      <c r="G213" s="1" t="s">
        <v>21</v>
      </c>
      <c r="H213" s="1" t="s">
        <v>69</v>
      </c>
      <c r="I213" s="1" t="s">
        <v>69</v>
      </c>
      <c r="J213" s="1" t="s">
        <v>69</v>
      </c>
      <c r="K213" s="1" t="s">
        <v>69</v>
      </c>
    </row>
    <row r="214" spans="1:11" s="1" customFormat="1">
      <c r="A214" s="4">
        <v>45247</v>
      </c>
      <c r="B214" s="1" t="s">
        <v>21</v>
      </c>
      <c r="C214" s="1">
        <v>0</v>
      </c>
      <c r="D214" s="1">
        <v>0</v>
      </c>
      <c r="E214" s="1">
        <v>0</v>
      </c>
      <c r="F214" s="1">
        <v>0</v>
      </c>
      <c r="G214" s="1" t="s">
        <v>21</v>
      </c>
      <c r="H214" s="1" t="s">
        <v>21</v>
      </c>
      <c r="I214" s="1" t="s">
        <v>21</v>
      </c>
      <c r="J214" s="1" t="s">
        <v>21</v>
      </c>
      <c r="K214" s="1" t="s">
        <v>21</v>
      </c>
    </row>
    <row r="215" spans="1:11" s="1" customFormat="1">
      <c r="A215" s="4">
        <v>45251</v>
      </c>
      <c r="B215" s="1" t="s">
        <v>21</v>
      </c>
      <c r="C215" s="1">
        <v>0</v>
      </c>
      <c r="D215" s="1">
        <v>0</v>
      </c>
      <c r="E215" s="1">
        <v>0</v>
      </c>
      <c r="F215" s="1">
        <v>0</v>
      </c>
      <c r="G215" s="1" t="s">
        <v>21</v>
      </c>
      <c r="H215" s="1" t="s">
        <v>21</v>
      </c>
      <c r="I215" s="1" t="s">
        <v>21</v>
      </c>
      <c r="J215" s="1" t="s">
        <v>21</v>
      </c>
      <c r="K215" s="1" t="s">
        <v>21</v>
      </c>
    </row>
    <row r="216" spans="1:11" s="1" customFormat="1">
      <c r="A216" s="4">
        <v>45252</v>
      </c>
      <c r="B216" s="1" t="s">
        <v>21</v>
      </c>
      <c r="C216" s="1">
        <v>0</v>
      </c>
      <c r="D216" s="1">
        <v>0</v>
      </c>
      <c r="E216" s="1">
        <v>0</v>
      </c>
      <c r="F216" s="1">
        <v>0</v>
      </c>
      <c r="G216" s="1" t="s">
        <v>21</v>
      </c>
      <c r="H216" s="1" t="s">
        <v>92</v>
      </c>
      <c r="I216" s="1" t="s">
        <v>92</v>
      </c>
      <c r="J216" s="1" t="s">
        <v>92</v>
      </c>
      <c r="K216" s="1" t="s">
        <v>92</v>
      </c>
    </row>
    <row r="217" spans="1:11" s="1" customFormat="1">
      <c r="A217" s="4">
        <v>45253</v>
      </c>
      <c r="B217" s="1" t="s">
        <v>21</v>
      </c>
      <c r="C217" s="1">
        <v>0</v>
      </c>
      <c r="D217" s="1">
        <v>0</v>
      </c>
      <c r="E217" s="1">
        <v>0</v>
      </c>
      <c r="F217" s="1">
        <v>0</v>
      </c>
      <c r="G217" s="1" t="s">
        <v>21</v>
      </c>
      <c r="H217" s="1" t="s">
        <v>21</v>
      </c>
      <c r="I217" s="1" t="s">
        <v>21</v>
      </c>
      <c r="J217" s="1" t="s">
        <v>21</v>
      </c>
      <c r="K217" s="1" t="s">
        <v>21</v>
      </c>
    </row>
    <row r="218" spans="1:11" s="1" customFormat="1">
      <c r="A218" s="4">
        <v>45254</v>
      </c>
      <c r="B218" s="1" t="s">
        <v>21</v>
      </c>
      <c r="C218" s="1">
        <v>0</v>
      </c>
      <c r="D218" s="1">
        <v>0</v>
      </c>
      <c r="E218" s="1">
        <v>0</v>
      </c>
      <c r="F218" s="1">
        <v>0</v>
      </c>
      <c r="G218" s="1" t="s">
        <v>21</v>
      </c>
      <c r="H218" s="1">
        <v>0</v>
      </c>
      <c r="I218" s="1">
        <v>0</v>
      </c>
      <c r="J218" s="1">
        <v>0</v>
      </c>
      <c r="K218" s="1">
        <v>0</v>
      </c>
    </row>
    <row r="219" spans="1:11" s="1" customFormat="1">
      <c r="A219" s="4">
        <v>45260</v>
      </c>
      <c r="B219" s="1" t="s">
        <v>21</v>
      </c>
      <c r="C219" s="1">
        <v>0</v>
      </c>
      <c r="D219" s="1">
        <v>0</v>
      </c>
      <c r="E219" s="1">
        <v>0</v>
      </c>
      <c r="F219" s="1">
        <v>0</v>
      </c>
      <c r="G219" s="1" t="s">
        <v>21</v>
      </c>
      <c r="H219" s="1">
        <v>0</v>
      </c>
      <c r="I219" s="1">
        <v>0</v>
      </c>
      <c r="J219" s="1">
        <v>0</v>
      </c>
      <c r="K219" s="1">
        <v>0</v>
      </c>
    </row>
    <row r="220" spans="1:11" s="1" customFormat="1">
      <c r="A220" s="4">
        <v>45261</v>
      </c>
      <c r="B220" s="1" t="s">
        <v>21</v>
      </c>
      <c r="C220" s="1" t="s">
        <v>21</v>
      </c>
      <c r="D220" s="1" t="s">
        <v>21</v>
      </c>
      <c r="E220" s="1" t="s">
        <v>21</v>
      </c>
      <c r="F220" s="1" t="s">
        <v>21</v>
      </c>
      <c r="G220" s="1" t="s">
        <v>21</v>
      </c>
      <c r="H220" s="1">
        <v>0</v>
      </c>
      <c r="I220" s="1">
        <v>0</v>
      </c>
      <c r="J220" s="1">
        <v>0</v>
      </c>
      <c r="K220" s="1">
        <v>0</v>
      </c>
    </row>
    <row r="221" spans="1:11" s="1" customFormat="1">
      <c r="A221" s="4">
        <v>45264</v>
      </c>
      <c r="B221" s="1" t="s">
        <v>21</v>
      </c>
      <c r="C221" s="1" t="s">
        <v>21</v>
      </c>
      <c r="D221" s="1" t="s">
        <v>21</v>
      </c>
      <c r="E221" s="1" t="s">
        <v>21</v>
      </c>
      <c r="F221" s="1" t="s">
        <v>21</v>
      </c>
      <c r="G221" s="1" t="s">
        <v>21</v>
      </c>
      <c r="H221" s="1">
        <v>0</v>
      </c>
      <c r="I221" s="1">
        <v>0</v>
      </c>
      <c r="J221" s="1">
        <v>0</v>
      </c>
      <c r="K221" s="1">
        <v>0</v>
      </c>
    </row>
    <row r="222" spans="1:11" s="1" customFormat="1">
      <c r="A222" s="4">
        <v>45265</v>
      </c>
      <c r="B222" s="1" t="s">
        <v>21</v>
      </c>
      <c r="C222" s="1" t="s">
        <v>21</v>
      </c>
      <c r="D222" s="1" t="s">
        <v>21</v>
      </c>
      <c r="E222" s="1" t="s">
        <v>21</v>
      </c>
      <c r="F222" s="1" t="s">
        <v>21</v>
      </c>
      <c r="G222" s="1" t="s">
        <v>21</v>
      </c>
      <c r="H222" s="1">
        <v>0</v>
      </c>
      <c r="I222" s="1">
        <v>0</v>
      </c>
      <c r="J222" s="1">
        <v>0</v>
      </c>
      <c r="K222" s="1">
        <v>0</v>
      </c>
    </row>
    <row r="223" spans="1:11" s="1" customFormat="1">
      <c r="A223" s="4">
        <v>45266</v>
      </c>
      <c r="B223" s="1" t="s">
        <v>21</v>
      </c>
      <c r="C223" s="1" t="s">
        <v>21</v>
      </c>
      <c r="D223" s="1" t="s">
        <v>21</v>
      </c>
      <c r="E223" s="1" t="s">
        <v>21</v>
      </c>
      <c r="F223" s="1" t="s">
        <v>21</v>
      </c>
      <c r="G223" s="1" t="s">
        <v>21</v>
      </c>
      <c r="H223" s="1">
        <v>0</v>
      </c>
      <c r="I223" s="1">
        <v>0</v>
      </c>
      <c r="J223" s="1">
        <v>0</v>
      </c>
      <c r="K223" s="1">
        <v>0</v>
      </c>
    </row>
    <row r="224" spans="1:11" s="1" customFormat="1">
      <c r="A224" s="4">
        <v>45267</v>
      </c>
      <c r="B224" s="1" t="s">
        <v>21</v>
      </c>
      <c r="C224" s="1" t="s">
        <v>21</v>
      </c>
      <c r="D224" s="1" t="s">
        <v>21</v>
      </c>
      <c r="E224" s="1" t="s">
        <v>21</v>
      </c>
      <c r="F224" s="1" t="s">
        <v>21</v>
      </c>
      <c r="G224" s="1" t="s">
        <v>21</v>
      </c>
      <c r="H224" s="1">
        <v>0</v>
      </c>
      <c r="I224" s="1">
        <v>0</v>
      </c>
      <c r="J224" s="1">
        <v>0</v>
      </c>
      <c r="K224" s="1">
        <v>0</v>
      </c>
    </row>
    <row r="225" spans="1:11" s="1" customFormat="1">
      <c r="A225" s="4">
        <v>45268</v>
      </c>
      <c r="B225" s="1" t="s">
        <v>21</v>
      </c>
      <c r="C225" s="1" t="s">
        <v>21</v>
      </c>
      <c r="D225" s="1" t="s">
        <v>21</v>
      </c>
      <c r="E225" s="1" t="s">
        <v>21</v>
      </c>
      <c r="F225" s="1" t="s">
        <v>21</v>
      </c>
      <c r="G225" s="1" t="s">
        <v>21</v>
      </c>
      <c r="H225" s="1" t="s">
        <v>21</v>
      </c>
      <c r="I225" s="1" t="s">
        <v>21</v>
      </c>
      <c r="J225" s="1" t="s">
        <v>21</v>
      </c>
      <c r="K225" s="1" t="s">
        <v>21</v>
      </c>
    </row>
    <row r="226" spans="1:11" s="1" customFormat="1">
      <c r="A226" s="4">
        <v>45271</v>
      </c>
      <c r="B226" s="1" t="s">
        <v>21</v>
      </c>
      <c r="C226" s="1" t="s">
        <v>21</v>
      </c>
      <c r="D226" s="1" t="s">
        <v>21</v>
      </c>
      <c r="E226" s="1" t="s">
        <v>21</v>
      </c>
      <c r="F226" s="1" t="s">
        <v>21</v>
      </c>
      <c r="G226" s="1" t="s">
        <v>21</v>
      </c>
      <c r="H226" s="1" t="s">
        <v>93</v>
      </c>
      <c r="I226" s="1" t="s">
        <v>93</v>
      </c>
      <c r="J226" s="1" t="s">
        <v>93</v>
      </c>
      <c r="K226" s="1" t="s">
        <v>93</v>
      </c>
    </row>
    <row r="227" spans="1:11" s="1" customFormat="1">
      <c r="A227" s="4">
        <v>45272</v>
      </c>
      <c r="B227" s="1" t="s">
        <v>21</v>
      </c>
      <c r="C227" s="1" t="s">
        <v>21</v>
      </c>
      <c r="D227" s="1" t="s">
        <v>21</v>
      </c>
      <c r="E227" s="1" t="s">
        <v>63</v>
      </c>
      <c r="F227" s="1" t="s">
        <v>63</v>
      </c>
      <c r="G227" s="1" t="s">
        <v>21</v>
      </c>
      <c r="H227" s="1" t="s">
        <v>94</v>
      </c>
      <c r="I227" s="1" t="s">
        <v>94</v>
      </c>
      <c r="J227" s="1" t="s">
        <v>94</v>
      </c>
      <c r="K227" s="1" t="s">
        <v>94</v>
      </c>
    </row>
    <row r="228" spans="1:11" s="1" customFormat="1">
      <c r="A228" s="4">
        <v>45273</v>
      </c>
      <c r="B228" s="1" t="s">
        <v>21</v>
      </c>
      <c r="C228" s="1" t="s">
        <v>21</v>
      </c>
      <c r="D228" s="1" t="s">
        <v>21</v>
      </c>
      <c r="E228" s="1" t="s">
        <v>21</v>
      </c>
      <c r="F228" s="1" t="s">
        <v>21</v>
      </c>
      <c r="G228" s="1" t="s">
        <v>21</v>
      </c>
      <c r="H228" s="1" t="s">
        <v>21</v>
      </c>
      <c r="I228" s="1" t="s">
        <v>21</v>
      </c>
      <c r="J228" s="1" t="s">
        <v>21</v>
      </c>
      <c r="K228" s="1" t="s">
        <v>21</v>
      </c>
    </row>
    <row r="229" spans="1:11" s="1" customFormat="1">
      <c r="A229" s="4">
        <v>45274</v>
      </c>
      <c r="B229" s="1" t="s">
        <v>21</v>
      </c>
      <c r="C229" s="1" t="s">
        <v>21</v>
      </c>
      <c r="D229" s="1" t="s">
        <v>21</v>
      </c>
      <c r="E229" s="1" t="s">
        <v>21</v>
      </c>
      <c r="F229" s="1" t="s">
        <v>21</v>
      </c>
      <c r="G229" s="1" t="s">
        <v>21</v>
      </c>
      <c r="H229" s="1" t="s">
        <v>92</v>
      </c>
      <c r="I229" s="1" t="s">
        <v>92</v>
      </c>
      <c r="J229" s="1" t="s">
        <v>92</v>
      </c>
      <c r="K229" s="1" t="s">
        <v>92</v>
      </c>
    </row>
    <row r="230" spans="1:11" s="1" customFormat="1">
      <c r="A230" s="4">
        <v>45275</v>
      </c>
      <c r="B230" s="1" t="s">
        <v>21</v>
      </c>
      <c r="C230" s="1" t="s">
        <v>21</v>
      </c>
      <c r="D230" s="1" t="s">
        <v>21</v>
      </c>
      <c r="E230" s="1" t="s">
        <v>21</v>
      </c>
      <c r="F230" s="1" t="s">
        <v>21</v>
      </c>
      <c r="G230" s="1" t="s">
        <v>21</v>
      </c>
      <c r="H230" s="1" t="s">
        <v>21</v>
      </c>
      <c r="I230" s="1" t="s">
        <v>21</v>
      </c>
      <c r="J230" s="1" t="s">
        <v>21</v>
      </c>
      <c r="K230" s="1" t="s">
        <v>21</v>
      </c>
    </row>
    <row r="231" spans="1:11" s="1" customFormat="1">
      <c r="A231" s="4">
        <v>45292</v>
      </c>
      <c r="B231" s="1" t="s">
        <v>21</v>
      </c>
      <c r="C231" s="1" t="s">
        <v>21</v>
      </c>
      <c r="D231" s="1" t="s">
        <v>21</v>
      </c>
      <c r="E231" s="1" t="s">
        <v>21</v>
      </c>
      <c r="F231" s="1" t="s">
        <v>21</v>
      </c>
      <c r="G231" s="1" t="s">
        <v>21</v>
      </c>
      <c r="H231" s="1" t="s">
        <v>21</v>
      </c>
      <c r="I231" s="1" t="s">
        <v>21</v>
      </c>
      <c r="J231" s="1" t="s">
        <v>21</v>
      </c>
      <c r="K231" s="1" t="s">
        <v>21</v>
      </c>
    </row>
    <row r="232" spans="1:11" s="1" customFormat="1">
      <c r="A232" s="4">
        <v>45293</v>
      </c>
      <c r="B232" s="1" t="s">
        <v>21</v>
      </c>
      <c r="C232" s="1" t="s">
        <v>21</v>
      </c>
      <c r="D232" s="1" t="s">
        <v>46</v>
      </c>
      <c r="E232" s="1" t="s">
        <v>46</v>
      </c>
      <c r="F232" s="1" t="s">
        <v>46</v>
      </c>
      <c r="G232" s="1" t="s">
        <v>21</v>
      </c>
      <c r="H232" s="1" t="s">
        <v>21</v>
      </c>
      <c r="I232" s="1" t="s">
        <v>21</v>
      </c>
      <c r="J232" s="1" t="s">
        <v>21</v>
      </c>
      <c r="K232" s="1" t="s">
        <v>21</v>
      </c>
    </row>
    <row r="233" spans="1:11" s="1" customFormat="1">
      <c r="A233" s="4">
        <v>45294</v>
      </c>
      <c r="B233" s="1" t="s">
        <v>21</v>
      </c>
      <c r="C233" s="1" t="s">
        <v>21</v>
      </c>
      <c r="D233" s="1" t="s">
        <v>21</v>
      </c>
      <c r="E233" s="1" t="s">
        <v>21</v>
      </c>
      <c r="F233" s="1" t="s">
        <v>21</v>
      </c>
      <c r="G233" s="1" t="s">
        <v>21</v>
      </c>
      <c r="H233" s="1" t="s">
        <v>21</v>
      </c>
      <c r="I233" s="1" t="s">
        <v>21</v>
      </c>
      <c r="J233" s="1" t="s">
        <v>21</v>
      </c>
      <c r="K233" s="1" t="s">
        <v>21</v>
      </c>
    </row>
    <row r="234" spans="1:11" s="1" customFormat="1">
      <c r="A234" s="4">
        <v>45308</v>
      </c>
      <c r="B234" s="1" t="s">
        <v>21</v>
      </c>
      <c r="C234" s="1" t="s">
        <v>21</v>
      </c>
      <c r="D234" s="1" t="s">
        <v>21</v>
      </c>
      <c r="E234" s="1" t="s">
        <v>21</v>
      </c>
      <c r="F234" s="1" t="s">
        <v>21</v>
      </c>
      <c r="G234" s="1" t="s">
        <v>21</v>
      </c>
      <c r="H234" s="1" t="s">
        <v>21</v>
      </c>
      <c r="I234" s="1" t="s">
        <v>21</v>
      </c>
      <c r="J234" s="1" t="s">
        <v>21</v>
      </c>
      <c r="K234" s="1" t="s">
        <v>21</v>
      </c>
    </row>
    <row r="235" spans="1:11" s="1" customFormat="1">
      <c r="A235" s="4">
        <v>45309</v>
      </c>
      <c r="B235" s="1" t="s">
        <v>21</v>
      </c>
      <c r="C235" s="1" t="s">
        <v>21</v>
      </c>
      <c r="D235" s="1" t="s">
        <v>21</v>
      </c>
      <c r="E235" s="1" t="s">
        <v>21</v>
      </c>
      <c r="F235" s="1" t="s">
        <v>21</v>
      </c>
      <c r="G235" s="1" t="s">
        <v>21</v>
      </c>
      <c r="H235" s="1" t="s">
        <v>95</v>
      </c>
      <c r="I235" s="1" t="s">
        <v>95</v>
      </c>
      <c r="J235" s="1" t="s">
        <v>95</v>
      </c>
      <c r="K235" s="1" t="s">
        <v>95</v>
      </c>
    </row>
    <row r="236" spans="1:11" s="1" customFormat="1">
      <c r="A236" s="4">
        <v>45327</v>
      </c>
      <c r="B236" s="1" t="s">
        <v>21</v>
      </c>
      <c r="C236" s="1" t="s">
        <v>21</v>
      </c>
      <c r="D236" s="1" t="s">
        <v>21</v>
      </c>
      <c r="E236" s="1" t="s">
        <v>21</v>
      </c>
      <c r="F236" s="1" t="s">
        <v>21</v>
      </c>
      <c r="G236" s="1" t="s">
        <v>21</v>
      </c>
      <c r="H236" s="1">
        <v>0</v>
      </c>
      <c r="I236" s="1">
        <v>0</v>
      </c>
      <c r="J236" s="1">
        <v>0</v>
      </c>
      <c r="K236" s="1">
        <v>0</v>
      </c>
    </row>
    <row r="237" spans="1:11" s="1" customFormat="1">
      <c r="A237" s="4">
        <v>45328</v>
      </c>
      <c r="B237" s="1" t="s">
        <v>21</v>
      </c>
      <c r="C237" s="1" t="s">
        <v>21</v>
      </c>
      <c r="D237" s="1" t="s">
        <v>21</v>
      </c>
      <c r="E237" s="1" t="s">
        <v>21</v>
      </c>
      <c r="F237" s="1" t="s">
        <v>21</v>
      </c>
      <c r="G237" s="1" t="s">
        <v>21</v>
      </c>
      <c r="H237" s="1">
        <v>0</v>
      </c>
      <c r="I237" s="1">
        <v>0</v>
      </c>
      <c r="J237" s="1">
        <v>0</v>
      </c>
      <c r="K237" s="1">
        <v>0</v>
      </c>
    </row>
    <row r="238" spans="1:11" s="1" customFormat="1">
      <c r="A238" s="4">
        <v>45329</v>
      </c>
      <c r="B238" s="1" t="s">
        <v>21</v>
      </c>
      <c r="C238" s="1" t="s">
        <v>21</v>
      </c>
      <c r="D238" s="1" t="s">
        <v>21</v>
      </c>
      <c r="E238" s="1" t="s">
        <v>21</v>
      </c>
      <c r="F238" s="1" t="s">
        <v>21</v>
      </c>
      <c r="G238" s="1" t="s">
        <v>21</v>
      </c>
      <c r="H238" s="1">
        <v>0</v>
      </c>
      <c r="I238" s="1">
        <v>0</v>
      </c>
      <c r="J238" s="1">
        <v>0</v>
      </c>
      <c r="K238" s="1">
        <v>0</v>
      </c>
    </row>
    <row r="239" spans="1:11" s="1" customFormat="1">
      <c r="A239" s="4">
        <v>45334</v>
      </c>
      <c r="B239" s="1" t="s">
        <v>21</v>
      </c>
      <c r="C239" s="1" t="s">
        <v>21</v>
      </c>
      <c r="D239" s="1" t="s">
        <v>21</v>
      </c>
      <c r="E239" s="1" t="s">
        <v>21</v>
      </c>
      <c r="F239" s="1" t="s">
        <v>21</v>
      </c>
      <c r="G239" s="1" t="s">
        <v>21</v>
      </c>
      <c r="H239" s="1">
        <v>0</v>
      </c>
      <c r="I239" s="1">
        <v>0</v>
      </c>
      <c r="J239" s="1">
        <v>0</v>
      </c>
      <c r="K239" s="1">
        <v>0</v>
      </c>
    </row>
    <row r="240" spans="1:11" s="1" customFormat="1">
      <c r="A240" s="4">
        <v>45335</v>
      </c>
      <c r="B240" s="1" t="s">
        <v>21</v>
      </c>
      <c r="C240" s="1" t="s">
        <v>21</v>
      </c>
      <c r="D240" s="1" t="s">
        <v>21</v>
      </c>
      <c r="E240" s="1" t="s">
        <v>21</v>
      </c>
      <c r="F240" s="1" t="s">
        <v>21</v>
      </c>
      <c r="G240" s="1" t="s">
        <v>21</v>
      </c>
      <c r="H240" s="1">
        <v>0</v>
      </c>
      <c r="I240" s="1">
        <v>0</v>
      </c>
      <c r="J240" s="1">
        <v>0</v>
      </c>
      <c r="K240" s="1">
        <v>0</v>
      </c>
    </row>
    <row r="241" spans="1:11" s="1" customFormat="1">
      <c r="A241" s="4">
        <v>45336</v>
      </c>
      <c r="B241" s="1" t="s">
        <v>21</v>
      </c>
      <c r="C241" s="1" t="s">
        <v>21</v>
      </c>
      <c r="D241" s="1" t="s">
        <v>21</v>
      </c>
      <c r="E241" s="1" t="s">
        <v>21</v>
      </c>
      <c r="F241" s="1" t="s">
        <v>21</v>
      </c>
      <c r="G241" s="1" t="s">
        <v>21</v>
      </c>
      <c r="H241" s="1">
        <v>0</v>
      </c>
      <c r="I241" s="1">
        <v>0</v>
      </c>
      <c r="J241" s="1">
        <v>0</v>
      </c>
      <c r="K241" s="1">
        <v>0</v>
      </c>
    </row>
    <row r="242" spans="1:11" s="1" customFormat="1">
      <c r="A242" s="4">
        <v>45337</v>
      </c>
      <c r="B242" s="1" t="s">
        <v>21</v>
      </c>
      <c r="C242" s="1">
        <v>0</v>
      </c>
      <c r="D242" s="1">
        <v>0</v>
      </c>
      <c r="E242" s="1">
        <v>0</v>
      </c>
      <c r="F242" s="1">
        <v>0</v>
      </c>
      <c r="G242" s="1" t="s">
        <v>21</v>
      </c>
      <c r="H242" s="1" t="s">
        <v>96</v>
      </c>
      <c r="I242" s="1" t="s">
        <v>96</v>
      </c>
      <c r="J242" s="1" t="s">
        <v>96</v>
      </c>
      <c r="K242" s="1" t="s">
        <v>96</v>
      </c>
    </row>
    <row r="243" spans="1:11" s="1" customFormat="1">
      <c r="A243" s="4">
        <v>45338</v>
      </c>
      <c r="B243" s="1" t="s">
        <v>21</v>
      </c>
      <c r="C243" s="1">
        <v>0</v>
      </c>
      <c r="D243" s="1">
        <v>0</v>
      </c>
      <c r="E243" s="1">
        <v>0</v>
      </c>
      <c r="F243" s="1">
        <v>0</v>
      </c>
      <c r="G243" s="1" t="s">
        <v>21</v>
      </c>
      <c r="H243" s="1" t="s">
        <v>97</v>
      </c>
      <c r="I243" s="1" t="s">
        <v>97</v>
      </c>
      <c r="J243" s="1" t="s">
        <v>97</v>
      </c>
      <c r="K243" s="1" t="s">
        <v>97</v>
      </c>
    </row>
    <row r="244" spans="1:11" s="1" customFormat="1">
      <c r="A244" s="4">
        <v>45341</v>
      </c>
      <c r="B244" s="1" t="s">
        <v>21</v>
      </c>
      <c r="C244" s="1">
        <v>0</v>
      </c>
      <c r="D244" s="1">
        <v>0</v>
      </c>
      <c r="E244" s="1">
        <v>0</v>
      </c>
      <c r="F244" s="1">
        <v>0</v>
      </c>
      <c r="G244" s="1" t="s">
        <v>21</v>
      </c>
      <c r="H244" s="1" t="s">
        <v>21</v>
      </c>
      <c r="I244" s="1" t="s">
        <v>21</v>
      </c>
      <c r="J244" s="1" t="s">
        <v>21</v>
      </c>
      <c r="K244" s="1" t="s">
        <v>21</v>
      </c>
    </row>
    <row r="245" spans="1:11" s="1" customFormat="1">
      <c r="A245" s="4">
        <v>45342</v>
      </c>
      <c r="B245" s="1" t="s">
        <v>21</v>
      </c>
      <c r="C245" s="1">
        <v>0</v>
      </c>
      <c r="D245" s="1">
        <v>0</v>
      </c>
      <c r="E245" s="1">
        <v>0</v>
      </c>
      <c r="F245" s="1">
        <v>0</v>
      </c>
      <c r="G245" s="1" t="s">
        <v>21</v>
      </c>
      <c r="H245" s="1" t="s">
        <v>21</v>
      </c>
      <c r="I245" s="1" t="s">
        <v>21</v>
      </c>
      <c r="J245" s="1" t="s">
        <v>21</v>
      </c>
      <c r="K245" s="1" t="s">
        <v>21</v>
      </c>
    </row>
    <row r="246" spans="1:11" s="1" customFormat="1">
      <c r="A246" s="4">
        <v>45343</v>
      </c>
      <c r="B246" s="1" t="s">
        <v>21</v>
      </c>
      <c r="C246" s="1">
        <v>0</v>
      </c>
      <c r="D246" s="1">
        <v>0</v>
      </c>
      <c r="E246" s="1">
        <v>0</v>
      </c>
      <c r="F246" s="1">
        <v>0</v>
      </c>
      <c r="G246" s="1" t="s">
        <v>21</v>
      </c>
      <c r="H246" s="1">
        <v>0</v>
      </c>
      <c r="I246" s="1">
        <v>0</v>
      </c>
      <c r="J246" s="1">
        <v>0</v>
      </c>
      <c r="K246" s="1">
        <v>0</v>
      </c>
    </row>
    <row r="247" spans="1:11" s="1" customFormat="1">
      <c r="A247" s="4">
        <v>45344</v>
      </c>
      <c r="B247" s="1" t="s">
        <v>21</v>
      </c>
      <c r="C247" s="1">
        <v>0</v>
      </c>
      <c r="D247" s="1">
        <v>0</v>
      </c>
      <c r="E247" s="1">
        <v>0</v>
      </c>
      <c r="F247" s="1">
        <v>0</v>
      </c>
      <c r="G247" s="1" t="s">
        <v>21</v>
      </c>
      <c r="H247" s="1" t="s">
        <v>21</v>
      </c>
      <c r="I247" s="1" t="s">
        <v>21</v>
      </c>
      <c r="J247" s="1" t="s">
        <v>26</v>
      </c>
      <c r="K247" s="1" t="s">
        <v>26</v>
      </c>
    </row>
    <row r="248" spans="1:11" s="1" customFormat="1">
      <c r="A248" s="4">
        <v>45345</v>
      </c>
      <c r="B248" s="1" t="s">
        <v>21</v>
      </c>
      <c r="C248" s="1">
        <v>0</v>
      </c>
      <c r="D248" s="1">
        <v>0</v>
      </c>
      <c r="E248" s="1">
        <v>0</v>
      </c>
      <c r="F248" s="1">
        <v>0</v>
      </c>
      <c r="G248" s="1" t="s">
        <v>21</v>
      </c>
      <c r="H248" s="1">
        <v>0</v>
      </c>
      <c r="I248" s="1">
        <v>0</v>
      </c>
      <c r="J248" s="1">
        <v>0</v>
      </c>
      <c r="K248" s="1">
        <v>0</v>
      </c>
    </row>
    <row r="249" spans="1:11" s="1" customFormat="1">
      <c r="A249" s="4">
        <v>45348</v>
      </c>
      <c r="B249" s="1" t="s">
        <v>21</v>
      </c>
      <c r="C249" s="1">
        <v>0</v>
      </c>
      <c r="D249" s="1">
        <v>0</v>
      </c>
      <c r="E249" s="1">
        <v>0</v>
      </c>
      <c r="F249" s="1">
        <v>0</v>
      </c>
      <c r="G249" s="1" t="s">
        <v>21</v>
      </c>
      <c r="H249" s="1">
        <v>0</v>
      </c>
      <c r="I249" s="1">
        <v>0</v>
      </c>
      <c r="J249" s="1">
        <v>0</v>
      </c>
      <c r="K249" s="1">
        <v>0</v>
      </c>
    </row>
    <row r="250" spans="1:11" s="1" customFormat="1">
      <c r="A250" s="4">
        <v>45349</v>
      </c>
      <c r="B250" s="1" t="s">
        <v>21</v>
      </c>
      <c r="C250" s="1">
        <v>0</v>
      </c>
      <c r="D250" s="1">
        <v>0</v>
      </c>
      <c r="E250" s="1">
        <v>0</v>
      </c>
      <c r="F250" s="1">
        <v>0</v>
      </c>
      <c r="G250" s="1" t="s">
        <v>21</v>
      </c>
      <c r="H250" s="1">
        <v>0</v>
      </c>
      <c r="I250" s="1">
        <v>0</v>
      </c>
      <c r="J250" s="1">
        <v>0</v>
      </c>
      <c r="K250" s="1">
        <v>0</v>
      </c>
    </row>
    <row r="251" spans="1:11" s="1" customFormat="1">
      <c r="A251" s="4">
        <v>45350</v>
      </c>
      <c r="B251" s="1" t="s">
        <v>21</v>
      </c>
      <c r="C251" s="1">
        <v>0</v>
      </c>
      <c r="D251" s="1">
        <v>0</v>
      </c>
      <c r="E251" s="1">
        <v>0</v>
      </c>
      <c r="F251" s="1">
        <v>0</v>
      </c>
      <c r="G251" s="1" t="s">
        <v>21</v>
      </c>
      <c r="H251" s="1">
        <v>0</v>
      </c>
      <c r="I251" s="1">
        <v>0</v>
      </c>
      <c r="J251" s="1">
        <v>0</v>
      </c>
      <c r="K251" s="1">
        <v>0</v>
      </c>
    </row>
    <row r="252" spans="1:11" s="1" customFormat="1">
      <c r="A252" s="4">
        <v>45351</v>
      </c>
      <c r="B252" s="1" t="s">
        <v>21</v>
      </c>
      <c r="C252" s="1">
        <v>0</v>
      </c>
      <c r="D252" s="1">
        <v>0</v>
      </c>
      <c r="E252" s="1">
        <v>0</v>
      </c>
      <c r="F252" s="1">
        <v>0</v>
      </c>
      <c r="G252" s="1" t="s">
        <v>21</v>
      </c>
      <c r="H252" s="1">
        <v>0</v>
      </c>
      <c r="I252" s="1">
        <v>0</v>
      </c>
      <c r="J252" s="1">
        <v>0</v>
      </c>
      <c r="K252" s="1">
        <v>0</v>
      </c>
    </row>
    <row r="253" spans="1:11" s="1" customFormat="1">
      <c r="A253" s="4">
        <v>45352</v>
      </c>
      <c r="B253" s="1" t="s">
        <v>21</v>
      </c>
      <c r="C253" s="1">
        <v>0</v>
      </c>
      <c r="D253" s="1">
        <v>0</v>
      </c>
      <c r="E253" s="1">
        <v>0</v>
      </c>
      <c r="F253" s="1">
        <v>0</v>
      </c>
      <c r="G253" s="1" t="s">
        <v>21</v>
      </c>
      <c r="H253" s="1">
        <v>0</v>
      </c>
      <c r="I253" s="1">
        <v>0</v>
      </c>
      <c r="J253" s="1">
        <v>0</v>
      </c>
      <c r="K253" s="1">
        <v>0</v>
      </c>
    </row>
    <row r="254" spans="1:11" s="1" customFormat="1">
      <c r="A254" s="4">
        <v>45355</v>
      </c>
      <c r="B254" s="1" t="s">
        <v>21</v>
      </c>
      <c r="C254" s="1" t="s">
        <v>21</v>
      </c>
      <c r="D254" s="1" t="s">
        <v>21</v>
      </c>
      <c r="E254" s="1" t="s">
        <v>21</v>
      </c>
      <c r="F254" s="1" t="s">
        <v>21</v>
      </c>
      <c r="G254" s="1" t="s">
        <v>21</v>
      </c>
      <c r="H254" s="1">
        <v>0</v>
      </c>
      <c r="I254" s="1">
        <v>0</v>
      </c>
      <c r="J254" s="1">
        <v>0</v>
      </c>
      <c r="K254" s="1">
        <v>0</v>
      </c>
    </row>
    <row r="255" spans="1:11" s="1" customFormat="1">
      <c r="A255" s="4">
        <v>45356</v>
      </c>
      <c r="B255" s="1" t="s">
        <v>21</v>
      </c>
      <c r="C255" s="1" t="s">
        <v>21</v>
      </c>
      <c r="D255" s="1" t="s">
        <v>21</v>
      </c>
      <c r="E255" s="1" t="s">
        <v>21</v>
      </c>
      <c r="F255" s="1" t="s">
        <v>21</v>
      </c>
      <c r="G255" s="1" t="s">
        <v>21</v>
      </c>
      <c r="H255" s="1">
        <v>0</v>
      </c>
      <c r="I255" s="1">
        <v>0</v>
      </c>
      <c r="J255" s="1">
        <v>0</v>
      </c>
      <c r="K255" s="1">
        <v>0</v>
      </c>
    </row>
    <row r="256" spans="1:11" s="1" customFormat="1">
      <c r="A256" s="4">
        <v>45357</v>
      </c>
      <c r="B256" s="1" t="s">
        <v>21</v>
      </c>
      <c r="C256" s="1" t="s">
        <v>21</v>
      </c>
      <c r="D256" s="1" t="s">
        <v>21</v>
      </c>
      <c r="E256" s="1" t="s">
        <v>21</v>
      </c>
      <c r="F256" s="1" t="s">
        <v>21</v>
      </c>
      <c r="G256" s="1" t="s">
        <v>21</v>
      </c>
      <c r="H256" s="1">
        <v>0</v>
      </c>
      <c r="I256" s="1">
        <v>0</v>
      </c>
      <c r="J256" s="1">
        <v>0</v>
      </c>
      <c r="K256" s="1">
        <v>0</v>
      </c>
    </row>
    <row r="257" spans="1:11" s="1" customFormat="1">
      <c r="A257" s="4">
        <v>45358</v>
      </c>
      <c r="B257" s="1" t="s">
        <v>21</v>
      </c>
      <c r="C257" s="1" t="s">
        <v>21</v>
      </c>
      <c r="D257" s="1" t="s">
        <v>21</v>
      </c>
      <c r="E257" s="1" t="s">
        <v>21</v>
      </c>
      <c r="F257" s="1" t="s">
        <v>21</v>
      </c>
      <c r="G257" s="1" t="s">
        <v>21</v>
      </c>
      <c r="H257" s="1">
        <v>0</v>
      </c>
      <c r="I257" s="1">
        <v>0</v>
      </c>
      <c r="J257" s="1">
        <v>0</v>
      </c>
      <c r="K257" s="1">
        <v>0</v>
      </c>
    </row>
    <row r="258" spans="1:11" s="1" customFormat="1">
      <c r="A258" s="4">
        <v>45359</v>
      </c>
      <c r="B258" s="1" t="s">
        <v>21</v>
      </c>
      <c r="C258" s="1" t="s">
        <v>21</v>
      </c>
      <c r="D258" s="1" t="s">
        <v>21</v>
      </c>
      <c r="E258" s="1" t="s">
        <v>21</v>
      </c>
      <c r="F258" s="1" t="s">
        <v>21</v>
      </c>
      <c r="G258" s="1" t="s">
        <v>21</v>
      </c>
      <c r="H258" s="1">
        <v>0</v>
      </c>
      <c r="I258" s="1">
        <v>0</v>
      </c>
      <c r="J258" s="1">
        <v>0</v>
      </c>
      <c r="K258" s="1">
        <v>0</v>
      </c>
    </row>
    <row r="259" spans="1:11" s="1" customFormat="1">
      <c r="A259" s="4">
        <v>45362</v>
      </c>
      <c r="B259" s="1" t="s">
        <v>21</v>
      </c>
      <c r="C259" s="1" t="s">
        <v>21</v>
      </c>
      <c r="D259" s="1" t="s">
        <v>21</v>
      </c>
      <c r="E259" s="1" t="s">
        <v>21</v>
      </c>
      <c r="F259" s="1" t="s">
        <v>21</v>
      </c>
      <c r="G259" s="1" t="s">
        <v>21</v>
      </c>
      <c r="H259" s="1">
        <v>0</v>
      </c>
      <c r="I259" s="1">
        <v>0</v>
      </c>
      <c r="J259" s="1">
        <v>0</v>
      </c>
      <c r="K259" s="1">
        <v>0</v>
      </c>
    </row>
    <row r="260" spans="1:11" s="1" customFormat="1">
      <c r="A260" s="4">
        <v>45363</v>
      </c>
      <c r="B260" s="1" t="s">
        <v>21</v>
      </c>
      <c r="C260" s="1" t="s">
        <v>21</v>
      </c>
      <c r="D260" s="1" t="s">
        <v>21</v>
      </c>
      <c r="E260" s="1" t="s">
        <v>21</v>
      </c>
      <c r="F260" s="1" t="s">
        <v>21</v>
      </c>
      <c r="G260" s="1" t="s">
        <v>21</v>
      </c>
      <c r="H260" s="1">
        <v>0</v>
      </c>
      <c r="I260" s="1">
        <v>0</v>
      </c>
      <c r="J260" s="1">
        <v>0</v>
      </c>
      <c r="K260" s="1">
        <v>0</v>
      </c>
    </row>
    <row r="261" spans="1:11" s="1" customFormat="1">
      <c r="A261" s="4">
        <v>45364</v>
      </c>
      <c r="B261" s="1" t="s">
        <v>21</v>
      </c>
      <c r="C261" s="1" t="s">
        <v>21</v>
      </c>
      <c r="D261" s="1" t="s">
        <v>21</v>
      </c>
      <c r="E261" s="1" t="s">
        <v>21</v>
      </c>
      <c r="F261" s="1" t="s">
        <v>21</v>
      </c>
      <c r="G261" s="1" t="s">
        <v>21</v>
      </c>
      <c r="H261" s="1">
        <v>0</v>
      </c>
      <c r="I261" s="1">
        <v>0</v>
      </c>
      <c r="J261" s="1">
        <v>0</v>
      </c>
      <c r="K261" s="1">
        <v>0</v>
      </c>
    </row>
    <row r="262" spans="1:11" s="1" customFormat="1">
      <c r="A262" s="4">
        <v>45365</v>
      </c>
      <c r="B262" s="1" t="s">
        <v>21</v>
      </c>
      <c r="C262" s="1" t="s">
        <v>21</v>
      </c>
      <c r="D262" s="1" t="s">
        <v>21</v>
      </c>
      <c r="E262" s="1" t="s">
        <v>21</v>
      </c>
      <c r="F262" s="1" t="s">
        <v>21</v>
      </c>
      <c r="G262" s="1" t="s">
        <v>21</v>
      </c>
      <c r="H262" s="1" t="s">
        <v>21</v>
      </c>
      <c r="I262" s="1" t="s">
        <v>21</v>
      </c>
      <c r="J262" s="1" t="s">
        <v>21</v>
      </c>
      <c r="K262" s="1" t="s">
        <v>21</v>
      </c>
    </row>
    <row r="263" spans="1:11" s="1" customFormat="1">
      <c r="A263" s="4">
        <v>45366</v>
      </c>
      <c r="B263" s="1" t="s">
        <v>21</v>
      </c>
      <c r="C263" s="1" t="s">
        <v>21</v>
      </c>
      <c r="D263" s="1" t="s">
        <v>21</v>
      </c>
      <c r="E263" s="1" t="s">
        <v>64</v>
      </c>
      <c r="F263" s="1" t="s">
        <v>64</v>
      </c>
      <c r="G263" s="1" t="s">
        <v>21</v>
      </c>
      <c r="H263" s="1" t="s">
        <v>21</v>
      </c>
      <c r="I263" s="1" t="s">
        <v>21</v>
      </c>
      <c r="J263" s="1" t="s">
        <v>82</v>
      </c>
      <c r="K263" s="1" t="s">
        <v>82</v>
      </c>
    </row>
    <row r="264" spans="1:11" s="1" customFormat="1">
      <c r="A264" s="4">
        <v>45369</v>
      </c>
      <c r="B264" s="1" t="s">
        <v>21</v>
      </c>
      <c r="C264" s="1">
        <v>0</v>
      </c>
      <c r="D264" s="1">
        <v>0</v>
      </c>
      <c r="E264" s="1">
        <v>0</v>
      </c>
      <c r="F264" s="1">
        <v>0</v>
      </c>
      <c r="G264" s="1" t="s">
        <v>21</v>
      </c>
      <c r="H264" s="1" t="s">
        <v>21</v>
      </c>
      <c r="I264" s="1" t="s">
        <v>21</v>
      </c>
      <c r="J264" s="1" t="s">
        <v>21</v>
      </c>
      <c r="K264" s="1" t="s">
        <v>21</v>
      </c>
    </row>
    <row r="265" spans="1:11" s="1" customFormat="1">
      <c r="A265" s="4">
        <v>45370</v>
      </c>
      <c r="B265" s="1" t="s">
        <v>21</v>
      </c>
      <c r="C265" s="1">
        <v>0</v>
      </c>
      <c r="D265" s="1">
        <v>0</v>
      </c>
      <c r="E265" s="1">
        <v>0</v>
      </c>
      <c r="F265" s="1">
        <v>0</v>
      </c>
      <c r="G265" s="1" t="s">
        <v>21</v>
      </c>
      <c r="H265" s="1" t="s">
        <v>83</v>
      </c>
      <c r="I265" s="1" t="s">
        <v>83</v>
      </c>
      <c r="J265" s="1" t="s">
        <v>83</v>
      </c>
      <c r="K265" s="1" t="s">
        <v>83</v>
      </c>
    </row>
    <row r="266" spans="1:11" s="1" customFormat="1">
      <c r="A266" s="4">
        <v>45371</v>
      </c>
      <c r="B266" s="1" t="s">
        <v>21</v>
      </c>
      <c r="C266" s="1">
        <v>0</v>
      </c>
      <c r="D266" s="1">
        <v>0</v>
      </c>
      <c r="E266" s="1">
        <v>0</v>
      </c>
      <c r="F266" s="1">
        <v>0</v>
      </c>
      <c r="G266" s="1" t="s">
        <v>21</v>
      </c>
      <c r="H266" s="1" t="s">
        <v>21</v>
      </c>
      <c r="I266" s="1" t="s">
        <v>21</v>
      </c>
      <c r="J266" s="1" t="s">
        <v>21</v>
      </c>
      <c r="K266" s="1" t="s">
        <v>21</v>
      </c>
    </row>
    <row r="267" spans="1:11" s="1" customFormat="1">
      <c r="A267" s="4">
        <v>45372</v>
      </c>
      <c r="B267" s="1" t="s">
        <v>21</v>
      </c>
      <c r="C267" s="1">
        <v>0</v>
      </c>
      <c r="D267" s="1">
        <v>0</v>
      </c>
      <c r="E267" s="1">
        <v>0</v>
      </c>
      <c r="F267" s="1">
        <v>0</v>
      </c>
      <c r="G267" s="1" t="s">
        <v>21</v>
      </c>
      <c r="H267" s="1" t="s">
        <v>84</v>
      </c>
      <c r="I267" s="1" t="s">
        <v>84</v>
      </c>
      <c r="J267" s="1" t="s">
        <v>84</v>
      </c>
      <c r="K267" s="1" t="s">
        <v>84</v>
      </c>
    </row>
    <row r="268" spans="1:11" s="1" customFormat="1">
      <c r="A268" s="4">
        <v>45373</v>
      </c>
      <c r="B268" s="1" t="s">
        <v>21</v>
      </c>
      <c r="C268" s="1">
        <v>0</v>
      </c>
      <c r="D268" s="1">
        <v>0</v>
      </c>
      <c r="E268" s="1">
        <v>0</v>
      </c>
      <c r="F268" s="1">
        <v>0</v>
      </c>
      <c r="G268" s="1" t="s">
        <v>21</v>
      </c>
      <c r="H268" s="1">
        <v>0</v>
      </c>
      <c r="I268" s="1">
        <v>0</v>
      </c>
      <c r="J268" s="1">
        <v>0</v>
      </c>
      <c r="K268" s="1">
        <v>0</v>
      </c>
    </row>
    <row r="269" spans="1:11" s="1" customFormat="1">
      <c r="A269" s="4">
        <v>45376</v>
      </c>
      <c r="B269" s="1" t="s">
        <v>21</v>
      </c>
      <c r="C269" s="1">
        <v>0</v>
      </c>
      <c r="D269" s="1">
        <v>0</v>
      </c>
      <c r="E269" s="1">
        <v>0</v>
      </c>
      <c r="F269" s="1">
        <v>0</v>
      </c>
      <c r="G269" s="1" t="s">
        <v>21</v>
      </c>
      <c r="H269" s="1">
        <v>0</v>
      </c>
      <c r="I269" s="1">
        <v>0</v>
      </c>
      <c r="J269" s="1">
        <v>0</v>
      </c>
      <c r="K269" s="1">
        <v>0</v>
      </c>
    </row>
    <row r="270" spans="1:11" s="1" customFormat="1">
      <c r="A270" s="4">
        <v>45377</v>
      </c>
      <c r="B270" s="1" t="s">
        <v>21</v>
      </c>
      <c r="C270" s="1">
        <v>0</v>
      </c>
      <c r="D270" s="1">
        <v>0</v>
      </c>
      <c r="E270" s="1">
        <v>0</v>
      </c>
      <c r="F270" s="1">
        <v>0</v>
      </c>
      <c r="G270" s="1" t="s">
        <v>21</v>
      </c>
      <c r="H270" s="1">
        <v>0</v>
      </c>
      <c r="I270" s="1">
        <v>0</v>
      </c>
      <c r="J270" s="1">
        <v>0</v>
      </c>
      <c r="K270" s="1">
        <v>0</v>
      </c>
    </row>
    <row r="271" spans="1:11" s="1" customFormat="1">
      <c r="A271" s="4">
        <v>45378</v>
      </c>
      <c r="B271" s="1" t="s">
        <v>21</v>
      </c>
      <c r="C271" s="1">
        <v>0</v>
      </c>
      <c r="D271" s="1">
        <v>0</v>
      </c>
      <c r="E271" s="1">
        <v>0</v>
      </c>
      <c r="F271" s="1">
        <v>0</v>
      </c>
      <c r="G271" s="1" t="s">
        <v>21</v>
      </c>
      <c r="H271" s="1">
        <v>0</v>
      </c>
      <c r="I271" s="1">
        <v>0</v>
      </c>
      <c r="J271" s="1">
        <v>0</v>
      </c>
      <c r="K271" s="1">
        <v>0</v>
      </c>
    </row>
    <row r="272" spans="1:11" s="1" customFormat="1">
      <c r="A272" s="4">
        <v>45379</v>
      </c>
      <c r="B272" s="1" t="s">
        <v>21</v>
      </c>
      <c r="C272" s="1">
        <v>0</v>
      </c>
      <c r="D272" s="1">
        <v>0</v>
      </c>
      <c r="E272" s="1">
        <v>0</v>
      </c>
      <c r="F272" s="1">
        <v>0</v>
      </c>
      <c r="G272" s="1" t="s">
        <v>21</v>
      </c>
      <c r="H272" s="1">
        <v>0</v>
      </c>
      <c r="I272" s="1">
        <v>0</v>
      </c>
      <c r="J272" s="1">
        <v>0</v>
      </c>
      <c r="K272" s="1">
        <v>0</v>
      </c>
    </row>
    <row r="273" spans="1:11" s="1" customFormat="1">
      <c r="A273" s="4">
        <v>45383</v>
      </c>
      <c r="B273" s="1" t="s">
        <v>21</v>
      </c>
      <c r="C273" s="1">
        <v>0</v>
      </c>
      <c r="D273" s="1">
        <v>0</v>
      </c>
      <c r="E273" s="1">
        <v>0</v>
      </c>
      <c r="F273" s="1">
        <v>0</v>
      </c>
      <c r="G273" s="1" t="s">
        <v>21</v>
      </c>
      <c r="H273" s="1">
        <v>0</v>
      </c>
      <c r="I273" s="1">
        <v>0</v>
      </c>
      <c r="J273" s="1">
        <v>0</v>
      </c>
      <c r="K273" s="1">
        <v>0</v>
      </c>
    </row>
    <row r="274" spans="1:11" s="1" customFormat="1">
      <c r="A274" s="4">
        <v>45384</v>
      </c>
      <c r="B274" s="1" t="s">
        <v>21</v>
      </c>
      <c r="C274" s="1">
        <v>0</v>
      </c>
      <c r="D274" s="1">
        <v>0</v>
      </c>
      <c r="E274" s="1">
        <v>0</v>
      </c>
      <c r="F274" s="1">
        <v>0</v>
      </c>
      <c r="G274" s="1" t="s">
        <v>21</v>
      </c>
      <c r="H274" s="1">
        <v>0</v>
      </c>
      <c r="I274" s="1">
        <v>0</v>
      </c>
      <c r="J274" s="1">
        <v>0</v>
      </c>
      <c r="K274" s="1">
        <v>0</v>
      </c>
    </row>
    <row r="275" spans="1:11" s="1" customFormat="1">
      <c r="A275" s="4">
        <v>45385</v>
      </c>
      <c r="B275" s="1" t="s">
        <v>21</v>
      </c>
      <c r="C275" s="1" t="s">
        <v>21</v>
      </c>
      <c r="D275" s="1" t="s">
        <v>21</v>
      </c>
      <c r="E275" s="1" t="s">
        <v>21</v>
      </c>
      <c r="F275" s="1" t="s">
        <v>21</v>
      </c>
      <c r="G275" s="1" t="s">
        <v>21</v>
      </c>
      <c r="H275" s="1">
        <v>0</v>
      </c>
      <c r="I275" s="1">
        <v>0</v>
      </c>
      <c r="J275" s="1">
        <v>0</v>
      </c>
      <c r="K275" s="1">
        <v>0</v>
      </c>
    </row>
    <row r="276" spans="1:11" s="1" customFormat="1">
      <c r="A276" s="4">
        <v>45386</v>
      </c>
      <c r="B276" s="1" t="s">
        <v>21</v>
      </c>
      <c r="C276" s="1" t="s">
        <v>21</v>
      </c>
      <c r="D276" s="1" t="s">
        <v>21</v>
      </c>
      <c r="E276" s="1" t="s">
        <v>21</v>
      </c>
      <c r="F276" s="1" t="s">
        <v>21</v>
      </c>
      <c r="G276" s="1" t="s">
        <v>21</v>
      </c>
      <c r="H276" s="1">
        <v>0</v>
      </c>
      <c r="I276" s="1">
        <v>0</v>
      </c>
      <c r="J276" s="1">
        <v>0</v>
      </c>
      <c r="K276" s="1">
        <v>0</v>
      </c>
    </row>
    <row r="277" spans="1:11" s="1" customFormat="1">
      <c r="A277" s="4">
        <v>45387</v>
      </c>
      <c r="B277" s="1" t="s">
        <v>21</v>
      </c>
      <c r="C277" s="1" t="s">
        <v>21</v>
      </c>
      <c r="D277" s="1" t="s">
        <v>21</v>
      </c>
      <c r="E277" s="1" t="s">
        <v>21</v>
      </c>
      <c r="F277" s="1" t="s">
        <v>21</v>
      </c>
      <c r="G277" s="1" t="s">
        <v>21</v>
      </c>
      <c r="H277" s="1">
        <v>0</v>
      </c>
      <c r="I277" s="1">
        <v>0</v>
      </c>
      <c r="J277" s="1">
        <v>0</v>
      </c>
      <c r="K277" s="1">
        <v>0</v>
      </c>
    </row>
    <row r="278" spans="1:11" s="1" customFormat="1">
      <c r="A278" s="4">
        <v>45390</v>
      </c>
      <c r="B278" s="1" t="s">
        <v>21</v>
      </c>
      <c r="C278" s="1" t="s">
        <v>21</v>
      </c>
      <c r="D278" s="1" t="s">
        <v>21</v>
      </c>
      <c r="E278" s="1" t="s">
        <v>21</v>
      </c>
      <c r="F278" s="1" t="s">
        <v>21</v>
      </c>
      <c r="G278" s="1" t="s">
        <v>21</v>
      </c>
      <c r="H278" s="1">
        <v>0</v>
      </c>
      <c r="I278" s="1">
        <v>0</v>
      </c>
      <c r="J278" s="1">
        <v>0</v>
      </c>
      <c r="K278" s="1">
        <v>0</v>
      </c>
    </row>
    <row r="279" spans="1:11" s="1" customFormat="1">
      <c r="A279" s="4">
        <v>45391</v>
      </c>
      <c r="B279" s="1" t="s">
        <v>21</v>
      </c>
      <c r="C279" s="1" t="s">
        <v>21</v>
      </c>
      <c r="D279" s="1" t="s">
        <v>21</v>
      </c>
      <c r="E279" s="1" t="s">
        <v>21</v>
      </c>
      <c r="F279" s="1" t="s">
        <v>21</v>
      </c>
      <c r="G279" s="1" t="s">
        <v>21</v>
      </c>
      <c r="H279" s="1">
        <v>0</v>
      </c>
      <c r="I279" s="1">
        <v>0</v>
      </c>
      <c r="J279" s="1">
        <v>0</v>
      </c>
      <c r="K279" s="1">
        <v>0</v>
      </c>
    </row>
    <row r="280" spans="1:11" s="1" customFormat="1">
      <c r="A280" s="4">
        <v>45392</v>
      </c>
      <c r="B280" s="1" t="s">
        <v>21</v>
      </c>
      <c r="C280" s="1" t="s">
        <v>21</v>
      </c>
      <c r="D280" s="1" t="s">
        <v>21</v>
      </c>
      <c r="E280" s="1" t="s">
        <v>21</v>
      </c>
      <c r="F280" s="1" t="s">
        <v>21</v>
      </c>
      <c r="G280" s="1" t="s">
        <v>21</v>
      </c>
      <c r="H280" s="1">
        <v>0</v>
      </c>
      <c r="I280" s="1">
        <v>0</v>
      </c>
      <c r="J280" s="1">
        <v>0</v>
      </c>
      <c r="K280" s="1">
        <v>0</v>
      </c>
    </row>
    <row r="281" spans="1:11" s="1" customFormat="1">
      <c r="A281" s="4">
        <v>45394</v>
      </c>
      <c r="B281" s="1" t="s">
        <v>21</v>
      </c>
      <c r="C281" s="1" t="s">
        <v>21</v>
      </c>
      <c r="D281" s="1" t="s">
        <v>47</v>
      </c>
      <c r="E281" s="1" t="s">
        <v>65</v>
      </c>
      <c r="F281" s="1" t="s">
        <v>65</v>
      </c>
      <c r="G281" s="1" t="s">
        <v>21</v>
      </c>
      <c r="H281" s="1">
        <v>0</v>
      </c>
      <c r="I281" s="1">
        <v>0</v>
      </c>
      <c r="J281" s="1">
        <v>0</v>
      </c>
      <c r="K281" s="1">
        <v>0</v>
      </c>
    </row>
    <row r="282" spans="1:11" s="1" customFormat="1">
      <c r="A282" s="4">
        <v>45397</v>
      </c>
      <c r="B282" s="1" t="s">
        <v>21</v>
      </c>
      <c r="C282" s="1" t="s">
        <v>21</v>
      </c>
      <c r="D282" s="1" t="s">
        <v>21</v>
      </c>
      <c r="E282" s="1" t="s">
        <v>21</v>
      </c>
      <c r="F282" s="1" t="s">
        <v>21</v>
      </c>
      <c r="G282" s="1" t="s">
        <v>21</v>
      </c>
      <c r="H282" s="1">
        <v>0</v>
      </c>
      <c r="I282" s="1">
        <v>0</v>
      </c>
      <c r="J282" s="1">
        <v>0</v>
      </c>
      <c r="K282" s="1">
        <v>0</v>
      </c>
    </row>
    <row r="283" spans="1:11" s="1" customFormat="1">
      <c r="A283" s="4">
        <v>45398</v>
      </c>
      <c r="B283" s="1" t="s">
        <v>21</v>
      </c>
      <c r="C283" s="1" t="s">
        <v>21</v>
      </c>
      <c r="D283" s="1" t="s">
        <v>21</v>
      </c>
      <c r="E283" s="1" t="s">
        <v>21</v>
      </c>
      <c r="F283" s="1" t="s">
        <v>21</v>
      </c>
      <c r="G283" s="1" t="s">
        <v>21</v>
      </c>
      <c r="H283" s="1" t="s">
        <v>21</v>
      </c>
      <c r="I283" s="1" t="s">
        <v>21</v>
      </c>
      <c r="J283" s="1" t="s">
        <v>21</v>
      </c>
      <c r="K283" s="1" t="s">
        <v>21</v>
      </c>
    </row>
    <row r="284" spans="1:11" s="1" customFormat="1">
      <c r="A284" s="4">
        <v>45399</v>
      </c>
      <c r="B284" s="1" t="s">
        <v>21</v>
      </c>
      <c r="C284" s="1" t="s">
        <v>21</v>
      </c>
      <c r="D284" s="1" t="s">
        <v>21</v>
      </c>
      <c r="E284" s="1" t="s">
        <v>21</v>
      </c>
      <c r="F284" s="1" t="s">
        <v>21</v>
      </c>
      <c r="G284" s="1" t="s">
        <v>21</v>
      </c>
      <c r="H284" s="1" t="s">
        <v>21</v>
      </c>
      <c r="I284" s="1" t="s">
        <v>21</v>
      </c>
      <c r="J284" s="1" t="s">
        <v>21</v>
      </c>
      <c r="K284" s="1" t="s">
        <v>21</v>
      </c>
    </row>
    <row r="285" spans="1:11" s="1" customFormat="1">
      <c r="A285" s="4">
        <v>45400</v>
      </c>
      <c r="B285" s="1" t="s">
        <v>21</v>
      </c>
      <c r="C285" s="1">
        <v>0</v>
      </c>
      <c r="D285" s="1">
        <v>0</v>
      </c>
      <c r="E285" s="1">
        <v>0</v>
      </c>
      <c r="F285" s="1">
        <v>0</v>
      </c>
      <c r="G285" s="1" t="s">
        <v>21</v>
      </c>
      <c r="H285" s="1" t="s">
        <v>21</v>
      </c>
      <c r="I285" s="1" t="s">
        <v>21</v>
      </c>
      <c r="J285" s="1" t="s">
        <v>21</v>
      </c>
      <c r="K285" s="1" t="s">
        <v>21</v>
      </c>
    </row>
    <row r="286" spans="1:11" s="1" customFormat="1">
      <c r="A286" s="4">
        <v>45401</v>
      </c>
      <c r="B286" s="1" t="s">
        <v>21</v>
      </c>
      <c r="C286" s="1">
        <v>0</v>
      </c>
      <c r="D286" s="1">
        <v>0</v>
      </c>
      <c r="E286" s="1">
        <v>0</v>
      </c>
      <c r="F286" s="1">
        <v>0</v>
      </c>
      <c r="G286" s="1" t="s">
        <v>21</v>
      </c>
      <c r="H286" s="1" t="s">
        <v>98</v>
      </c>
      <c r="I286" s="1" t="s">
        <v>98</v>
      </c>
      <c r="J286" s="1" t="s">
        <v>98</v>
      </c>
      <c r="K286" s="1" t="s">
        <v>98</v>
      </c>
    </row>
    <row r="287" spans="1:11" s="1" customFormat="1">
      <c r="A287" s="4">
        <v>45404</v>
      </c>
      <c r="B287" s="1" t="s">
        <v>21</v>
      </c>
      <c r="C287" s="1">
        <v>0</v>
      </c>
      <c r="D287" s="1">
        <v>0</v>
      </c>
      <c r="E287" s="1">
        <v>0</v>
      </c>
      <c r="F287" s="1">
        <v>0</v>
      </c>
      <c r="G287" s="1" t="s">
        <v>21</v>
      </c>
      <c r="H287" s="1" t="s">
        <v>68</v>
      </c>
      <c r="I287" s="1" t="s">
        <v>68</v>
      </c>
      <c r="J287" s="1" t="s">
        <v>68</v>
      </c>
      <c r="K287" s="1" t="s">
        <v>68</v>
      </c>
    </row>
    <row r="288" spans="1:11" s="1" customFormat="1">
      <c r="A288" s="4">
        <v>45405</v>
      </c>
      <c r="B288" s="1" t="s">
        <v>21</v>
      </c>
      <c r="C288" s="1">
        <v>0</v>
      </c>
      <c r="D288" s="1">
        <v>0</v>
      </c>
      <c r="E288" s="1">
        <v>0</v>
      </c>
      <c r="F288" s="1">
        <v>0</v>
      </c>
      <c r="G288" s="1" t="s">
        <v>21</v>
      </c>
      <c r="H288" s="1" t="s">
        <v>21</v>
      </c>
      <c r="I288" s="1" t="s">
        <v>21</v>
      </c>
      <c r="J288" s="1" t="s">
        <v>21</v>
      </c>
      <c r="K288" s="1" t="s">
        <v>163</v>
      </c>
    </row>
    <row r="289" spans="1:11" s="1" customFormat="1">
      <c r="A289" s="4">
        <v>45406</v>
      </c>
      <c r="B289" s="1" t="s">
        <v>21</v>
      </c>
      <c r="C289" s="1">
        <v>0</v>
      </c>
      <c r="D289" s="1">
        <v>0</v>
      </c>
      <c r="E289" s="1">
        <v>0</v>
      </c>
      <c r="F289" s="1">
        <v>0</v>
      </c>
      <c r="G289" s="1" t="s">
        <v>21</v>
      </c>
      <c r="H289" s="1">
        <v>0</v>
      </c>
      <c r="I289" s="1">
        <v>0</v>
      </c>
      <c r="J289" s="1">
        <v>0</v>
      </c>
      <c r="K289" s="1">
        <v>0</v>
      </c>
    </row>
    <row r="290" spans="1:11" s="1" customFormat="1">
      <c r="A290" s="4">
        <v>45407</v>
      </c>
      <c r="B290" s="1" t="s">
        <v>21</v>
      </c>
      <c r="C290" s="1">
        <v>0</v>
      </c>
      <c r="D290" s="1">
        <v>0</v>
      </c>
      <c r="E290" s="1">
        <v>0</v>
      </c>
      <c r="F290" s="1">
        <v>0</v>
      </c>
      <c r="G290" s="1" t="s">
        <v>21</v>
      </c>
      <c r="H290" s="1">
        <v>0</v>
      </c>
      <c r="I290" s="1">
        <v>0</v>
      </c>
      <c r="J290" s="1">
        <v>0</v>
      </c>
      <c r="K290" s="1">
        <v>0</v>
      </c>
    </row>
    <row r="291" spans="1:11" s="1" customFormat="1">
      <c r="A291" s="4">
        <v>45408</v>
      </c>
      <c r="B291" s="1" t="s">
        <v>21</v>
      </c>
      <c r="C291" s="1">
        <v>0</v>
      </c>
      <c r="D291" s="1">
        <v>0</v>
      </c>
      <c r="E291" s="1">
        <v>0</v>
      </c>
      <c r="F291" s="1">
        <v>0</v>
      </c>
      <c r="G291" s="1" t="s">
        <v>21</v>
      </c>
      <c r="H291" s="1">
        <v>0</v>
      </c>
      <c r="I291" s="1">
        <v>0</v>
      </c>
      <c r="J291" s="1">
        <v>0</v>
      </c>
      <c r="K291" s="1">
        <v>0</v>
      </c>
    </row>
    <row r="292" spans="1:11" s="1" customFormat="1">
      <c r="A292" s="4">
        <v>45411</v>
      </c>
      <c r="B292" s="1" t="s">
        <v>21</v>
      </c>
      <c r="C292" s="1">
        <v>0</v>
      </c>
      <c r="D292" s="1">
        <v>0</v>
      </c>
      <c r="E292" s="1">
        <v>0</v>
      </c>
      <c r="F292" s="1">
        <v>0</v>
      </c>
      <c r="G292" s="1" t="s">
        <v>21</v>
      </c>
      <c r="H292" s="1">
        <v>0</v>
      </c>
      <c r="I292" s="1">
        <v>0</v>
      </c>
      <c r="J292" s="1">
        <v>0</v>
      </c>
      <c r="K292" s="1">
        <v>0</v>
      </c>
    </row>
    <row r="293" spans="1:11" s="1" customFormat="1">
      <c r="A293" s="4">
        <v>45412</v>
      </c>
      <c r="B293" s="1" t="s">
        <v>21</v>
      </c>
      <c r="C293" s="1">
        <v>0</v>
      </c>
      <c r="D293" s="1">
        <v>0</v>
      </c>
      <c r="E293" s="1">
        <v>0</v>
      </c>
      <c r="F293" s="1">
        <v>0</v>
      </c>
      <c r="G293" s="1" t="s">
        <v>21</v>
      </c>
      <c r="H293" s="1">
        <v>0</v>
      </c>
      <c r="I293" s="1">
        <v>0</v>
      </c>
      <c r="J293" s="1">
        <v>0</v>
      </c>
      <c r="K293" s="1">
        <v>0</v>
      </c>
    </row>
    <row r="294" spans="1:11" s="1" customFormat="1">
      <c r="A294" s="4">
        <v>45413</v>
      </c>
      <c r="B294" s="1" t="s">
        <v>21</v>
      </c>
      <c r="C294" s="1">
        <v>0</v>
      </c>
      <c r="D294" s="1">
        <v>0</v>
      </c>
      <c r="E294" s="1">
        <v>0</v>
      </c>
      <c r="F294" s="1">
        <v>0</v>
      </c>
      <c r="G294" s="1" t="s">
        <v>21</v>
      </c>
      <c r="H294" s="1">
        <v>0</v>
      </c>
      <c r="I294" s="1">
        <v>0</v>
      </c>
      <c r="J294" s="1">
        <v>0</v>
      </c>
      <c r="K294" s="1">
        <v>0</v>
      </c>
    </row>
    <row r="295" spans="1:11" s="1" customFormat="1">
      <c r="A295" s="4">
        <v>45414</v>
      </c>
      <c r="B295" s="1" t="s">
        <v>21</v>
      </c>
      <c r="C295" s="1">
        <v>0</v>
      </c>
      <c r="D295" s="1">
        <v>0</v>
      </c>
      <c r="E295" s="1">
        <v>0</v>
      </c>
      <c r="F295" s="1">
        <v>0</v>
      </c>
      <c r="G295" s="1" t="s">
        <v>21</v>
      </c>
      <c r="H295" s="1">
        <v>0</v>
      </c>
      <c r="I295" s="1">
        <v>0</v>
      </c>
      <c r="J295" s="1">
        <v>0</v>
      </c>
      <c r="K295" s="1">
        <v>0</v>
      </c>
    </row>
    <row r="296" spans="1:11" s="1" customFormat="1">
      <c r="A296" s="4">
        <v>45415</v>
      </c>
      <c r="B296" s="1" t="s">
        <v>21</v>
      </c>
      <c r="C296" s="1" t="s">
        <v>21</v>
      </c>
      <c r="D296" s="1" t="s">
        <v>21</v>
      </c>
      <c r="E296" s="1" t="s">
        <v>21</v>
      </c>
      <c r="F296" s="1" t="s">
        <v>21</v>
      </c>
      <c r="G296" s="1" t="s">
        <v>21</v>
      </c>
      <c r="H296" s="1">
        <v>0</v>
      </c>
      <c r="I296" s="1">
        <v>0</v>
      </c>
      <c r="J296" s="1">
        <v>0</v>
      </c>
      <c r="K296" s="1">
        <v>0</v>
      </c>
    </row>
    <row r="297" spans="1:11" s="1" customFormat="1">
      <c r="A297" s="4">
        <v>45418</v>
      </c>
      <c r="B297" s="1" t="s">
        <v>21</v>
      </c>
      <c r="C297" s="1" t="s">
        <v>21</v>
      </c>
      <c r="D297" s="1" t="s">
        <v>21</v>
      </c>
      <c r="E297" s="1" t="s">
        <v>21</v>
      </c>
      <c r="F297" s="1" t="s">
        <v>21</v>
      </c>
      <c r="G297" s="1" t="s">
        <v>21</v>
      </c>
      <c r="H297" s="1">
        <v>0</v>
      </c>
      <c r="I297" s="1">
        <v>0</v>
      </c>
      <c r="J297" s="1">
        <v>0</v>
      </c>
      <c r="K297" s="1">
        <v>0</v>
      </c>
    </row>
    <row r="298" spans="1:11" s="1" customFormat="1">
      <c r="A298" s="4">
        <v>45419</v>
      </c>
      <c r="B298" s="1" t="s">
        <v>21</v>
      </c>
      <c r="C298" s="1" t="s">
        <v>21</v>
      </c>
      <c r="D298" s="1" t="s">
        <v>21</v>
      </c>
      <c r="E298" s="1" t="s">
        <v>21</v>
      </c>
      <c r="F298" s="1" t="s">
        <v>21</v>
      </c>
      <c r="G298" s="1" t="s">
        <v>21</v>
      </c>
      <c r="H298" s="1">
        <v>0</v>
      </c>
      <c r="I298" s="1">
        <v>0</v>
      </c>
      <c r="J298" s="1">
        <v>0</v>
      </c>
      <c r="K298" s="1">
        <v>0</v>
      </c>
    </row>
    <row r="299" spans="1:11" s="1" customFormat="1">
      <c r="A299" s="4">
        <v>45420</v>
      </c>
      <c r="B299" s="1" t="s">
        <v>21</v>
      </c>
      <c r="C299" s="1" t="s">
        <v>21</v>
      </c>
      <c r="D299" s="1" t="s">
        <v>21</v>
      </c>
      <c r="E299" s="1" t="s">
        <v>21</v>
      </c>
      <c r="F299" s="1" t="s">
        <v>21</v>
      </c>
      <c r="G299" s="1" t="s">
        <v>21</v>
      </c>
      <c r="H299" s="1">
        <v>0</v>
      </c>
      <c r="I299" s="1">
        <v>0</v>
      </c>
      <c r="J299" s="1">
        <v>0</v>
      </c>
      <c r="K299" s="1">
        <v>0</v>
      </c>
    </row>
    <row r="300" spans="1:11" s="1" customFormat="1">
      <c r="A300" s="4">
        <v>45421</v>
      </c>
      <c r="B300" s="1" t="s">
        <v>21</v>
      </c>
      <c r="C300" s="1" t="s">
        <v>21</v>
      </c>
      <c r="D300" s="1" t="s">
        <v>21</v>
      </c>
      <c r="E300" s="1" t="s">
        <v>21</v>
      </c>
      <c r="F300" s="1" t="s">
        <v>21</v>
      </c>
      <c r="G300" s="1" t="s">
        <v>21</v>
      </c>
      <c r="H300" s="1">
        <v>0</v>
      </c>
      <c r="I300" s="1">
        <v>0</v>
      </c>
      <c r="J300" s="1">
        <v>0</v>
      </c>
      <c r="K300" s="1">
        <v>0</v>
      </c>
    </row>
    <row r="301" spans="1:11" s="1" customFormat="1">
      <c r="A301" s="4">
        <v>45422</v>
      </c>
      <c r="B301" s="1" t="s">
        <v>21</v>
      </c>
      <c r="C301" s="1" t="s">
        <v>21</v>
      </c>
      <c r="D301" s="1" t="s">
        <v>21</v>
      </c>
      <c r="E301" s="1" t="s">
        <v>21</v>
      </c>
      <c r="F301" s="1" t="s">
        <v>21</v>
      </c>
      <c r="G301" s="1" t="s">
        <v>21</v>
      </c>
      <c r="H301" s="1">
        <v>0</v>
      </c>
      <c r="I301" s="1">
        <v>0</v>
      </c>
      <c r="J301" s="1">
        <v>0</v>
      </c>
      <c r="K301" s="1">
        <v>0</v>
      </c>
    </row>
    <row r="302" spans="1:11" s="1" customFormat="1">
      <c r="A302" s="4">
        <v>45425</v>
      </c>
      <c r="B302" s="1" t="s">
        <v>21</v>
      </c>
      <c r="C302" s="1" t="s">
        <v>21</v>
      </c>
      <c r="D302" s="1" t="s">
        <v>21</v>
      </c>
      <c r="E302" s="1" t="s">
        <v>21</v>
      </c>
      <c r="F302" s="1" t="s">
        <v>21</v>
      </c>
      <c r="G302" s="1" t="s">
        <v>21</v>
      </c>
      <c r="H302" s="1">
        <v>0</v>
      </c>
      <c r="I302" s="1">
        <v>0</v>
      </c>
      <c r="J302" s="1">
        <v>0</v>
      </c>
      <c r="K302" s="1">
        <v>0</v>
      </c>
    </row>
    <row r="303" spans="1:11" s="1" customFormat="1">
      <c r="A303" s="4">
        <v>45426</v>
      </c>
      <c r="B303" s="1" t="s">
        <v>21</v>
      </c>
      <c r="C303" s="1" t="s">
        <v>21</v>
      </c>
      <c r="D303" s="1" t="s">
        <v>21</v>
      </c>
      <c r="E303" s="1" t="s">
        <v>21</v>
      </c>
      <c r="F303" s="1" t="s">
        <v>21</v>
      </c>
      <c r="G303" s="1" t="s">
        <v>21</v>
      </c>
      <c r="H303" s="1">
        <v>0</v>
      </c>
      <c r="I303" s="1">
        <v>0</v>
      </c>
      <c r="J303" s="1">
        <v>0</v>
      </c>
      <c r="K303" s="1">
        <v>0</v>
      </c>
    </row>
    <row r="304" spans="1:11" s="1" customFormat="1">
      <c r="A304" s="4">
        <v>45427</v>
      </c>
      <c r="B304" s="1" t="s">
        <v>21</v>
      </c>
      <c r="C304" s="1" t="s">
        <v>21</v>
      </c>
      <c r="D304" s="1" t="s">
        <v>21</v>
      </c>
      <c r="E304" s="1" t="s">
        <v>21</v>
      </c>
      <c r="F304" s="1" t="s">
        <v>21</v>
      </c>
      <c r="G304" s="1" t="s">
        <v>21</v>
      </c>
      <c r="H304" s="1">
        <v>0</v>
      </c>
      <c r="I304" s="1">
        <v>0</v>
      </c>
      <c r="J304" s="1">
        <v>0</v>
      </c>
      <c r="K304" s="1">
        <v>0</v>
      </c>
    </row>
    <row r="305" spans="1:11" s="1" customFormat="1">
      <c r="A305" s="4">
        <v>45428</v>
      </c>
      <c r="B305" s="1" t="s">
        <v>21</v>
      </c>
      <c r="C305" s="1" t="s">
        <v>21</v>
      </c>
      <c r="D305" s="1" t="s">
        <v>21</v>
      </c>
      <c r="E305" s="1" t="s">
        <v>21</v>
      </c>
      <c r="F305" s="1" t="s">
        <v>21</v>
      </c>
      <c r="G305" s="1" t="s">
        <v>21</v>
      </c>
      <c r="H305" s="1">
        <v>0</v>
      </c>
      <c r="I305" s="1">
        <v>0</v>
      </c>
      <c r="J305" s="1">
        <v>0</v>
      </c>
      <c r="K305" s="1">
        <v>0</v>
      </c>
    </row>
    <row r="306" spans="1:11" s="1" customFormat="1">
      <c r="A306" s="4">
        <v>45429</v>
      </c>
      <c r="B306" s="1" t="s">
        <v>21</v>
      </c>
      <c r="C306" s="1">
        <v>0</v>
      </c>
      <c r="D306" s="1">
        <v>0</v>
      </c>
      <c r="E306" s="1">
        <v>0</v>
      </c>
      <c r="F306" s="1">
        <v>0</v>
      </c>
      <c r="G306" s="1" t="s">
        <v>21</v>
      </c>
      <c r="H306" s="1" t="s">
        <v>21</v>
      </c>
      <c r="I306" s="1" t="s">
        <v>21</v>
      </c>
      <c r="J306" s="1" t="s">
        <v>21</v>
      </c>
      <c r="K306" s="1" t="s">
        <v>21</v>
      </c>
    </row>
    <row r="307" spans="1:11" s="1" customFormat="1">
      <c r="A307" s="4">
        <v>45432</v>
      </c>
      <c r="B307" s="1" t="s">
        <v>21</v>
      </c>
      <c r="C307" s="1">
        <v>0</v>
      </c>
      <c r="D307" s="1">
        <v>0</v>
      </c>
      <c r="E307" s="1">
        <v>0</v>
      </c>
      <c r="F307" s="1">
        <v>0</v>
      </c>
      <c r="G307" s="1" t="s">
        <v>21</v>
      </c>
      <c r="H307" s="1" t="s">
        <v>99</v>
      </c>
      <c r="I307" s="1" t="s">
        <v>99</v>
      </c>
      <c r="J307" s="1" t="s">
        <v>99</v>
      </c>
      <c r="K307" s="1" t="s">
        <v>99</v>
      </c>
    </row>
    <row r="308" spans="1:11" s="1" customFormat="1">
      <c r="A308" s="4">
        <v>45433</v>
      </c>
      <c r="B308" s="1" t="s">
        <v>21</v>
      </c>
      <c r="C308" s="1">
        <v>0</v>
      </c>
      <c r="D308" s="1">
        <v>0</v>
      </c>
      <c r="E308" s="1">
        <v>0</v>
      </c>
      <c r="F308" s="1">
        <v>0</v>
      </c>
      <c r="G308" s="1" t="s">
        <v>21</v>
      </c>
      <c r="H308" s="1" t="s">
        <v>100</v>
      </c>
      <c r="I308" s="1" t="s">
        <v>131</v>
      </c>
      <c r="J308" s="1" t="s">
        <v>131</v>
      </c>
      <c r="K308" s="1" t="s">
        <v>131</v>
      </c>
    </row>
    <row r="309" spans="1:11" s="1" customFormat="1">
      <c r="A309" s="4">
        <v>45434</v>
      </c>
      <c r="B309" s="1" t="s">
        <v>21</v>
      </c>
      <c r="C309" s="1">
        <v>0</v>
      </c>
      <c r="D309" s="1">
        <v>0</v>
      </c>
      <c r="E309" s="1">
        <v>0</v>
      </c>
      <c r="F309" s="1">
        <v>0</v>
      </c>
      <c r="G309" s="1" t="s">
        <v>21</v>
      </c>
      <c r="H309" s="1" t="s">
        <v>21</v>
      </c>
      <c r="I309" s="1" t="s">
        <v>21</v>
      </c>
      <c r="J309" s="1" t="s">
        <v>146</v>
      </c>
      <c r="K309" s="1" t="s">
        <v>146</v>
      </c>
    </row>
    <row r="310" spans="1:11" s="1" customFormat="1">
      <c r="A310" s="4">
        <v>45435</v>
      </c>
      <c r="B310" s="1" t="s">
        <v>21</v>
      </c>
      <c r="C310" s="1">
        <v>0</v>
      </c>
      <c r="D310" s="1">
        <v>0</v>
      </c>
      <c r="E310" s="1">
        <v>0</v>
      </c>
      <c r="F310" s="1">
        <v>0</v>
      </c>
      <c r="G310" s="1" t="s">
        <v>21</v>
      </c>
      <c r="H310" s="1" t="s">
        <v>101</v>
      </c>
      <c r="I310" s="1" t="s">
        <v>132</v>
      </c>
      <c r="J310" s="1" t="s">
        <v>147</v>
      </c>
      <c r="K310" s="1" t="s">
        <v>147</v>
      </c>
    </row>
    <row r="311" spans="1:11" s="1" customFormat="1">
      <c r="A311" s="4">
        <v>45436</v>
      </c>
      <c r="B311" s="1" t="s">
        <v>21</v>
      </c>
      <c r="C311" s="1">
        <v>0</v>
      </c>
      <c r="D311" s="1">
        <v>0</v>
      </c>
      <c r="E311" s="1">
        <v>0</v>
      </c>
      <c r="F311" s="1">
        <v>0</v>
      </c>
      <c r="G311" s="1" t="s">
        <v>21</v>
      </c>
      <c r="H311" s="1" t="s">
        <v>21</v>
      </c>
      <c r="I311" s="1" t="s">
        <v>21</v>
      </c>
      <c r="J311" s="1" t="s">
        <v>21</v>
      </c>
      <c r="K311" s="1" t="s">
        <v>164</v>
      </c>
    </row>
    <row r="312" spans="1:11" s="1" customFormat="1">
      <c r="A312" s="4">
        <v>45439</v>
      </c>
      <c r="B312" s="1" t="s">
        <v>21</v>
      </c>
      <c r="C312" s="1">
        <v>0</v>
      </c>
      <c r="D312" s="1">
        <v>0</v>
      </c>
      <c r="E312" s="1">
        <v>0</v>
      </c>
      <c r="F312" s="1">
        <v>0</v>
      </c>
      <c r="G312" s="1" t="s">
        <v>21</v>
      </c>
      <c r="H312" s="1">
        <v>0</v>
      </c>
      <c r="I312" s="1">
        <v>0</v>
      </c>
      <c r="J312" s="1">
        <v>0</v>
      </c>
      <c r="K312" s="1">
        <v>0</v>
      </c>
    </row>
    <row r="313" spans="1:11" s="1" customFormat="1">
      <c r="A313" s="4">
        <v>45440</v>
      </c>
      <c r="B313" s="1" t="s">
        <v>21</v>
      </c>
      <c r="C313" s="1">
        <v>0</v>
      </c>
      <c r="D313" s="1">
        <v>0</v>
      </c>
      <c r="E313" s="1">
        <v>0</v>
      </c>
      <c r="F313" s="1">
        <v>0</v>
      </c>
      <c r="G313" s="1" t="s">
        <v>21</v>
      </c>
      <c r="H313" s="1">
        <v>0</v>
      </c>
      <c r="I313" s="1">
        <v>0</v>
      </c>
      <c r="J313" s="1">
        <v>0</v>
      </c>
      <c r="K313" s="1">
        <v>0</v>
      </c>
    </row>
    <row r="314" spans="1:11" s="1" customFormat="1">
      <c r="A314" s="4">
        <v>45441</v>
      </c>
      <c r="B314" s="1" t="s">
        <v>21</v>
      </c>
      <c r="C314" s="1">
        <v>0</v>
      </c>
      <c r="D314" s="1">
        <v>0</v>
      </c>
      <c r="E314" s="1">
        <v>0</v>
      </c>
      <c r="F314" s="1">
        <v>0</v>
      </c>
      <c r="G314" s="1" t="s">
        <v>21</v>
      </c>
      <c r="H314" s="1">
        <v>0</v>
      </c>
      <c r="I314" s="1">
        <v>0</v>
      </c>
      <c r="J314" s="1">
        <v>0</v>
      </c>
      <c r="K314" s="1">
        <v>0</v>
      </c>
    </row>
    <row r="315" spans="1:11" s="1" customFormat="1">
      <c r="A315" s="4">
        <v>45442</v>
      </c>
      <c r="B315" s="1" t="s">
        <v>21</v>
      </c>
      <c r="C315" s="1">
        <v>0</v>
      </c>
      <c r="D315" s="1">
        <v>0</v>
      </c>
      <c r="E315" s="1">
        <v>0</v>
      </c>
      <c r="F315" s="1">
        <v>0</v>
      </c>
      <c r="G315" s="1" t="s">
        <v>21</v>
      </c>
      <c r="H315" s="1">
        <v>0</v>
      </c>
      <c r="I315" s="1">
        <v>0</v>
      </c>
      <c r="J315" s="1">
        <v>0</v>
      </c>
      <c r="K315" s="1">
        <v>0</v>
      </c>
    </row>
    <row r="316" spans="1:11" s="1" customFormat="1">
      <c r="A316" s="4">
        <v>45443</v>
      </c>
      <c r="B316" s="1" t="s">
        <v>21</v>
      </c>
      <c r="C316" s="1">
        <v>0</v>
      </c>
      <c r="D316" s="1">
        <v>0</v>
      </c>
      <c r="E316" s="1">
        <v>0</v>
      </c>
      <c r="F316" s="1">
        <v>0</v>
      </c>
      <c r="G316" s="1" t="s">
        <v>21</v>
      </c>
      <c r="H316" s="1">
        <v>0</v>
      </c>
      <c r="I316" s="1">
        <v>0</v>
      </c>
      <c r="J316" s="1">
        <v>0</v>
      </c>
      <c r="K316" s="1">
        <v>0</v>
      </c>
    </row>
    <row r="317" spans="1:11" s="1" customFormat="1">
      <c r="A317" s="4">
        <v>45446</v>
      </c>
      <c r="B317" s="1" t="s">
        <v>21</v>
      </c>
      <c r="C317" s="1" t="s">
        <v>21</v>
      </c>
      <c r="D317" s="1" t="s">
        <v>21</v>
      </c>
      <c r="E317" s="1" t="s">
        <v>66</v>
      </c>
      <c r="F317" s="1" t="s">
        <v>66</v>
      </c>
      <c r="G317" s="1" t="s">
        <v>21</v>
      </c>
      <c r="H317" s="1">
        <v>0</v>
      </c>
      <c r="I317" s="1">
        <v>0</v>
      </c>
      <c r="J317" s="1">
        <v>0</v>
      </c>
      <c r="K317" s="1">
        <v>0</v>
      </c>
    </row>
    <row r="318" spans="1:11" s="1" customFormat="1">
      <c r="A318" s="4">
        <v>45447</v>
      </c>
      <c r="B318" s="1" t="s">
        <v>21</v>
      </c>
      <c r="C318" s="1" t="s">
        <v>21</v>
      </c>
      <c r="D318" s="1" t="s">
        <v>21</v>
      </c>
      <c r="E318" s="1" t="s">
        <v>21</v>
      </c>
      <c r="F318" s="1" t="s">
        <v>21</v>
      </c>
      <c r="G318" s="1" t="s">
        <v>21</v>
      </c>
      <c r="H318" s="1">
        <v>0</v>
      </c>
      <c r="I318" s="1">
        <v>0</v>
      </c>
      <c r="J318" s="1">
        <v>0</v>
      </c>
      <c r="K318" s="1">
        <v>0</v>
      </c>
    </row>
    <row r="319" spans="1:11" s="1" customFormat="1">
      <c r="A319" s="4">
        <v>45448</v>
      </c>
      <c r="B319" s="1" t="s">
        <v>21</v>
      </c>
      <c r="C319" s="1" t="s">
        <v>21</v>
      </c>
      <c r="D319" s="1" t="s">
        <v>21</v>
      </c>
      <c r="E319" s="1" t="s">
        <v>21</v>
      </c>
      <c r="F319" s="1" t="s">
        <v>21</v>
      </c>
      <c r="G319" s="1" t="s">
        <v>21</v>
      </c>
      <c r="H319" s="1">
        <v>0</v>
      </c>
      <c r="I319" s="1">
        <v>0</v>
      </c>
      <c r="J319" s="1">
        <v>0</v>
      </c>
      <c r="K319" s="1">
        <v>0</v>
      </c>
    </row>
    <row r="320" spans="1:11" s="1" customFormat="1">
      <c r="A320" s="4">
        <v>45449</v>
      </c>
      <c r="B320" s="1" t="s">
        <v>21</v>
      </c>
      <c r="C320" s="1" t="s">
        <v>21</v>
      </c>
      <c r="D320" s="1" t="s">
        <v>21</v>
      </c>
      <c r="E320" s="1" t="s">
        <v>21</v>
      </c>
      <c r="F320" s="1" t="s">
        <v>21</v>
      </c>
      <c r="G320" s="1" t="s">
        <v>21</v>
      </c>
      <c r="H320" s="1">
        <v>0</v>
      </c>
      <c r="I320" s="1">
        <v>0</v>
      </c>
      <c r="J320" s="1">
        <v>0</v>
      </c>
      <c r="K320" s="1">
        <v>0</v>
      </c>
    </row>
    <row r="321" spans="1:11" s="1" customFormat="1">
      <c r="A321" s="4">
        <v>45450</v>
      </c>
      <c r="B321" s="1" t="s">
        <v>21</v>
      </c>
      <c r="C321" s="1" t="s">
        <v>21</v>
      </c>
      <c r="D321" s="1" t="s">
        <v>21</v>
      </c>
      <c r="E321" s="1" t="s">
        <v>21</v>
      </c>
      <c r="F321" s="1" t="s">
        <v>21</v>
      </c>
      <c r="G321" s="1" t="s">
        <v>21</v>
      </c>
      <c r="H321" s="1">
        <v>0</v>
      </c>
      <c r="I321" s="1">
        <v>0</v>
      </c>
      <c r="J321" s="1">
        <v>0</v>
      </c>
      <c r="K321" s="1">
        <v>0</v>
      </c>
    </row>
    <row r="322" spans="1:11" s="1" customFormat="1">
      <c r="A322" s="4">
        <v>45453</v>
      </c>
      <c r="B322" s="1" t="s">
        <v>21</v>
      </c>
      <c r="C322" s="1" t="s">
        <v>21</v>
      </c>
      <c r="D322" s="1" t="s">
        <v>21</v>
      </c>
      <c r="E322" s="1" t="s">
        <v>21</v>
      </c>
      <c r="F322" s="1" t="s">
        <v>21</v>
      </c>
      <c r="G322" s="1" t="s">
        <v>21</v>
      </c>
      <c r="H322" s="1">
        <v>0</v>
      </c>
      <c r="I322" s="1">
        <v>0</v>
      </c>
      <c r="J322" s="1">
        <v>0</v>
      </c>
      <c r="K322" s="1">
        <v>0</v>
      </c>
    </row>
    <row r="323" spans="1:11" s="1" customFormat="1">
      <c r="A323" s="4">
        <v>45454</v>
      </c>
      <c r="B323" s="1" t="s">
        <v>21</v>
      </c>
      <c r="C323" s="1" t="s">
        <v>21</v>
      </c>
      <c r="D323" s="1" t="s">
        <v>21</v>
      </c>
      <c r="E323" s="1" t="s">
        <v>21</v>
      </c>
      <c r="F323" s="1" t="s">
        <v>21</v>
      </c>
      <c r="G323" s="1" t="s">
        <v>21</v>
      </c>
      <c r="H323" s="1">
        <v>0</v>
      </c>
      <c r="I323" s="1">
        <v>0</v>
      </c>
      <c r="J323" s="1">
        <v>0</v>
      </c>
      <c r="K323" s="1">
        <v>0</v>
      </c>
    </row>
    <row r="324" spans="1:11" s="1" customFormat="1">
      <c r="A324" s="4">
        <v>45455</v>
      </c>
      <c r="B324" s="1" t="s">
        <v>21</v>
      </c>
      <c r="C324" s="1" t="s">
        <v>21</v>
      </c>
      <c r="D324" s="1" t="s">
        <v>21</v>
      </c>
      <c r="E324" s="1" t="s">
        <v>21</v>
      </c>
      <c r="F324" s="1" t="s">
        <v>21</v>
      </c>
      <c r="G324" s="1" t="s">
        <v>21</v>
      </c>
      <c r="H324" s="1">
        <v>0</v>
      </c>
      <c r="I324" s="1">
        <v>0</v>
      </c>
      <c r="J324" s="1">
        <v>0</v>
      </c>
      <c r="K324" s="1">
        <v>0</v>
      </c>
    </row>
    <row r="325" spans="1:11" s="1" customFormat="1">
      <c r="A325" s="4">
        <v>45456</v>
      </c>
      <c r="B325" s="1" t="s">
        <v>21</v>
      </c>
      <c r="C325" s="1" t="s">
        <v>21</v>
      </c>
      <c r="D325" s="1" t="s">
        <v>21</v>
      </c>
      <c r="E325" s="1" t="s">
        <v>21</v>
      </c>
      <c r="F325" s="1" t="s">
        <v>21</v>
      </c>
      <c r="G325" s="1" t="s">
        <v>21</v>
      </c>
      <c r="H325" s="1">
        <v>0</v>
      </c>
      <c r="I325" s="1">
        <v>0</v>
      </c>
      <c r="J325" s="1">
        <v>0</v>
      </c>
      <c r="K325" s="1">
        <v>0</v>
      </c>
    </row>
    <row r="326" spans="1:11" s="1" customFormat="1">
      <c r="A326" s="4">
        <v>45457</v>
      </c>
      <c r="B326" s="1" t="s">
        <v>21</v>
      </c>
      <c r="C326" s="1" t="s">
        <v>21</v>
      </c>
      <c r="D326" s="1" t="s">
        <v>21</v>
      </c>
      <c r="E326" s="1" t="s">
        <v>21</v>
      </c>
      <c r="F326" s="1" t="s">
        <v>21</v>
      </c>
      <c r="G326" s="1" t="s">
        <v>21</v>
      </c>
      <c r="H326" s="1" t="s">
        <v>21</v>
      </c>
      <c r="I326" s="1" t="s">
        <v>21</v>
      </c>
      <c r="J326" s="1" t="s">
        <v>21</v>
      </c>
      <c r="K326" s="1" t="s">
        <v>21</v>
      </c>
    </row>
    <row r="327" spans="1:11" s="1" customFormat="1">
      <c r="A327" s="4">
        <v>45460</v>
      </c>
      <c r="B327" s="1" t="s">
        <v>21</v>
      </c>
      <c r="C327" s="1">
        <v>0</v>
      </c>
      <c r="D327" s="1">
        <v>0</v>
      </c>
      <c r="E327" s="1">
        <v>0</v>
      </c>
      <c r="F327" s="1">
        <v>0</v>
      </c>
      <c r="G327" s="1" t="s">
        <v>21</v>
      </c>
      <c r="H327" s="1" t="s">
        <v>102</v>
      </c>
      <c r="I327" s="1" t="s">
        <v>102</v>
      </c>
      <c r="J327" s="1" t="s">
        <v>102</v>
      </c>
      <c r="K327" s="1" t="s">
        <v>102</v>
      </c>
    </row>
    <row r="328" spans="1:11" s="1" customFormat="1">
      <c r="A328" s="4">
        <v>45461</v>
      </c>
      <c r="B328" s="1" t="s">
        <v>21</v>
      </c>
      <c r="C328" s="1">
        <v>0</v>
      </c>
      <c r="D328" s="1">
        <v>0</v>
      </c>
      <c r="E328" s="1">
        <v>0</v>
      </c>
      <c r="F328" s="1">
        <v>0</v>
      </c>
      <c r="G328" s="1" t="s">
        <v>21</v>
      </c>
      <c r="H328" s="1" t="s">
        <v>21</v>
      </c>
      <c r="I328" s="1" t="s">
        <v>21</v>
      </c>
      <c r="J328" s="1" t="s">
        <v>21</v>
      </c>
      <c r="K328" s="1" t="s">
        <v>21</v>
      </c>
    </row>
    <row r="329" spans="1:11" s="1" customFormat="1">
      <c r="A329" s="4">
        <v>45462</v>
      </c>
      <c r="B329" s="1" t="s">
        <v>21</v>
      </c>
      <c r="C329" s="1">
        <v>0</v>
      </c>
      <c r="D329" s="1">
        <v>0</v>
      </c>
      <c r="E329" s="1">
        <v>0</v>
      </c>
      <c r="F329" s="1">
        <v>0</v>
      </c>
      <c r="G329" s="1" t="s">
        <v>21</v>
      </c>
      <c r="H329" s="1" t="s">
        <v>103</v>
      </c>
      <c r="I329" s="1" t="s">
        <v>103</v>
      </c>
      <c r="J329" s="1" t="s">
        <v>103</v>
      </c>
      <c r="K329" s="1" t="s">
        <v>103</v>
      </c>
    </row>
    <row r="330" spans="1:11" s="1" customFormat="1">
      <c r="A330" s="4">
        <v>45463</v>
      </c>
      <c r="B330" s="1" t="s">
        <v>21</v>
      </c>
      <c r="C330" s="1">
        <v>0</v>
      </c>
      <c r="D330" s="1">
        <v>0</v>
      </c>
      <c r="E330" s="1">
        <v>0</v>
      </c>
      <c r="F330" s="1">
        <v>0</v>
      </c>
      <c r="G330" s="1" t="s">
        <v>21</v>
      </c>
      <c r="H330" s="1" t="s">
        <v>21</v>
      </c>
      <c r="I330" s="1" t="s">
        <v>21</v>
      </c>
      <c r="J330" s="1" t="s">
        <v>148</v>
      </c>
      <c r="K330" s="1" t="s">
        <v>148</v>
      </c>
    </row>
    <row r="331" spans="1:11" s="1" customFormat="1">
      <c r="A331" s="4">
        <v>45464</v>
      </c>
      <c r="B331" s="1" t="s">
        <v>21</v>
      </c>
      <c r="C331" s="1">
        <v>0</v>
      </c>
      <c r="D331" s="1">
        <v>0</v>
      </c>
      <c r="E331" s="1">
        <v>0</v>
      </c>
      <c r="F331" s="1">
        <v>0</v>
      </c>
      <c r="G331" s="1" t="s">
        <v>21</v>
      </c>
      <c r="H331" s="1" t="s">
        <v>21</v>
      </c>
      <c r="I331" s="1" t="s">
        <v>21</v>
      </c>
      <c r="J331" s="1" t="s">
        <v>21</v>
      </c>
      <c r="K331" s="1" t="s">
        <v>165</v>
      </c>
    </row>
    <row r="332" spans="1:11" s="1" customFormat="1">
      <c r="A332" s="4">
        <v>45467</v>
      </c>
      <c r="B332" s="1" t="s">
        <v>21</v>
      </c>
      <c r="C332" s="1">
        <v>0</v>
      </c>
      <c r="D332" s="1">
        <v>0</v>
      </c>
      <c r="E332" s="1">
        <v>0</v>
      </c>
      <c r="F332" s="1">
        <v>0</v>
      </c>
      <c r="G332" s="1" t="s">
        <v>21</v>
      </c>
      <c r="H332" s="1">
        <v>0</v>
      </c>
      <c r="I332" s="1">
        <v>0</v>
      </c>
      <c r="J332" s="1">
        <v>0</v>
      </c>
      <c r="K332" s="1">
        <v>0</v>
      </c>
    </row>
    <row r="333" spans="1:11" s="1" customFormat="1">
      <c r="A333" s="4">
        <v>45468</v>
      </c>
      <c r="B333" s="1" t="s">
        <v>21</v>
      </c>
      <c r="C333" s="1">
        <v>0</v>
      </c>
      <c r="D333" s="1">
        <v>0</v>
      </c>
      <c r="E333" s="1">
        <v>0</v>
      </c>
      <c r="F333" s="1">
        <v>0</v>
      </c>
      <c r="G333" s="1" t="s">
        <v>21</v>
      </c>
      <c r="H333" s="1">
        <v>0</v>
      </c>
      <c r="I333" s="1">
        <v>0</v>
      </c>
      <c r="J333" s="1">
        <v>0</v>
      </c>
      <c r="K333" s="1">
        <v>0</v>
      </c>
    </row>
    <row r="334" spans="1:11" s="1" customFormat="1">
      <c r="A334" s="4">
        <v>45469</v>
      </c>
      <c r="B334" s="1" t="s">
        <v>21</v>
      </c>
      <c r="C334" s="1">
        <v>0</v>
      </c>
      <c r="D334" s="1">
        <v>0</v>
      </c>
      <c r="E334" s="1">
        <v>0</v>
      </c>
      <c r="F334" s="1">
        <v>0</v>
      </c>
      <c r="G334" s="1" t="s">
        <v>21</v>
      </c>
      <c r="H334" s="1">
        <v>0</v>
      </c>
      <c r="I334" s="1">
        <v>0</v>
      </c>
      <c r="J334" s="1">
        <v>0</v>
      </c>
      <c r="K334" s="1">
        <v>0</v>
      </c>
    </row>
    <row r="335" spans="1:11" s="1" customFormat="1">
      <c r="A335" s="4">
        <v>45470</v>
      </c>
      <c r="B335" s="1" t="s">
        <v>21</v>
      </c>
      <c r="C335" s="1">
        <v>0</v>
      </c>
      <c r="D335" s="1">
        <v>0</v>
      </c>
      <c r="E335" s="1">
        <v>0</v>
      </c>
      <c r="F335" s="1">
        <v>0</v>
      </c>
      <c r="G335" s="1" t="s">
        <v>21</v>
      </c>
      <c r="H335" s="1">
        <v>0</v>
      </c>
      <c r="I335" s="1">
        <v>0</v>
      </c>
      <c r="J335" s="1">
        <v>0</v>
      </c>
      <c r="K335" s="1">
        <v>0</v>
      </c>
    </row>
    <row r="336" spans="1:11" s="1" customFormat="1">
      <c r="A336" s="4">
        <v>45471</v>
      </c>
      <c r="B336" s="1" t="s">
        <v>21</v>
      </c>
      <c r="C336" s="1">
        <v>0</v>
      </c>
      <c r="D336" s="1">
        <v>0</v>
      </c>
      <c r="E336" s="1">
        <v>0</v>
      </c>
      <c r="F336" s="1">
        <v>0</v>
      </c>
      <c r="G336" s="1" t="s">
        <v>21</v>
      </c>
      <c r="H336" s="1">
        <v>0</v>
      </c>
      <c r="I336" s="1">
        <v>0</v>
      </c>
      <c r="J336" s="1">
        <v>0</v>
      </c>
      <c r="K336" s="1">
        <v>0</v>
      </c>
    </row>
    <row r="337" spans="1:11" s="1" customFormat="1">
      <c r="A337" s="4">
        <v>45474</v>
      </c>
      <c r="B337" s="1" t="s">
        <v>21</v>
      </c>
      <c r="C337" s="1">
        <v>0</v>
      </c>
      <c r="D337" s="1">
        <v>0</v>
      </c>
      <c r="E337" s="1">
        <v>0</v>
      </c>
      <c r="F337" s="1">
        <v>0</v>
      </c>
      <c r="G337" s="1" t="s">
        <v>21</v>
      </c>
      <c r="H337" s="1">
        <v>0</v>
      </c>
      <c r="I337" s="1">
        <v>0</v>
      </c>
      <c r="J337" s="1">
        <v>0</v>
      </c>
      <c r="K337" s="1">
        <v>0</v>
      </c>
    </row>
    <row r="338" spans="1:11" s="1" customFormat="1">
      <c r="A338" s="4">
        <v>45476</v>
      </c>
      <c r="B338" s="1" t="s">
        <v>21</v>
      </c>
      <c r="C338" s="1" t="s">
        <v>21</v>
      </c>
      <c r="D338" s="1" t="s">
        <v>21</v>
      </c>
      <c r="E338" s="1" t="s">
        <v>21</v>
      </c>
      <c r="F338" s="1" t="s">
        <v>21</v>
      </c>
      <c r="G338" s="1" t="s">
        <v>21</v>
      </c>
      <c r="H338" s="1">
        <v>0</v>
      </c>
      <c r="I338" s="1">
        <v>0</v>
      </c>
      <c r="J338" s="1">
        <v>0</v>
      </c>
      <c r="K338" s="1">
        <v>0</v>
      </c>
    </row>
    <row r="339" spans="1:11" s="1" customFormat="1">
      <c r="A339" s="4">
        <v>45477</v>
      </c>
      <c r="B339" s="1" t="s">
        <v>21</v>
      </c>
      <c r="C339" s="1" t="s">
        <v>21</v>
      </c>
      <c r="D339" s="1" t="s">
        <v>21</v>
      </c>
      <c r="E339" s="1" t="s">
        <v>21</v>
      </c>
      <c r="F339" s="1" t="s">
        <v>21</v>
      </c>
      <c r="G339" s="1" t="s">
        <v>21</v>
      </c>
      <c r="H339" s="1">
        <v>0</v>
      </c>
      <c r="I339" s="1">
        <v>0</v>
      </c>
      <c r="J339" s="1">
        <v>0</v>
      </c>
      <c r="K339" s="1">
        <v>0</v>
      </c>
    </row>
    <row r="340" spans="1:11" s="1" customFormat="1">
      <c r="A340" s="4">
        <v>45478</v>
      </c>
      <c r="B340" s="1" t="s">
        <v>21</v>
      </c>
      <c r="C340" s="1" t="s">
        <v>21</v>
      </c>
      <c r="D340" s="1" t="s">
        <v>21</v>
      </c>
      <c r="E340" s="1" t="s">
        <v>21</v>
      </c>
      <c r="F340" s="1" t="s">
        <v>21</v>
      </c>
      <c r="G340" s="1" t="s">
        <v>21</v>
      </c>
      <c r="H340" s="1">
        <v>0</v>
      </c>
      <c r="I340" s="1">
        <v>0</v>
      </c>
      <c r="J340" s="1">
        <v>0</v>
      </c>
      <c r="K340" s="1">
        <v>0</v>
      </c>
    </row>
    <row r="341" spans="1:11" s="1" customFormat="1">
      <c r="A341" s="4">
        <v>45481</v>
      </c>
      <c r="B341" s="1" t="s">
        <v>21</v>
      </c>
      <c r="C341" s="1" t="s">
        <v>21</v>
      </c>
      <c r="D341" s="1" t="s">
        <v>21</v>
      </c>
      <c r="E341" s="1" t="s">
        <v>21</v>
      </c>
      <c r="F341" s="1" t="s">
        <v>21</v>
      </c>
      <c r="G341" s="1" t="s">
        <v>21</v>
      </c>
      <c r="H341" s="1">
        <v>0</v>
      </c>
      <c r="I341" s="1">
        <v>0</v>
      </c>
      <c r="J341" s="1">
        <v>0</v>
      </c>
      <c r="K341" s="1">
        <v>0</v>
      </c>
    </row>
    <row r="342" spans="1:11" s="1" customFormat="1">
      <c r="A342" s="4">
        <v>45482</v>
      </c>
      <c r="B342" s="1" t="s">
        <v>21</v>
      </c>
      <c r="C342" s="1" t="s">
        <v>21</v>
      </c>
      <c r="D342" s="1" t="s">
        <v>21</v>
      </c>
      <c r="E342" s="1" t="s">
        <v>21</v>
      </c>
      <c r="F342" s="1" t="s">
        <v>21</v>
      </c>
      <c r="G342" s="1" t="s">
        <v>21</v>
      </c>
      <c r="H342" s="1">
        <v>0</v>
      </c>
      <c r="I342" s="1">
        <v>0</v>
      </c>
      <c r="J342" s="1">
        <v>0</v>
      </c>
      <c r="K342" s="1">
        <v>0</v>
      </c>
    </row>
    <row r="343" spans="1:11" s="1" customFormat="1">
      <c r="A343" s="4">
        <v>45484</v>
      </c>
      <c r="B343" s="1" t="s">
        <v>21</v>
      </c>
      <c r="C343" s="1" t="s">
        <v>21</v>
      </c>
      <c r="D343" s="1" t="s">
        <v>21</v>
      </c>
      <c r="E343" s="1" t="s">
        <v>21</v>
      </c>
      <c r="F343" s="1" t="s">
        <v>21</v>
      </c>
      <c r="G343" s="1" t="s">
        <v>21</v>
      </c>
      <c r="H343" s="1">
        <v>0</v>
      </c>
      <c r="I343" s="1">
        <v>0</v>
      </c>
      <c r="J343" s="1">
        <v>0</v>
      </c>
      <c r="K343" s="1">
        <v>0</v>
      </c>
    </row>
    <row r="344" spans="1:11" s="1" customFormat="1">
      <c r="A344" s="4">
        <v>45485</v>
      </c>
      <c r="B344" s="1" t="s">
        <v>21</v>
      </c>
      <c r="C344" s="1" t="s">
        <v>21</v>
      </c>
      <c r="D344" s="1" t="s">
        <v>21</v>
      </c>
      <c r="E344" s="1" t="s">
        <v>21</v>
      </c>
      <c r="F344" s="1" t="s">
        <v>21</v>
      </c>
      <c r="G344" s="1" t="s">
        <v>21</v>
      </c>
      <c r="H344" s="1">
        <v>0</v>
      </c>
      <c r="I344" s="1">
        <v>0</v>
      </c>
      <c r="J344" s="1">
        <v>0</v>
      </c>
      <c r="K344" s="1">
        <v>0</v>
      </c>
    </row>
    <row r="345" spans="1:11" s="1" customFormat="1">
      <c r="A345" s="4">
        <v>45488</v>
      </c>
      <c r="B345" s="1" t="s">
        <v>21</v>
      </c>
      <c r="C345" s="1" t="s">
        <v>21</v>
      </c>
      <c r="D345" s="1" t="s">
        <v>21</v>
      </c>
      <c r="E345" s="1" t="s">
        <v>21</v>
      </c>
      <c r="F345" s="1" t="s">
        <v>21</v>
      </c>
      <c r="G345" s="1" t="s">
        <v>21</v>
      </c>
      <c r="H345" s="1">
        <v>0</v>
      </c>
      <c r="I345" s="1">
        <v>0</v>
      </c>
      <c r="J345" s="1">
        <v>0</v>
      </c>
      <c r="K345" s="1">
        <v>0</v>
      </c>
    </row>
    <row r="346" spans="1:11" s="1" customFormat="1">
      <c r="A346" s="4">
        <v>45489</v>
      </c>
      <c r="B346" s="1" t="s">
        <v>21</v>
      </c>
      <c r="C346" s="1" t="s">
        <v>21</v>
      </c>
      <c r="D346" s="1" t="s">
        <v>21</v>
      </c>
      <c r="E346" s="1" t="s">
        <v>21</v>
      </c>
      <c r="F346" s="1" t="s">
        <v>21</v>
      </c>
      <c r="G346" s="1" t="s">
        <v>21</v>
      </c>
      <c r="H346" s="1">
        <v>0</v>
      </c>
      <c r="I346" s="1">
        <v>0</v>
      </c>
      <c r="J346" s="1">
        <v>0</v>
      </c>
      <c r="K346" s="1">
        <v>0</v>
      </c>
    </row>
    <row r="347" spans="1:11" s="1" customFormat="1">
      <c r="A347" s="4">
        <v>45490</v>
      </c>
      <c r="B347" s="1" t="s">
        <v>21</v>
      </c>
      <c r="C347" s="1" t="s">
        <v>21</v>
      </c>
      <c r="D347" s="1" t="s">
        <v>21</v>
      </c>
      <c r="E347" s="1" t="s">
        <v>21</v>
      </c>
      <c r="F347" s="1" t="s">
        <v>21</v>
      </c>
      <c r="G347" s="1" t="s">
        <v>21</v>
      </c>
      <c r="H347" s="1" t="s">
        <v>104</v>
      </c>
      <c r="I347" s="1" t="s">
        <v>104</v>
      </c>
      <c r="J347" s="1" t="s">
        <v>104</v>
      </c>
      <c r="K347" s="1" t="s">
        <v>104</v>
      </c>
    </row>
    <row r="348" spans="1:11" s="1" customFormat="1">
      <c r="A348" s="4">
        <v>45491</v>
      </c>
      <c r="B348" s="1" t="s">
        <v>21</v>
      </c>
      <c r="C348" s="1">
        <v>0</v>
      </c>
      <c r="D348" s="1">
        <v>0</v>
      </c>
      <c r="E348" s="1">
        <v>0</v>
      </c>
      <c r="F348" s="1">
        <v>0</v>
      </c>
      <c r="G348" s="1" t="s">
        <v>21</v>
      </c>
      <c r="H348" s="1" t="s">
        <v>21</v>
      </c>
      <c r="I348" s="1" t="s">
        <v>21</v>
      </c>
      <c r="J348" s="1" t="s">
        <v>21</v>
      </c>
      <c r="K348" s="1" t="s">
        <v>21</v>
      </c>
    </row>
    <row r="349" spans="1:11" s="1" customFormat="1">
      <c r="A349" s="4">
        <v>45492</v>
      </c>
      <c r="B349" s="1" t="s">
        <v>21</v>
      </c>
      <c r="C349" s="1">
        <v>0</v>
      </c>
      <c r="D349" s="1">
        <v>0</v>
      </c>
      <c r="E349" s="1">
        <v>0</v>
      </c>
      <c r="F349" s="1">
        <v>0</v>
      </c>
      <c r="G349" s="1" t="s">
        <v>21</v>
      </c>
      <c r="H349" s="1" t="s">
        <v>105</v>
      </c>
      <c r="I349" s="1" t="s">
        <v>105</v>
      </c>
      <c r="J349" s="1" t="s">
        <v>105</v>
      </c>
      <c r="K349" s="1" t="s">
        <v>105</v>
      </c>
    </row>
    <row r="350" spans="1:11" s="1" customFormat="1">
      <c r="A350" s="4">
        <v>45495</v>
      </c>
      <c r="B350" s="1" t="s">
        <v>21</v>
      </c>
      <c r="C350" s="1">
        <v>0</v>
      </c>
      <c r="D350" s="1">
        <v>0</v>
      </c>
      <c r="E350" s="1">
        <v>0</v>
      </c>
      <c r="F350" s="1">
        <v>0</v>
      </c>
      <c r="G350" s="1" t="s">
        <v>21</v>
      </c>
      <c r="H350" s="1" t="s">
        <v>21</v>
      </c>
      <c r="I350" s="1" t="s">
        <v>21</v>
      </c>
      <c r="J350" s="1" t="s">
        <v>21</v>
      </c>
      <c r="K350" s="1" t="s">
        <v>21</v>
      </c>
    </row>
    <row r="351" spans="1:11" s="1" customFormat="1">
      <c r="A351" s="4">
        <v>45496</v>
      </c>
      <c r="B351" s="1" t="s">
        <v>21</v>
      </c>
      <c r="C351" s="1">
        <v>0</v>
      </c>
      <c r="D351" s="1">
        <v>0</v>
      </c>
      <c r="E351" s="1">
        <v>0</v>
      </c>
      <c r="F351" s="1">
        <v>0</v>
      </c>
      <c r="G351" s="1" t="s">
        <v>21</v>
      </c>
      <c r="H351" s="1" t="s">
        <v>21</v>
      </c>
      <c r="I351" s="1" t="s">
        <v>21</v>
      </c>
      <c r="J351" s="1" t="s">
        <v>21</v>
      </c>
      <c r="K351" s="1" t="s">
        <v>21</v>
      </c>
    </row>
    <row r="352" spans="1:11" s="1" customFormat="1">
      <c r="A352" s="4">
        <v>45497</v>
      </c>
      <c r="B352" s="1" t="s">
        <v>21</v>
      </c>
      <c r="C352" s="1">
        <v>0</v>
      </c>
      <c r="D352" s="1">
        <v>0</v>
      </c>
      <c r="E352" s="1">
        <v>0</v>
      </c>
      <c r="F352" s="1">
        <v>0</v>
      </c>
      <c r="G352" s="1" t="s">
        <v>21</v>
      </c>
      <c r="H352" s="1" t="s">
        <v>21</v>
      </c>
      <c r="I352" s="1" t="s">
        <v>21</v>
      </c>
      <c r="J352" s="1" t="s">
        <v>55</v>
      </c>
      <c r="K352" s="1" t="s">
        <v>113</v>
      </c>
    </row>
    <row r="353" spans="1:11" s="1" customFormat="1">
      <c r="A353" s="4">
        <v>45498</v>
      </c>
      <c r="B353" s="1" t="s">
        <v>21</v>
      </c>
      <c r="C353" s="1">
        <v>0</v>
      </c>
      <c r="D353" s="1">
        <v>0</v>
      </c>
      <c r="E353" s="1">
        <v>0</v>
      </c>
      <c r="F353" s="1">
        <v>0</v>
      </c>
      <c r="G353" s="1" t="s">
        <v>21</v>
      </c>
      <c r="H353" s="1">
        <v>0</v>
      </c>
      <c r="I353" s="1">
        <v>0</v>
      </c>
      <c r="J353" s="1">
        <v>0</v>
      </c>
      <c r="K353" s="1">
        <v>0</v>
      </c>
    </row>
    <row r="354" spans="1:11" s="1" customFormat="1">
      <c r="A354" s="4">
        <v>45499</v>
      </c>
      <c r="B354" s="1" t="s">
        <v>21</v>
      </c>
      <c r="C354" s="1">
        <v>0</v>
      </c>
      <c r="D354" s="1">
        <v>0</v>
      </c>
      <c r="E354" s="1">
        <v>0</v>
      </c>
      <c r="F354" s="1">
        <v>0</v>
      </c>
      <c r="G354" s="1" t="s">
        <v>21</v>
      </c>
      <c r="H354" s="1">
        <v>0</v>
      </c>
      <c r="I354" s="1">
        <v>0</v>
      </c>
      <c r="J354" s="1">
        <v>0</v>
      </c>
      <c r="K354" s="1">
        <v>0</v>
      </c>
    </row>
    <row r="355" spans="1:11" s="1" customFormat="1">
      <c r="A355" s="4">
        <v>45502</v>
      </c>
      <c r="B355" s="1" t="s">
        <v>21</v>
      </c>
      <c r="C355" s="1">
        <v>0</v>
      </c>
      <c r="D355" s="1">
        <v>0</v>
      </c>
      <c r="E355" s="1">
        <v>0</v>
      </c>
      <c r="F355" s="1">
        <v>0</v>
      </c>
      <c r="G355" s="1" t="s">
        <v>21</v>
      </c>
      <c r="H355" s="1">
        <v>0</v>
      </c>
      <c r="I355" s="1">
        <v>0</v>
      </c>
      <c r="J355" s="1">
        <v>0</v>
      </c>
      <c r="K355" s="1">
        <v>0</v>
      </c>
    </row>
    <row r="356" spans="1:11" s="1" customFormat="1">
      <c r="A356" s="4">
        <v>45503</v>
      </c>
      <c r="B356" s="1" t="s">
        <v>21</v>
      </c>
      <c r="C356" s="1">
        <v>0</v>
      </c>
      <c r="D356" s="1">
        <v>0</v>
      </c>
      <c r="E356" s="1">
        <v>0</v>
      </c>
      <c r="F356" s="1">
        <v>0</v>
      </c>
      <c r="G356" s="1" t="s">
        <v>21</v>
      </c>
      <c r="H356" s="1">
        <v>0</v>
      </c>
      <c r="I356" s="1">
        <v>0</v>
      </c>
      <c r="J356" s="1">
        <v>0</v>
      </c>
      <c r="K356" s="1">
        <v>0</v>
      </c>
    </row>
    <row r="357" spans="1:11" s="1" customFormat="1">
      <c r="A357" s="4">
        <v>45504</v>
      </c>
      <c r="B357" s="1" t="s">
        <v>21</v>
      </c>
      <c r="C357" s="1">
        <v>0</v>
      </c>
      <c r="D357" s="1">
        <v>0</v>
      </c>
      <c r="E357" s="1">
        <v>0</v>
      </c>
      <c r="F357" s="1">
        <v>0</v>
      </c>
      <c r="G357" s="1" t="s">
        <v>21</v>
      </c>
      <c r="H357" s="1">
        <v>0</v>
      </c>
      <c r="I357" s="1">
        <v>0</v>
      </c>
      <c r="J357" s="1">
        <v>0</v>
      </c>
      <c r="K357" s="1">
        <v>0</v>
      </c>
    </row>
    <row r="358" spans="1:11" s="1" customFormat="1">
      <c r="A358" s="4">
        <v>45505</v>
      </c>
      <c r="B358" s="1" t="s">
        <v>21</v>
      </c>
      <c r="C358" s="1" t="s">
        <v>21</v>
      </c>
      <c r="D358" s="1" t="s">
        <v>21</v>
      </c>
      <c r="E358" s="1" t="s">
        <v>21</v>
      </c>
      <c r="F358" s="1" t="s">
        <v>21</v>
      </c>
      <c r="G358" s="1" t="s">
        <v>21</v>
      </c>
      <c r="H358" s="1">
        <v>0</v>
      </c>
      <c r="I358" s="1">
        <v>0</v>
      </c>
      <c r="J358" s="1">
        <v>0</v>
      </c>
      <c r="K358" s="1">
        <v>0</v>
      </c>
    </row>
    <row r="359" spans="1:11" s="1" customFormat="1">
      <c r="A359" s="4">
        <v>45506</v>
      </c>
      <c r="B359" s="1" t="s">
        <v>21</v>
      </c>
      <c r="C359" s="1" t="s">
        <v>21</v>
      </c>
      <c r="D359" s="1" t="s">
        <v>48</v>
      </c>
      <c r="E359" s="1" t="s">
        <v>67</v>
      </c>
      <c r="F359" s="1" t="s">
        <v>67</v>
      </c>
      <c r="G359" s="1" t="s">
        <v>21</v>
      </c>
      <c r="H359" s="1">
        <v>0</v>
      </c>
      <c r="I359" s="1">
        <v>0</v>
      </c>
      <c r="J359" s="1">
        <v>0</v>
      </c>
      <c r="K359" s="1">
        <v>0</v>
      </c>
    </row>
    <row r="360" spans="1:11" s="1" customFormat="1">
      <c r="A360" s="4">
        <v>45509</v>
      </c>
      <c r="B360" s="1" t="s">
        <v>21</v>
      </c>
      <c r="C360" s="1" t="s">
        <v>21</v>
      </c>
      <c r="D360" s="1" t="s">
        <v>21</v>
      </c>
      <c r="E360" s="1" t="s">
        <v>21</v>
      </c>
      <c r="F360" s="1" t="s">
        <v>21</v>
      </c>
      <c r="G360" s="1" t="s">
        <v>21</v>
      </c>
      <c r="H360" s="1">
        <v>0</v>
      </c>
      <c r="I360" s="1">
        <v>0</v>
      </c>
      <c r="J360" s="1">
        <v>0</v>
      </c>
      <c r="K360" s="1">
        <v>0</v>
      </c>
    </row>
    <row r="361" spans="1:11" s="1" customFormat="1">
      <c r="A361" s="4">
        <v>45510</v>
      </c>
      <c r="B361" s="1" t="s">
        <v>21</v>
      </c>
      <c r="C361" s="1" t="s">
        <v>21</v>
      </c>
      <c r="D361" s="1" t="s">
        <v>21</v>
      </c>
      <c r="E361" s="1" t="s">
        <v>21</v>
      </c>
      <c r="F361" s="1" t="s">
        <v>21</v>
      </c>
      <c r="G361" s="1" t="s">
        <v>21</v>
      </c>
      <c r="H361" s="1">
        <v>0</v>
      </c>
      <c r="I361" s="1">
        <v>0</v>
      </c>
      <c r="J361" s="1">
        <v>0</v>
      </c>
      <c r="K361" s="1">
        <v>0</v>
      </c>
    </row>
    <row r="362" spans="1:11" s="1" customFormat="1">
      <c r="A362" s="4">
        <v>45511</v>
      </c>
      <c r="B362" s="1" t="s">
        <v>21</v>
      </c>
      <c r="C362" s="1" t="s">
        <v>21</v>
      </c>
      <c r="D362" s="1" t="s">
        <v>21</v>
      </c>
      <c r="E362" s="1" t="s">
        <v>21</v>
      </c>
      <c r="F362" s="1" t="s">
        <v>21</v>
      </c>
      <c r="G362" s="1" t="s">
        <v>21</v>
      </c>
      <c r="H362" s="1">
        <v>0</v>
      </c>
      <c r="I362" s="1">
        <v>0</v>
      </c>
      <c r="J362" s="1">
        <v>0</v>
      </c>
      <c r="K362" s="1">
        <v>0</v>
      </c>
    </row>
    <row r="363" spans="1:11" s="1" customFormat="1">
      <c r="A363" s="4">
        <v>45512</v>
      </c>
      <c r="B363" s="1" t="s">
        <v>21</v>
      </c>
      <c r="C363" s="1" t="s">
        <v>21</v>
      </c>
      <c r="D363" s="1" t="s">
        <v>21</v>
      </c>
      <c r="E363" s="1" t="s">
        <v>21</v>
      </c>
      <c r="F363" s="1" t="s">
        <v>21</v>
      </c>
      <c r="G363" s="1" t="s">
        <v>21</v>
      </c>
      <c r="H363" s="1" t="s">
        <v>21</v>
      </c>
      <c r="I363" s="1" t="s">
        <v>21</v>
      </c>
      <c r="J363" s="1" t="s">
        <v>21</v>
      </c>
      <c r="K363" s="1" t="s">
        <v>21</v>
      </c>
    </row>
    <row r="364" spans="1:11" s="1" customFormat="1">
      <c r="A364" s="4">
        <v>45513</v>
      </c>
      <c r="B364" s="1" t="s">
        <v>21</v>
      </c>
      <c r="C364" s="1" t="s">
        <v>21</v>
      </c>
      <c r="D364" s="1" t="s">
        <v>21</v>
      </c>
      <c r="E364" s="1" t="s">
        <v>21</v>
      </c>
      <c r="F364" s="1" t="s">
        <v>21</v>
      </c>
      <c r="G364" s="1" t="s">
        <v>21</v>
      </c>
      <c r="H364" s="1" t="s">
        <v>21</v>
      </c>
      <c r="I364" s="1" t="s">
        <v>21</v>
      </c>
      <c r="J364" s="1" t="s">
        <v>21</v>
      </c>
      <c r="K364" s="1" t="s">
        <v>21</v>
      </c>
    </row>
    <row r="365" spans="1:11" s="1" customFormat="1">
      <c r="A365" s="4">
        <v>45516</v>
      </c>
      <c r="B365" s="1" t="s">
        <v>21</v>
      </c>
      <c r="C365" s="1" t="s">
        <v>21</v>
      </c>
      <c r="D365" s="1" t="s">
        <v>21</v>
      </c>
      <c r="E365" s="1" t="s">
        <v>21</v>
      </c>
      <c r="F365" s="1" t="s">
        <v>21</v>
      </c>
      <c r="G365" s="1" t="s">
        <v>21</v>
      </c>
      <c r="H365" s="1" t="s">
        <v>21</v>
      </c>
      <c r="I365" s="1" t="s">
        <v>21</v>
      </c>
      <c r="J365" s="1" t="s">
        <v>21</v>
      </c>
      <c r="K365" s="1" t="s">
        <v>21</v>
      </c>
    </row>
    <row r="366" spans="1:11" s="1" customFormat="1">
      <c r="A366" s="4">
        <v>45517</v>
      </c>
      <c r="B366" s="1" t="s">
        <v>21</v>
      </c>
      <c r="C366" s="1" t="s">
        <v>21</v>
      </c>
      <c r="D366" s="1" t="s">
        <v>21</v>
      </c>
      <c r="E366" s="1" t="s">
        <v>21</v>
      </c>
      <c r="F366" s="1" t="s">
        <v>21</v>
      </c>
      <c r="G366" s="1" t="s">
        <v>21</v>
      </c>
      <c r="H366" s="1" t="s">
        <v>21</v>
      </c>
      <c r="I366" s="1" t="s">
        <v>21</v>
      </c>
      <c r="J366" s="1" t="s">
        <v>21</v>
      </c>
      <c r="K366" s="1" t="s">
        <v>21</v>
      </c>
    </row>
    <row r="367" spans="1:11" s="1" customFormat="1">
      <c r="A367" s="4">
        <v>45518</v>
      </c>
      <c r="B367" s="1" t="s">
        <v>21</v>
      </c>
      <c r="C367" s="1" t="s">
        <v>21</v>
      </c>
      <c r="D367" s="1" t="s">
        <v>21</v>
      </c>
      <c r="E367" s="1" t="s">
        <v>21</v>
      </c>
      <c r="F367" s="1" t="s">
        <v>21</v>
      </c>
      <c r="G367" s="1" t="s">
        <v>21</v>
      </c>
      <c r="H367" s="1" t="s">
        <v>38</v>
      </c>
      <c r="I367" s="1" t="s">
        <v>38</v>
      </c>
      <c r="J367" s="1" t="s">
        <v>38</v>
      </c>
      <c r="K367" s="1" t="s">
        <v>38</v>
      </c>
    </row>
    <row r="368" spans="1:11" s="1" customFormat="1">
      <c r="A368" s="4">
        <v>45527</v>
      </c>
      <c r="B368" s="1" t="s">
        <v>21</v>
      </c>
      <c r="C368" s="1">
        <v>0</v>
      </c>
      <c r="D368" s="1">
        <v>0</v>
      </c>
      <c r="E368" s="1">
        <v>0</v>
      </c>
      <c r="F368" s="1">
        <v>0</v>
      </c>
      <c r="G368" s="1" t="s">
        <v>21</v>
      </c>
      <c r="H368" s="1" t="s">
        <v>106</v>
      </c>
      <c r="I368" s="1" t="s">
        <v>133</v>
      </c>
      <c r="J368" s="1" t="s">
        <v>149</v>
      </c>
      <c r="K368" s="1" t="s">
        <v>149</v>
      </c>
    </row>
    <row r="369" spans="1:11" s="1" customFormat="1">
      <c r="A369" s="4">
        <v>45530</v>
      </c>
      <c r="B369" s="1" t="s">
        <v>21</v>
      </c>
      <c r="C369" s="1">
        <v>0</v>
      </c>
      <c r="D369" s="1">
        <v>0</v>
      </c>
      <c r="E369" s="1">
        <v>0</v>
      </c>
      <c r="F369" s="1">
        <v>0</v>
      </c>
      <c r="G369" s="1" t="s">
        <v>21</v>
      </c>
      <c r="H369" s="1">
        <v>0</v>
      </c>
      <c r="I369" s="1">
        <v>0</v>
      </c>
      <c r="J369" s="1">
        <v>0</v>
      </c>
      <c r="K369" s="1">
        <v>0</v>
      </c>
    </row>
    <row r="370" spans="1:11" s="1" customFormat="1">
      <c r="A370" s="4">
        <v>45531</v>
      </c>
      <c r="B370" s="1" t="s">
        <v>21</v>
      </c>
      <c r="C370" s="1">
        <v>0</v>
      </c>
      <c r="D370" s="1">
        <v>0</v>
      </c>
      <c r="E370" s="1">
        <v>0</v>
      </c>
      <c r="F370" s="1">
        <v>0</v>
      </c>
      <c r="G370" s="1" t="s">
        <v>21</v>
      </c>
      <c r="H370" s="1">
        <v>0</v>
      </c>
      <c r="I370" s="1">
        <v>0</v>
      </c>
      <c r="J370" s="1">
        <v>0</v>
      </c>
      <c r="K370" s="1">
        <v>0</v>
      </c>
    </row>
    <row r="371" spans="1:11" s="1" customFormat="1">
      <c r="A371" s="4">
        <v>45532</v>
      </c>
      <c r="B371" s="1" t="s">
        <v>21</v>
      </c>
      <c r="C371" s="1">
        <v>0</v>
      </c>
      <c r="D371" s="1">
        <v>0</v>
      </c>
      <c r="E371" s="1">
        <v>0</v>
      </c>
      <c r="F371" s="1">
        <v>0</v>
      </c>
      <c r="G371" s="1" t="s">
        <v>21</v>
      </c>
      <c r="H371" s="1">
        <v>0</v>
      </c>
      <c r="I371" s="1">
        <v>0</v>
      </c>
      <c r="J371" s="1">
        <v>0</v>
      </c>
      <c r="K371" s="1">
        <v>0</v>
      </c>
    </row>
    <row r="372" spans="1:11" s="1" customFormat="1">
      <c r="A372" s="4">
        <v>45533</v>
      </c>
      <c r="B372" s="1" t="s">
        <v>21</v>
      </c>
      <c r="C372" s="1">
        <v>0</v>
      </c>
      <c r="D372" s="1">
        <v>0</v>
      </c>
      <c r="E372" s="1">
        <v>0</v>
      </c>
      <c r="F372" s="1">
        <v>0</v>
      </c>
      <c r="G372" s="1" t="s">
        <v>21</v>
      </c>
      <c r="H372" s="1">
        <v>0</v>
      </c>
      <c r="I372" s="1">
        <v>0</v>
      </c>
      <c r="J372" s="1">
        <v>0</v>
      </c>
      <c r="K372" s="1">
        <v>0</v>
      </c>
    </row>
    <row r="373" spans="1:11" s="1" customFormat="1">
      <c r="A373" s="4">
        <v>45534</v>
      </c>
      <c r="B373" s="1" t="s">
        <v>21</v>
      </c>
      <c r="C373" s="1">
        <v>0</v>
      </c>
      <c r="D373" s="1">
        <v>0</v>
      </c>
      <c r="E373" s="1">
        <v>0</v>
      </c>
      <c r="F373" s="1">
        <v>0</v>
      </c>
      <c r="G373" s="1" t="s">
        <v>21</v>
      </c>
      <c r="H373" s="1">
        <v>0</v>
      </c>
      <c r="I373" s="1">
        <v>0</v>
      </c>
      <c r="J373" s="1">
        <v>0</v>
      </c>
      <c r="K373" s="1">
        <v>0</v>
      </c>
    </row>
    <row r="374" spans="1:11" s="1" customFormat="1">
      <c r="A374" s="4">
        <v>45537</v>
      </c>
      <c r="B374" s="1" t="s">
        <v>21</v>
      </c>
      <c r="C374" s="1">
        <v>0</v>
      </c>
      <c r="D374" s="1">
        <v>0</v>
      </c>
      <c r="E374" s="1">
        <v>0</v>
      </c>
      <c r="F374" s="1">
        <v>0</v>
      </c>
      <c r="G374" s="1" t="s">
        <v>21</v>
      </c>
      <c r="H374" s="1">
        <v>0</v>
      </c>
      <c r="I374" s="1">
        <v>0</v>
      </c>
      <c r="J374" s="1">
        <v>0</v>
      </c>
      <c r="K374" s="1">
        <v>0</v>
      </c>
    </row>
    <row r="375" spans="1:11" s="1" customFormat="1">
      <c r="A375" s="4">
        <v>45538</v>
      </c>
      <c r="B375" s="1" t="s">
        <v>21</v>
      </c>
      <c r="C375" s="1">
        <v>0</v>
      </c>
      <c r="D375" s="1">
        <v>0</v>
      </c>
      <c r="E375" s="1">
        <v>0</v>
      </c>
      <c r="F375" s="1">
        <v>0</v>
      </c>
      <c r="G375" s="1" t="s">
        <v>21</v>
      </c>
      <c r="H375" s="1">
        <v>0</v>
      </c>
      <c r="I375" s="1">
        <v>0</v>
      </c>
      <c r="J375" s="1">
        <v>0</v>
      </c>
      <c r="K375" s="1">
        <v>0</v>
      </c>
    </row>
    <row r="376" spans="1:11" s="1" customFormat="1">
      <c r="A376" s="4">
        <v>45539</v>
      </c>
      <c r="B376" s="1" t="s">
        <v>21</v>
      </c>
      <c r="C376" s="1" t="s">
        <v>29</v>
      </c>
      <c r="D376" s="1" t="s">
        <v>21</v>
      </c>
      <c r="E376" s="1" t="s">
        <v>21</v>
      </c>
      <c r="F376" s="1" t="s">
        <v>21</v>
      </c>
      <c r="G376" s="1" t="s">
        <v>21</v>
      </c>
      <c r="H376" s="1">
        <v>0</v>
      </c>
      <c r="I376" s="1">
        <v>0</v>
      </c>
      <c r="J376" s="1">
        <v>0</v>
      </c>
      <c r="K376" s="1">
        <v>0</v>
      </c>
    </row>
    <row r="377" spans="1:11" s="1" customFormat="1">
      <c r="A377" s="4">
        <v>45540</v>
      </c>
      <c r="B377" s="1" t="s">
        <v>21</v>
      </c>
      <c r="C377" s="1" t="s">
        <v>21</v>
      </c>
      <c r="D377" s="1" t="s">
        <v>21</v>
      </c>
      <c r="E377" s="1" t="s">
        <v>21</v>
      </c>
      <c r="F377" s="1" t="s">
        <v>21</v>
      </c>
      <c r="G377" s="1" t="s">
        <v>21</v>
      </c>
      <c r="H377" s="1">
        <v>0</v>
      </c>
      <c r="I377" s="1">
        <v>0</v>
      </c>
      <c r="J377" s="1">
        <v>0</v>
      </c>
      <c r="K377" s="1">
        <v>0</v>
      </c>
    </row>
    <row r="378" spans="1:11" s="1" customFormat="1">
      <c r="A378" s="4">
        <v>45541</v>
      </c>
      <c r="B378" s="1" t="s">
        <v>21</v>
      </c>
      <c r="C378" s="1" t="s">
        <v>21</v>
      </c>
      <c r="D378" s="1" t="s">
        <v>21</v>
      </c>
      <c r="E378" s="1" t="s">
        <v>21</v>
      </c>
      <c r="F378" s="1" t="s">
        <v>21</v>
      </c>
      <c r="G378" s="1" t="s">
        <v>21</v>
      </c>
      <c r="H378" s="1">
        <v>0</v>
      </c>
      <c r="I378" s="1">
        <v>0</v>
      </c>
      <c r="J378" s="1">
        <v>0</v>
      </c>
      <c r="K378" s="1">
        <v>0</v>
      </c>
    </row>
    <row r="379" spans="1:11" s="1" customFormat="1">
      <c r="A379" s="4">
        <v>45544</v>
      </c>
      <c r="B379" s="1" t="s">
        <v>21</v>
      </c>
      <c r="C379" s="1" t="s">
        <v>21</v>
      </c>
      <c r="D379" s="1" t="s">
        <v>21</v>
      </c>
      <c r="E379" s="1" t="s">
        <v>21</v>
      </c>
      <c r="F379" s="1" t="s">
        <v>21</v>
      </c>
      <c r="G379" s="1" t="s">
        <v>21</v>
      </c>
      <c r="H379" s="1">
        <v>0</v>
      </c>
      <c r="I379" s="1">
        <v>0</v>
      </c>
      <c r="J379" s="1">
        <v>0</v>
      </c>
      <c r="K379" s="1">
        <v>0</v>
      </c>
    </row>
    <row r="380" spans="1:11" s="1" customFormat="1">
      <c r="A380" s="4">
        <v>45545</v>
      </c>
      <c r="B380" s="1" t="s">
        <v>21</v>
      </c>
      <c r="C380" s="1" t="s">
        <v>21</v>
      </c>
      <c r="D380" s="1" t="s">
        <v>49</v>
      </c>
      <c r="E380" s="1" t="s">
        <v>49</v>
      </c>
      <c r="F380" s="1" t="s">
        <v>49</v>
      </c>
      <c r="G380" s="1" t="s">
        <v>21</v>
      </c>
      <c r="H380" s="1">
        <v>0</v>
      </c>
      <c r="I380" s="1">
        <v>0</v>
      </c>
      <c r="J380" s="1">
        <v>0</v>
      </c>
      <c r="K380" s="1">
        <v>0</v>
      </c>
    </row>
    <row r="381" spans="1:11" s="1" customFormat="1">
      <c r="A381" s="4">
        <v>45546</v>
      </c>
      <c r="B381" s="1" t="s">
        <v>21</v>
      </c>
      <c r="C381" s="1" t="s">
        <v>21</v>
      </c>
      <c r="D381" s="1" t="s">
        <v>21</v>
      </c>
      <c r="E381" s="1" t="s">
        <v>21</v>
      </c>
      <c r="F381" s="1" t="s">
        <v>21</v>
      </c>
      <c r="G381" s="1" t="s">
        <v>21</v>
      </c>
      <c r="H381" s="1">
        <v>0</v>
      </c>
      <c r="I381" s="1">
        <v>0</v>
      </c>
      <c r="J381" s="1">
        <v>0</v>
      </c>
      <c r="K381" s="1">
        <v>0</v>
      </c>
    </row>
    <row r="382" spans="1:11" s="1" customFormat="1">
      <c r="A382" s="4">
        <v>45547</v>
      </c>
      <c r="B382" s="1" t="s">
        <v>21</v>
      </c>
      <c r="C382" s="1" t="s">
        <v>21</v>
      </c>
      <c r="D382" s="1" t="s">
        <v>21</v>
      </c>
      <c r="E382" s="1" t="s">
        <v>21</v>
      </c>
      <c r="F382" s="1" t="s">
        <v>21</v>
      </c>
      <c r="G382" s="1" t="s">
        <v>21</v>
      </c>
      <c r="H382" s="1">
        <v>0</v>
      </c>
      <c r="I382" s="1">
        <v>0</v>
      </c>
      <c r="J382" s="1">
        <v>0</v>
      </c>
      <c r="K382" s="1">
        <v>0</v>
      </c>
    </row>
    <row r="383" spans="1:11" s="1" customFormat="1">
      <c r="A383" s="4">
        <v>45548</v>
      </c>
      <c r="B383" s="1" t="s">
        <v>21</v>
      </c>
      <c r="C383" s="1" t="s">
        <v>21</v>
      </c>
      <c r="D383" s="1" t="s">
        <v>21</v>
      </c>
      <c r="E383" s="1" t="s">
        <v>21</v>
      </c>
      <c r="F383" s="1" t="s">
        <v>21</v>
      </c>
      <c r="G383" s="1" t="s">
        <v>21</v>
      </c>
      <c r="H383" s="1">
        <v>0</v>
      </c>
      <c r="I383" s="1">
        <v>0</v>
      </c>
      <c r="J383" s="1">
        <v>0</v>
      </c>
      <c r="K383" s="1">
        <v>0</v>
      </c>
    </row>
    <row r="384" spans="1:11" s="1" customFormat="1">
      <c r="A384" s="4">
        <v>45551</v>
      </c>
      <c r="B384" s="1" t="s">
        <v>21</v>
      </c>
      <c r="C384" s="1" t="s">
        <v>21</v>
      </c>
      <c r="D384" s="1" t="s">
        <v>21</v>
      </c>
      <c r="E384" s="1" t="s">
        <v>21</v>
      </c>
      <c r="F384" s="1" t="s">
        <v>21</v>
      </c>
      <c r="G384" s="1" t="s">
        <v>21</v>
      </c>
      <c r="H384" s="1" t="s">
        <v>21</v>
      </c>
      <c r="I384" s="1" t="s">
        <v>21</v>
      </c>
      <c r="J384" s="1" t="s">
        <v>21</v>
      </c>
      <c r="K384" s="1" t="s">
        <v>21</v>
      </c>
    </row>
    <row r="385" spans="1:11" s="1" customFormat="1">
      <c r="A385" s="4">
        <v>45552</v>
      </c>
      <c r="B385" s="1" t="s">
        <v>21</v>
      </c>
      <c r="C385" s="1" t="s">
        <v>21</v>
      </c>
      <c r="D385" s="1" t="s">
        <v>21</v>
      </c>
      <c r="E385" s="1" t="s">
        <v>21</v>
      </c>
      <c r="F385" s="1" t="s">
        <v>21</v>
      </c>
      <c r="G385" s="1" t="s">
        <v>21</v>
      </c>
      <c r="H385" s="1" t="s">
        <v>21</v>
      </c>
      <c r="I385" s="1" t="s">
        <v>21</v>
      </c>
      <c r="J385" s="1" t="s">
        <v>21</v>
      </c>
      <c r="K385" s="1" t="s">
        <v>21</v>
      </c>
    </row>
    <row r="386" spans="1:11" s="1" customFormat="1">
      <c r="A386" s="4">
        <v>45553</v>
      </c>
      <c r="B386" s="1" t="s">
        <v>21</v>
      </c>
      <c r="C386" s="1">
        <v>0</v>
      </c>
      <c r="D386" s="1">
        <v>0</v>
      </c>
      <c r="E386" s="1">
        <v>0</v>
      </c>
      <c r="F386" s="1">
        <v>0</v>
      </c>
      <c r="G386" s="1" t="s">
        <v>21</v>
      </c>
      <c r="H386" s="1" t="s">
        <v>21</v>
      </c>
      <c r="I386" s="1" t="s">
        <v>21</v>
      </c>
      <c r="J386" s="1" t="s">
        <v>21</v>
      </c>
      <c r="K386" s="1" t="s">
        <v>21</v>
      </c>
    </row>
    <row r="387" spans="1:11" s="1" customFormat="1">
      <c r="A387" s="4">
        <v>45554</v>
      </c>
      <c r="B387" s="1" t="s">
        <v>21</v>
      </c>
      <c r="C387" s="1">
        <v>0</v>
      </c>
      <c r="D387" s="1">
        <v>0</v>
      </c>
      <c r="E387" s="1">
        <v>0</v>
      </c>
      <c r="F387" s="1">
        <v>0</v>
      </c>
      <c r="G387" s="1" t="s">
        <v>21</v>
      </c>
      <c r="H387" s="1" t="s">
        <v>76</v>
      </c>
      <c r="I387" s="1" t="s">
        <v>76</v>
      </c>
      <c r="J387" s="1" t="s">
        <v>76</v>
      </c>
      <c r="K387" s="1" t="s">
        <v>76</v>
      </c>
    </row>
    <row r="388" spans="1:11" s="1" customFormat="1">
      <c r="A388" s="4">
        <v>45555</v>
      </c>
      <c r="B388" s="1" t="s">
        <v>21</v>
      </c>
      <c r="C388" s="1">
        <v>0</v>
      </c>
      <c r="D388" s="1">
        <v>0</v>
      </c>
      <c r="E388" s="1">
        <v>0</v>
      </c>
      <c r="F388" s="1">
        <v>0</v>
      </c>
      <c r="G388" s="1" t="s">
        <v>21</v>
      </c>
      <c r="H388" s="1" t="s">
        <v>21</v>
      </c>
      <c r="I388" s="1" t="s">
        <v>21</v>
      </c>
      <c r="J388" s="1" t="s">
        <v>21</v>
      </c>
      <c r="K388" s="1" t="s">
        <v>21</v>
      </c>
    </row>
    <row r="389" spans="1:11" s="1" customFormat="1">
      <c r="A389" s="4">
        <v>45558</v>
      </c>
      <c r="B389" s="1" t="s">
        <v>21</v>
      </c>
      <c r="C389" s="1">
        <v>0</v>
      </c>
      <c r="D389" s="1">
        <v>0</v>
      </c>
      <c r="E389" s="1">
        <v>0</v>
      </c>
      <c r="F389" s="1">
        <v>0</v>
      </c>
      <c r="G389" s="1" t="s">
        <v>21</v>
      </c>
      <c r="H389" s="1" t="s">
        <v>21</v>
      </c>
      <c r="I389" s="1" t="s">
        <v>21</v>
      </c>
      <c r="J389" s="1" t="s">
        <v>21</v>
      </c>
      <c r="K389" s="1" t="s">
        <v>166</v>
      </c>
    </row>
    <row r="390" spans="1:11" s="1" customFormat="1">
      <c r="A390" s="4">
        <v>45559</v>
      </c>
      <c r="B390" s="1" t="s">
        <v>21</v>
      </c>
      <c r="C390" s="1">
        <v>0</v>
      </c>
      <c r="D390" s="1">
        <v>0</v>
      </c>
      <c r="E390" s="1">
        <v>0</v>
      </c>
      <c r="F390" s="1">
        <v>0</v>
      </c>
      <c r="G390" s="1" t="s">
        <v>21</v>
      </c>
      <c r="H390" s="1">
        <v>0</v>
      </c>
      <c r="I390" s="1">
        <v>0</v>
      </c>
      <c r="J390" s="1">
        <v>0</v>
      </c>
      <c r="K390" s="1">
        <v>0</v>
      </c>
    </row>
    <row r="391" spans="1:11" s="1" customFormat="1">
      <c r="A391" s="4">
        <v>45560</v>
      </c>
      <c r="B391" s="1" t="s">
        <v>21</v>
      </c>
      <c r="C391" s="1">
        <v>0</v>
      </c>
      <c r="D391" s="1">
        <v>0</v>
      </c>
      <c r="E391" s="1">
        <v>0</v>
      </c>
      <c r="F391" s="1">
        <v>0</v>
      </c>
      <c r="G391" s="1" t="s">
        <v>21</v>
      </c>
      <c r="H391" s="1">
        <v>0</v>
      </c>
      <c r="I391" s="1">
        <v>0</v>
      </c>
      <c r="J391" s="1">
        <v>0</v>
      </c>
      <c r="K391" s="1">
        <v>0</v>
      </c>
    </row>
    <row r="392" spans="1:11" s="1" customFormat="1">
      <c r="A392" s="4">
        <v>45561</v>
      </c>
      <c r="B392" s="1" t="s">
        <v>21</v>
      </c>
      <c r="C392" s="1">
        <v>0</v>
      </c>
      <c r="D392" s="1">
        <v>0</v>
      </c>
      <c r="E392" s="1">
        <v>0</v>
      </c>
      <c r="F392" s="1">
        <v>0</v>
      </c>
      <c r="G392" s="1" t="s">
        <v>21</v>
      </c>
      <c r="H392" s="1">
        <v>0</v>
      </c>
      <c r="I392" s="1">
        <v>0</v>
      </c>
      <c r="J392" s="1">
        <v>0</v>
      </c>
      <c r="K392" s="1">
        <v>0</v>
      </c>
    </row>
    <row r="393" spans="1:11" s="1" customFormat="1">
      <c r="A393" s="4">
        <v>45562</v>
      </c>
      <c r="B393" s="1" t="s">
        <v>21</v>
      </c>
      <c r="C393" s="1">
        <v>0</v>
      </c>
      <c r="D393" s="1">
        <v>0</v>
      </c>
      <c r="E393" s="1">
        <v>0</v>
      </c>
      <c r="F393" s="1">
        <v>0</v>
      </c>
      <c r="G393" s="1" t="s">
        <v>21</v>
      </c>
      <c r="H393" s="1">
        <v>0</v>
      </c>
      <c r="I393" s="1">
        <v>0</v>
      </c>
      <c r="J393" s="1">
        <v>0</v>
      </c>
      <c r="K393" s="1">
        <v>0</v>
      </c>
    </row>
    <row r="394" spans="1:11" s="1" customFormat="1">
      <c r="A394" s="4">
        <v>45565</v>
      </c>
      <c r="B394" s="1" t="s">
        <v>21</v>
      </c>
      <c r="C394" s="1">
        <v>0</v>
      </c>
      <c r="D394" s="1">
        <v>0</v>
      </c>
      <c r="E394" s="1">
        <v>0</v>
      </c>
      <c r="F394" s="1">
        <v>0</v>
      </c>
      <c r="G394" s="1" t="s">
        <v>21</v>
      </c>
      <c r="H394" s="1">
        <v>0</v>
      </c>
      <c r="I394" s="1">
        <v>0</v>
      </c>
      <c r="J394" s="1">
        <v>0</v>
      </c>
      <c r="K394" s="1">
        <v>0</v>
      </c>
    </row>
    <row r="395" spans="1:11" s="1" customFormat="1">
      <c r="A395" s="4">
        <v>45566</v>
      </c>
      <c r="B395" s="1" t="s">
        <v>21</v>
      </c>
      <c r="C395" s="1">
        <v>0</v>
      </c>
      <c r="D395" s="1">
        <v>0</v>
      </c>
      <c r="E395" s="1">
        <v>0</v>
      </c>
      <c r="F395" s="1">
        <v>0</v>
      </c>
      <c r="G395" s="1" t="s">
        <v>21</v>
      </c>
      <c r="H395" s="1">
        <v>0</v>
      </c>
      <c r="I395" s="1">
        <v>0</v>
      </c>
      <c r="J395" s="1">
        <v>0</v>
      </c>
      <c r="K395" s="1">
        <v>0</v>
      </c>
    </row>
    <row r="396" spans="1:11" s="1" customFormat="1">
      <c r="A396" s="4">
        <v>45568</v>
      </c>
      <c r="B396" s="1" t="s">
        <v>21</v>
      </c>
      <c r="C396" s="1">
        <v>0</v>
      </c>
      <c r="D396" s="1">
        <v>0</v>
      </c>
      <c r="E396" s="1">
        <v>0</v>
      </c>
      <c r="F396" s="1">
        <v>0</v>
      </c>
      <c r="G396" s="1" t="s">
        <v>21</v>
      </c>
      <c r="H396" s="1">
        <v>0</v>
      </c>
      <c r="I396" s="1">
        <v>0</v>
      </c>
      <c r="J396" s="1">
        <v>0</v>
      </c>
      <c r="K396" s="1">
        <v>0</v>
      </c>
    </row>
    <row r="397" spans="1:11" s="1" customFormat="1">
      <c r="A397" s="4">
        <v>45569</v>
      </c>
      <c r="B397" s="1" t="s">
        <v>21</v>
      </c>
      <c r="C397" s="1" t="s">
        <v>30</v>
      </c>
      <c r="D397" s="1" t="s">
        <v>30</v>
      </c>
      <c r="E397" s="1" t="s">
        <v>30</v>
      </c>
      <c r="F397" s="1" t="s">
        <v>30</v>
      </c>
      <c r="G397" s="1" t="s">
        <v>21</v>
      </c>
      <c r="H397" s="1">
        <v>0</v>
      </c>
      <c r="I397" s="1">
        <v>0</v>
      </c>
      <c r="J397" s="1">
        <v>0</v>
      </c>
      <c r="K397" s="1">
        <v>0</v>
      </c>
    </row>
    <row r="398" spans="1:11" s="1" customFormat="1">
      <c r="A398" s="4">
        <v>45572</v>
      </c>
      <c r="B398" s="1" t="s">
        <v>21</v>
      </c>
      <c r="C398" s="1" t="s">
        <v>21</v>
      </c>
      <c r="D398" s="1" t="s">
        <v>21</v>
      </c>
      <c r="E398" s="1" t="s">
        <v>21</v>
      </c>
      <c r="F398" s="1" t="s">
        <v>21</v>
      </c>
      <c r="G398" s="1" t="s">
        <v>21</v>
      </c>
      <c r="H398" s="1">
        <v>0</v>
      </c>
      <c r="I398" s="1">
        <v>0</v>
      </c>
      <c r="J398" s="1">
        <v>0</v>
      </c>
      <c r="K398" s="1">
        <v>0</v>
      </c>
    </row>
    <row r="399" spans="1:11" s="1" customFormat="1">
      <c r="A399" s="4">
        <v>45573</v>
      </c>
      <c r="B399" s="1" t="s">
        <v>22</v>
      </c>
      <c r="C399" s="1" t="s">
        <v>21</v>
      </c>
      <c r="D399" s="1" t="s">
        <v>50</v>
      </c>
      <c r="E399" s="1" t="s">
        <v>50</v>
      </c>
      <c r="F399" s="1" t="s">
        <v>50</v>
      </c>
      <c r="G399" s="1" t="s">
        <v>21</v>
      </c>
      <c r="H399" s="1">
        <v>0</v>
      </c>
      <c r="I399" s="1">
        <v>0</v>
      </c>
      <c r="J399" s="1">
        <v>0</v>
      </c>
      <c r="K399" s="1">
        <v>0</v>
      </c>
    </row>
    <row r="400" spans="1:11" s="1" customFormat="1">
      <c r="A400" s="4">
        <v>45574</v>
      </c>
      <c r="B400" s="1" t="s">
        <v>21</v>
      </c>
      <c r="C400" s="1" t="s">
        <v>21</v>
      </c>
      <c r="D400" s="1" t="s">
        <v>21</v>
      </c>
      <c r="E400" s="1" t="s">
        <v>21</v>
      </c>
      <c r="F400" s="1" t="s">
        <v>21</v>
      </c>
      <c r="G400" s="1" t="s">
        <v>21</v>
      </c>
      <c r="H400" s="1">
        <v>0</v>
      </c>
      <c r="I400" s="1">
        <v>0</v>
      </c>
      <c r="J400" s="1">
        <v>0</v>
      </c>
      <c r="K400" s="1">
        <v>0</v>
      </c>
    </row>
    <row r="401" spans="1:11" s="1" customFormat="1">
      <c r="A401" s="4">
        <v>45575</v>
      </c>
      <c r="B401" s="1" t="s">
        <v>21</v>
      </c>
      <c r="C401" s="1" t="s">
        <v>21</v>
      </c>
      <c r="D401" s="1" t="s">
        <v>21</v>
      </c>
      <c r="E401" s="1" t="s">
        <v>21</v>
      </c>
      <c r="F401" s="1" t="s">
        <v>21</v>
      </c>
      <c r="G401" s="1" t="s">
        <v>21</v>
      </c>
      <c r="H401" s="1">
        <v>0</v>
      </c>
      <c r="I401" s="1">
        <v>0</v>
      </c>
      <c r="J401" s="1">
        <v>0</v>
      </c>
      <c r="K401" s="1">
        <v>0</v>
      </c>
    </row>
    <row r="402" spans="1:11" s="1" customFormat="1">
      <c r="A402" s="4">
        <v>45576</v>
      </c>
      <c r="B402" s="1" t="s">
        <v>21</v>
      </c>
      <c r="C402" s="1" t="s">
        <v>21</v>
      </c>
      <c r="D402" s="1" t="s">
        <v>21</v>
      </c>
      <c r="E402" s="1" t="s">
        <v>21</v>
      </c>
      <c r="F402" s="1" t="s">
        <v>21</v>
      </c>
      <c r="G402" s="1" t="s">
        <v>21</v>
      </c>
      <c r="H402" s="1">
        <v>0</v>
      </c>
      <c r="I402" s="1">
        <v>0</v>
      </c>
      <c r="J402" s="1">
        <v>0</v>
      </c>
      <c r="K402" s="1">
        <v>0</v>
      </c>
    </row>
    <row r="403" spans="1:11" s="1" customFormat="1">
      <c r="A403" s="4">
        <v>45579</v>
      </c>
      <c r="B403" s="1" t="s">
        <v>21</v>
      </c>
      <c r="C403" s="1" t="s">
        <v>31</v>
      </c>
      <c r="D403" s="1" t="s">
        <v>31</v>
      </c>
      <c r="E403" s="1" t="s">
        <v>31</v>
      </c>
      <c r="F403" s="1" t="s">
        <v>31</v>
      </c>
      <c r="G403" s="1" t="s">
        <v>21</v>
      </c>
      <c r="H403" s="1">
        <v>0</v>
      </c>
      <c r="I403" s="1">
        <v>0</v>
      </c>
      <c r="J403" s="1">
        <v>0</v>
      </c>
      <c r="K403" s="1">
        <v>0</v>
      </c>
    </row>
    <row r="404" spans="1:11" s="1" customFormat="1">
      <c r="A404" s="4">
        <v>45580</v>
      </c>
      <c r="B404" s="1" t="s">
        <v>21</v>
      </c>
      <c r="C404" s="1" t="s">
        <v>21</v>
      </c>
      <c r="D404" s="1" t="s">
        <v>21</v>
      </c>
      <c r="E404" s="1" t="s">
        <v>21</v>
      </c>
      <c r="F404" s="1" t="s">
        <v>21</v>
      </c>
      <c r="G404" s="1" t="s">
        <v>21</v>
      </c>
      <c r="H404" s="1">
        <v>0</v>
      </c>
      <c r="I404" s="1">
        <v>0</v>
      </c>
      <c r="J404" s="1">
        <v>0</v>
      </c>
      <c r="K404" s="1">
        <v>0</v>
      </c>
    </row>
    <row r="405" spans="1:11" s="1" customFormat="1">
      <c r="A405" s="4">
        <v>45581</v>
      </c>
      <c r="B405" s="1" t="s">
        <v>21</v>
      </c>
      <c r="C405" s="1" t="s">
        <v>32</v>
      </c>
      <c r="D405" s="1" t="s">
        <v>32</v>
      </c>
      <c r="E405" s="1" t="s">
        <v>32</v>
      </c>
      <c r="F405" s="1" t="s">
        <v>32</v>
      </c>
      <c r="G405" s="1" t="s">
        <v>21</v>
      </c>
      <c r="H405" s="1">
        <v>0</v>
      </c>
      <c r="I405" s="1">
        <v>0</v>
      </c>
      <c r="J405" s="1">
        <v>0</v>
      </c>
      <c r="K405" s="1">
        <v>0</v>
      </c>
    </row>
    <row r="406" spans="1:11" s="1" customFormat="1">
      <c r="A406" s="4">
        <v>45582</v>
      </c>
      <c r="B406" s="1" t="s">
        <v>21</v>
      </c>
      <c r="C406" s="1" t="s">
        <v>21</v>
      </c>
      <c r="D406" s="1" t="s">
        <v>51</v>
      </c>
      <c r="E406" s="1" t="s">
        <v>51</v>
      </c>
      <c r="F406" s="1" t="s">
        <v>51</v>
      </c>
      <c r="G406" s="1" t="s">
        <v>21</v>
      </c>
      <c r="H406" s="1" t="s">
        <v>21</v>
      </c>
      <c r="I406" s="1" t="s">
        <v>21</v>
      </c>
      <c r="J406" s="1" t="s">
        <v>21</v>
      </c>
      <c r="K406" s="1" t="s">
        <v>21</v>
      </c>
    </row>
    <row r="407" spans="1:11" s="1" customFormat="1">
      <c r="A407" s="4">
        <v>45583</v>
      </c>
      <c r="B407" s="1" t="s">
        <v>21</v>
      </c>
      <c r="C407" s="1">
        <v>0</v>
      </c>
      <c r="D407" s="1">
        <v>0</v>
      </c>
      <c r="E407" s="1">
        <v>0</v>
      </c>
      <c r="F407" s="1">
        <v>0</v>
      </c>
      <c r="G407" s="1" t="s">
        <v>21</v>
      </c>
      <c r="H407" s="1" t="s">
        <v>21</v>
      </c>
      <c r="I407" s="1" t="s">
        <v>21</v>
      </c>
      <c r="J407" s="1" t="s">
        <v>21</v>
      </c>
      <c r="K407" s="1" t="s">
        <v>21</v>
      </c>
    </row>
    <row r="408" spans="1:11" s="1" customFormat="1">
      <c r="A408" s="4">
        <v>45586</v>
      </c>
      <c r="B408" s="1" t="s">
        <v>21</v>
      </c>
      <c r="C408" s="1">
        <v>0</v>
      </c>
      <c r="D408" s="1">
        <v>0</v>
      </c>
      <c r="E408" s="1">
        <v>0</v>
      </c>
      <c r="F408" s="1">
        <v>0</v>
      </c>
      <c r="G408" s="1" t="s">
        <v>21</v>
      </c>
      <c r="H408" s="1" t="s">
        <v>21</v>
      </c>
      <c r="I408" s="1" t="s">
        <v>21</v>
      </c>
      <c r="J408" s="1" t="s">
        <v>21</v>
      </c>
      <c r="K408" s="1" t="s">
        <v>21</v>
      </c>
    </row>
    <row r="409" spans="1:11" s="1" customFormat="1">
      <c r="A409" s="4">
        <v>45587</v>
      </c>
      <c r="B409" s="1" t="s">
        <v>21</v>
      </c>
      <c r="C409" s="1">
        <v>0</v>
      </c>
      <c r="D409" s="1">
        <v>0</v>
      </c>
      <c r="E409" s="1">
        <v>0</v>
      </c>
      <c r="F409" s="1">
        <v>0</v>
      </c>
      <c r="G409" s="1" t="s">
        <v>21</v>
      </c>
      <c r="H409" s="1" t="s">
        <v>107</v>
      </c>
      <c r="I409" s="1" t="s">
        <v>107</v>
      </c>
      <c r="J409" s="1" t="s">
        <v>107</v>
      </c>
      <c r="K409" s="1" t="s">
        <v>107</v>
      </c>
    </row>
    <row r="410" spans="1:11" s="1" customFormat="1">
      <c r="A410" s="4">
        <v>45588</v>
      </c>
      <c r="B410" s="1" t="s">
        <v>21</v>
      </c>
      <c r="C410" s="1">
        <v>0</v>
      </c>
      <c r="D410" s="1">
        <v>0</v>
      </c>
      <c r="E410" s="1">
        <v>0</v>
      </c>
      <c r="F410" s="1">
        <v>0</v>
      </c>
      <c r="G410" s="1" t="s">
        <v>21</v>
      </c>
      <c r="H410" s="1" t="s">
        <v>21</v>
      </c>
      <c r="I410" s="1" t="s">
        <v>134</v>
      </c>
      <c r="J410" s="1" t="s">
        <v>134</v>
      </c>
      <c r="K410" s="1" t="s">
        <v>134</v>
      </c>
    </row>
    <row r="411" spans="1:11" s="1" customFormat="1">
      <c r="A411" s="4">
        <v>45589</v>
      </c>
      <c r="B411" s="1" t="s">
        <v>21</v>
      </c>
      <c r="C411" s="1">
        <v>0</v>
      </c>
      <c r="D411" s="1">
        <v>0</v>
      </c>
      <c r="E411" s="1">
        <v>0</v>
      </c>
      <c r="F411" s="1">
        <v>0</v>
      </c>
      <c r="G411" s="1" t="s">
        <v>21</v>
      </c>
      <c r="H411" s="1" t="s">
        <v>21</v>
      </c>
      <c r="I411" s="1" t="s">
        <v>21</v>
      </c>
      <c r="J411" s="1" t="s">
        <v>101</v>
      </c>
      <c r="K411" s="1" t="s">
        <v>101</v>
      </c>
    </row>
    <row r="412" spans="1:11" s="1" customFormat="1">
      <c r="A412" s="4">
        <v>45590</v>
      </c>
      <c r="B412" s="1" t="s">
        <v>21</v>
      </c>
      <c r="C412" s="1">
        <v>0</v>
      </c>
      <c r="D412" s="1">
        <v>0</v>
      </c>
      <c r="E412" s="1">
        <v>0</v>
      </c>
      <c r="F412" s="1">
        <v>0</v>
      </c>
      <c r="G412" s="1" t="s">
        <v>21</v>
      </c>
      <c r="H412" s="1">
        <v>0</v>
      </c>
      <c r="I412" s="1">
        <v>0</v>
      </c>
      <c r="J412" s="1">
        <v>0</v>
      </c>
      <c r="K412" s="1">
        <v>0</v>
      </c>
    </row>
    <row r="413" spans="1:11" s="1" customFormat="1">
      <c r="A413" s="4">
        <v>45593</v>
      </c>
      <c r="B413" s="1" t="s">
        <v>21</v>
      </c>
      <c r="C413" s="1">
        <v>0</v>
      </c>
      <c r="D413" s="1">
        <v>0</v>
      </c>
      <c r="E413" s="1">
        <v>0</v>
      </c>
      <c r="F413" s="1">
        <v>0</v>
      </c>
      <c r="G413" s="1" t="s">
        <v>21</v>
      </c>
      <c r="H413" s="1">
        <v>0</v>
      </c>
      <c r="I413" s="1">
        <v>0</v>
      </c>
      <c r="J413" s="1">
        <v>0</v>
      </c>
      <c r="K413" s="1">
        <v>0</v>
      </c>
    </row>
    <row r="414" spans="1:11" s="1" customFormat="1">
      <c r="A414" s="4">
        <v>45594</v>
      </c>
      <c r="B414" s="1" t="s">
        <v>21</v>
      </c>
      <c r="C414" s="1">
        <v>0</v>
      </c>
      <c r="D414" s="1">
        <v>0</v>
      </c>
      <c r="E414" s="1">
        <v>0</v>
      </c>
      <c r="F414" s="1">
        <v>0</v>
      </c>
      <c r="G414" s="1" t="s">
        <v>21</v>
      </c>
      <c r="H414" s="1">
        <v>0</v>
      </c>
      <c r="I414" s="1">
        <v>0</v>
      </c>
      <c r="J414" s="1">
        <v>0</v>
      </c>
      <c r="K414" s="1">
        <v>0</v>
      </c>
    </row>
    <row r="415" spans="1:11" s="1" customFormat="1">
      <c r="A415" s="4">
        <v>45595</v>
      </c>
      <c r="B415" s="1" t="s">
        <v>21</v>
      </c>
      <c r="C415" s="1">
        <v>0</v>
      </c>
      <c r="D415" s="1">
        <v>0</v>
      </c>
      <c r="E415" s="1">
        <v>0</v>
      </c>
      <c r="F415" s="1">
        <v>0</v>
      </c>
      <c r="G415" s="1" t="s">
        <v>21</v>
      </c>
      <c r="H415" s="1">
        <v>0</v>
      </c>
      <c r="I415" s="1">
        <v>0</v>
      </c>
      <c r="J415" s="1">
        <v>0</v>
      </c>
      <c r="K415" s="1">
        <v>0</v>
      </c>
    </row>
    <row r="416" spans="1:11" s="1" customFormat="1">
      <c r="A416" s="4">
        <v>45596</v>
      </c>
      <c r="B416" s="1" t="s">
        <v>21</v>
      </c>
      <c r="C416" s="1">
        <v>0</v>
      </c>
      <c r="D416" s="1">
        <v>0</v>
      </c>
      <c r="E416" s="1">
        <v>0</v>
      </c>
      <c r="F416" s="1">
        <v>0</v>
      </c>
      <c r="G416" s="1" t="s">
        <v>21</v>
      </c>
      <c r="H416" s="1">
        <v>0</v>
      </c>
      <c r="I416" s="1">
        <v>0</v>
      </c>
      <c r="J416" s="1">
        <v>0</v>
      </c>
      <c r="K416" s="1">
        <v>0</v>
      </c>
    </row>
    <row r="417" spans="1:11" s="1" customFormat="1">
      <c r="A417" s="4">
        <v>45597</v>
      </c>
      <c r="B417" s="1" t="s">
        <v>21</v>
      </c>
      <c r="C417" s="1">
        <v>0</v>
      </c>
      <c r="D417" s="1">
        <v>0</v>
      </c>
      <c r="E417" s="1">
        <v>0</v>
      </c>
      <c r="F417" s="1">
        <v>0</v>
      </c>
      <c r="G417" s="1" t="s">
        <v>21</v>
      </c>
      <c r="H417" s="1">
        <v>0</v>
      </c>
      <c r="I417" s="1">
        <v>0</v>
      </c>
      <c r="J417" s="1">
        <v>0</v>
      </c>
      <c r="K417" s="1">
        <v>0</v>
      </c>
    </row>
    <row r="418" spans="1:11" s="1" customFormat="1">
      <c r="A418" s="4">
        <v>45600</v>
      </c>
      <c r="B418" s="1" t="s">
        <v>21</v>
      </c>
      <c r="C418" s="1" t="s">
        <v>21</v>
      </c>
      <c r="D418" s="1" t="s">
        <v>21</v>
      </c>
      <c r="E418" s="1" t="s">
        <v>21</v>
      </c>
      <c r="F418" s="1" t="s">
        <v>21</v>
      </c>
      <c r="G418" s="1" t="s">
        <v>21</v>
      </c>
      <c r="H418" s="1">
        <v>0</v>
      </c>
      <c r="I418" s="1">
        <v>0</v>
      </c>
      <c r="J418" s="1">
        <v>0</v>
      </c>
      <c r="K418" s="1">
        <v>0</v>
      </c>
    </row>
    <row r="419" spans="1:11" s="1" customFormat="1">
      <c r="A419" s="4">
        <v>45601</v>
      </c>
      <c r="B419" s="1" t="s">
        <v>21</v>
      </c>
      <c r="C419" s="1" t="s">
        <v>21</v>
      </c>
      <c r="D419" s="1" t="s">
        <v>21</v>
      </c>
      <c r="E419" s="1" t="s">
        <v>21</v>
      </c>
      <c r="F419" s="1" t="s">
        <v>21</v>
      </c>
      <c r="G419" s="1" t="s">
        <v>21</v>
      </c>
      <c r="H419" s="1">
        <v>0</v>
      </c>
      <c r="I419" s="1">
        <v>0</v>
      </c>
      <c r="J419" s="1">
        <v>0</v>
      </c>
      <c r="K419" s="1">
        <v>0</v>
      </c>
    </row>
    <row r="420" spans="1:11" s="1" customFormat="1">
      <c r="A420" s="4">
        <v>45602</v>
      </c>
      <c r="B420" s="1" t="s">
        <v>21</v>
      </c>
      <c r="C420" s="1" t="s">
        <v>21</v>
      </c>
      <c r="D420" s="1" t="s">
        <v>21</v>
      </c>
      <c r="E420" s="1" t="s">
        <v>21</v>
      </c>
      <c r="F420" s="1" t="s">
        <v>21</v>
      </c>
      <c r="G420" s="1" t="s">
        <v>21</v>
      </c>
      <c r="H420" s="1">
        <v>0</v>
      </c>
      <c r="I420" s="1">
        <v>0</v>
      </c>
      <c r="J420" s="1">
        <v>0</v>
      </c>
      <c r="K420" s="1">
        <v>0</v>
      </c>
    </row>
    <row r="421" spans="1:11" s="1" customFormat="1">
      <c r="A421" s="4">
        <v>45603</v>
      </c>
      <c r="B421" s="1" t="s">
        <v>21</v>
      </c>
      <c r="C421" s="1" t="s">
        <v>21</v>
      </c>
      <c r="D421" s="1" t="s">
        <v>21</v>
      </c>
      <c r="E421" s="1" t="s">
        <v>21</v>
      </c>
      <c r="F421" s="1" t="s">
        <v>21</v>
      </c>
      <c r="G421" s="1" t="s">
        <v>21</v>
      </c>
      <c r="H421" s="1">
        <v>0</v>
      </c>
      <c r="I421" s="1">
        <v>0</v>
      </c>
      <c r="J421" s="1">
        <v>0</v>
      </c>
      <c r="K421" s="1">
        <v>0</v>
      </c>
    </row>
    <row r="422" spans="1:11" s="1" customFormat="1">
      <c r="A422" s="4">
        <v>45604</v>
      </c>
      <c r="B422" s="1" t="s">
        <v>21</v>
      </c>
      <c r="C422" s="1" t="s">
        <v>21</v>
      </c>
      <c r="D422" s="1" t="s">
        <v>21</v>
      </c>
      <c r="E422" s="1" t="s">
        <v>21</v>
      </c>
      <c r="F422" s="1" t="s">
        <v>21</v>
      </c>
      <c r="G422" s="1" t="s">
        <v>21</v>
      </c>
      <c r="H422" s="1">
        <v>0</v>
      </c>
      <c r="I422" s="1">
        <v>0</v>
      </c>
      <c r="J422" s="1">
        <v>0</v>
      </c>
      <c r="K422" s="1">
        <v>0</v>
      </c>
    </row>
    <row r="423" spans="1:11" s="1" customFormat="1">
      <c r="A423" s="4">
        <v>45607</v>
      </c>
      <c r="B423" s="1" t="s">
        <v>21</v>
      </c>
      <c r="C423" s="1" t="s">
        <v>21</v>
      </c>
      <c r="D423" s="1" t="s">
        <v>21</v>
      </c>
      <c r="E423" s="1" t="s">
        <v>21</v>
      </c>
      <c r="F423" s="1" t="s">
        <v>21</v>
      </c>
      <c r="G423" s="1" t="s">
        <v>21</v>
      </c>
      <c r="H423" s="1">
        <v>0</v>
      </c>
      <c r="I423" s="1">
        <v>0</v>
      </c>
      <c r="J423" s="1">
        <v>0</v>
      </c>
      <c r="K423" s="1">
        <v>0</v>
      </c>
    </row>
    <row r="424" spans="1:11" s="1" customFormat="1">
      <c r="A424" s="4">
        <v>45608</v>
      </c>
      <c r="B424" s="1" t="s">
        <v>21</v>
      </c>
      <c r="C424" s="1" t="s">
        <v>21</v>
      </c>
      <c r="D424" s="1" t="s">
        <v>21</v>
      </c>
      <c r="E424" s="1" t="s">
        <v>21</v>
      </c>
      <c r="F424" s="1" t="s">
        <v>21</v>
      </c>
      <c r="G424" s="1" t="s">
        <v>21</v>
      </c>
      <c r="H424" s="1">
        <v>0</v>
      </c>
      <c r="I424" s="1">
        <v>0</v>
      </c>
      <c r="J424" s="1">
        <v>0</v>
      </c>
      <c r="K424" s="1">
        <v>0</v>
      </c>
    </row>
    <row r="425" spans="1:11" s="1" customFormat="1">
      <c r="A425" s="4">
        <v>45609</v>
      </c>
      <c r="B425" s="1" t="s">
        <v>21</v>
      </c>
      <c r="C425" s="1" t="s">
        <v>21</v>
      </c>
      <c r="D425" s="1" t="s">
        <v>21</v>
      </c>
      <c r="E425" s="1" t="s">
        <v>21</v>
      </c>
      <c r="F425" s="1" t="s">
        <v>21</v>
      </c>
      <c r="G425" s="1" t="s">
        <v>21</v>
      </c>
      <c r="H425" s="1">
        <v>0</v>
      </c>
      <c r="I425" s="1">
        <v>0</v>
      </c>
      <c r="J425" s="1">
        <v>0</v>
      </c>
      <c r="K425" s="1">
        <v>0</v>
      </c>
    </row>
    <row r="426" spans="1:11" s="1" customFormat="1">
      <c r="A426" s="4">
        <v>45610</v>
      </c>
      <c r="B426" s="1" t="s">
        <v>21</v>
      </c>
      <c r="C426" s="1" t="s">
        <v>21</v>
      </c>
      <c r="D426" s="1" t="s">
        <v>21</v>
      </c>
      <c r="E426" s="1" t="s">
        <v>21</v>
      </c>
      <c r="F426" s="1" t="s">
        <v>21</v>
      </c>
      <c r="G426" s="1" t="s">
        <v>21</v>
      </c>
      <c r="H426" s="1" t="s">
        <v>108</v>
      </c>
      <c r="I426" s="1" t="s">
        <v>108</v>
      </c>
      <c r="J426" s="1" t="s">
        <v>108</v>
      </c>
      <c r="K426" s="1" t="s">
        <v>108</v>
      </c>
    </row>
    <row r="427" spans="1:11" s="1" customFormat="1">
      <c r="A427" s="4">
        <v>45611</v>
      </c>
      <c r="B427" s="1" t="s">
        <v>21</v>
      </c>
      <c r="C427" s="1" t="s">
        <v>21</v>
      </c>
      <c r="D427" s="1" t="s">
        <v>21</v>
      </c>
      <c r="E427" s="1" t="s">
        <v>21</v>
      </c>
      <c r="F427" s="1" t="s">
        <v>21</v>
      </c>
      <c r="G427" s="1" t="s">
        <v>21</v>
      </c>
      <c r="H427" s="1" t="s">
        <v>71</v>
      </c>
      <c r="I427" s="1" t="s">
        <v>110</v>
      </c>
      <c r="J427" s="1" t="s">
        <v>110</v>
      </c>
      <c r="K427" s="1" t="s">
        <v>110</v>
      </c>
    </row>
    <row r="428" spans="1:11" s="1" customFormat="1">
      <c r="A428" s="4">
        <v>45614</v>
      </c>
      <c r="B428" s="1" t="s">
        <v>21</v>
      </c>
      <c r="C428" s="1">
        <v>0</v>
      </c>
      <c r="D428" s="1">
        <v>0</v>
      </c>
      <c r="E428" s="1">
        <v>0</v>
      </c>
      <c r="F428" s="1">
        <v>0</v>
      </c>
      <c r="G428" s="1" t="s">
        <v>21</v>
      </c>
      <c r="H428" s="1" t="s">
        <v>21</v>
      </c>
      <c r="I428" s="1" t="s">
        <v>21</v>
      </c>
      <c r="J428" s="1" t="s">
        <v>21</v>
      </c>
      <c r="K428" s="1" t="s">
        <v>21</v>
      </c>
    </row>
    <row r="429" spans="1:11" s="1" customFormat="1">
      <c r="A429" s="4">
        <v>45615</v>
      </c>
      <c r="B429" s="1" t="s">
        <v>21</v>
      </c>
      <c r="C429" s="1">
        <v>0</v>
      </c>
      <c r="D429" s="1">
        <v>0</v>
      </c>
      <c r="E429" s="1">
        <v>0</v>
      </c>
      <c r="F429" s="1">
        <v>0</v>
      </c>
      <c r="G429" s="1" t="s">
        <v>21</v>
      </c>
      <c r="H429" s="1" t="s">
        <v>109</v>
      </c>
      <c r="I429" s="1" t="s">
        <v>109</v>
      </c>
      <c r="J429" s="1" t="s">
        <v>109</v>
      </c>
      <c r="K429" s="1" t="s">
        <v>109</v>
      </c>
    </row>
    <row r="430" spans="1:11" s="1" customFormat="1">
      <c r="A430" s="4">
        <v>45616</v>
      </c>
      <c r="B430" s="1" t="s">
        <v>21</v>
      </c>
      <c r="C430" s="1">
        <v>0</v>
      </c>
      <c r="D430" s="1">
        <v>0</v>
      </c>
      <c r="E430" s="1">
        <v>0</v>
      </c>
      <c r="F430" s="1">
        <v>0</v>
      </c>
      <c r="G430" s="1" t="s">
        <v>21</v>
      </c>
      <c r="H430" s="1" t="s">
        <v>102</v>
      </c>
      <c r="I430" s="1" t="s">
        <v>102</v>
      </c>
      <c r="J430" s="1" t="s">
        <v>102</v>
      </c>
      <c r="K430" s="1" t="s">
        <v>102</v>
      </c>
    </row>
    <row r="431" spans="1:11" s="1" customFormat="1">
      <c r="A431" s="4">
        <v>45617</v>
      </c>
      <c r="B431" s="1" t="s">
        <v>21</v>
      </c>
      <c r="C431" s="1">
        <v>0</v>
      </c>
      <c r="D431" s="1">
        <v>0</v>
      </c>
      <c r="E431" s="1">
        <v>0</v>
      </c>
      <c r="F431" s="1">
        <v>0</v>
      </c>
      <c r="G431" s="1" t="s">
        <v>21</v>
      </c>
      <c r="H431" s="1" t="s">
        <v>28</v>
      </c>
      <c r="I431" s="1" t="s">
        <v>28</v>
      </c>
      <c r="J431" s="1" t="s">
        <v>28</v>
      </c>
      <c r="K431" s="1" t="s">
        <v>28</v>
      </c>
    </row>
    <row r="432" spans="1:11" s="1" customFormat="1">
      <c r="A432" s="4">
        <v>45618</v>
      </c>
      <c r="B432" s="1" t="s">
        <v>21</v>
      </c>
      <c r="C432" s="1">
        <v>0</v>
      </c>
      <c r="D432" s="1">
        <v>0</v>
      </c>
      <c r="E432" s="1">
        <v>0</v>
      </c>
      <c r="F432" s="1">
        <v>0</v>
      </c>
      <c r="G432" s="1" t="s">
        <v>21</v>
      </c>
      <c r="H432" s="1">
        <v>0</v>
      </c>
      <c r="I432" s="1">
        <v>0</v>
      </c>
      <c r="J432" s="1">
        <v>0</v>
      </c>
      <c r="K432" s="1">
        <v>0</v>
      </c>
    </row>
    <row r="433" spans="1:11" s="1" customFormat="1">
      <c r="A433" s="4">
        <v>45621</v>
      </c>
      <c r="B433" s="1" t="s">
        <v>21</v>
      </c>
      <c r="C433" s="1">
        <v>0</v>
      </c>
      <c r="D433" s="1">
        <v>0</v>
      </c>
      <c r="E433" s="1">
        <v>0</v>
      </c>
      <c r="F433" s="1">
        <v>0</v>
      </c>
      <c r="G433" s="1" t="s">
        <v>21</v>
      </c>
      <c r="H433" s="1">
        <v>0</v>
      </c>
      <c r="I433" s="1">
        <v>0</v>
      </c>
      <c r="J433" s="1">
        <v>0</v>
      </c>
      <c r="K433" s="1">
        <v>0</v>
      </c>
    </row>
    <row r="434" spans="1:11" s="1" customFormat="1">
      <c r="A434" s="4">
        <v>45622</v>
      </c>
      <c r="B434" s="1" t="s">
        <v>21</v>
      </c>
      <c r="C434" s="1">
        <v>0</v>
      </c>
      <c r="D434" s="1">
        <v>0</v>
      </c>
      <c r="E434" s="1">
        <v>0</v>
      </c>
      <c r="F434" s="1">
        <v>0</v>
      </c>
      <c r="G434" s="1" t="s">
        <v>21</v>
      </c>
      <c r="H434" s="1">
        <v>0</v>
      </c>
      <c r="I434" s="1">
        <v>0</v>
      </c>
      <c r="J434" s="1">
        <v>0</v>
      </c>
      <c r="K434" s="1">
        <v>0</v>
      </c>
    </row>
    <row r="435" spans="1:11" s="1" customFormat="1">
      <c r="A435" s="4">
        <v>45623</v>
      </c>
      <c r="B435" s="1" t="s">
        <v>21</v>
      </c>
      <c r="C435" s="1">
        <v>0</v>
      </c>
      <c r="D435" s="1">
        <v>0</v>
      </c>
      <c r="E435" s="1">
        <v>0</v>
      </c>
      <c r="F435" s="1">
        <v>0</v>
      </c>
      <c r="G435" s="1" t="s">
        <v>21</v>
      </c>
      <c r="H435" s="1">
        <v>0</v>
      </c>
      <c r="I435" s="1">
        <v>0</v>
      </c>
      <c r="J435" s="1">
        <v>0</v>
      </c>
      <c r="K435" s="1">
        <v>0</v>
      </c>
    </row>
    <row r="436" spans="1:11" s="1" customFormat="1">
      <c r="A436" s="4">
        <v>45624</v>
      </c>
      <c r="B436" s="1" t="s">
        <v>21</v>
      </c>
      <c r="C436" s="1">
        <v>0</v>
      </c>
      <c r="D436" s="1">
        <v>0</v>
      </c>
      <c r="E436" s="1">
        <v>0</v>
      </c>
      <c r="F436" s="1">
        <v>0</v>
      </c>
      <c r="G436" s="1" t="s">
        <v>21</v>
      </c>
      <c r="H436" s="1">
        <v>0</v>
      </c>
      <c r="I436" s="1">
        <v>0</v>
      </c>
      <c r="J436" s="1">
        <v>0</v>
      </c>
      <c r="K436" s="1">
        <v>0</v>
      </c>
    </row>
    <row r="437" spans="1:11" s="1" customFormat="1">
      <c r="A437" s="4">
        <v>45625</v>
      </c>
      <c r="B437" s="1" t="s">
        <v>21</v>
      </c>
      <c r="C437" s="1">
        <v>0</v>
      </c>
      <c r="D437" s="1">
        <v>0</v>
      </c>
      <c r="E437" s="1">
        <v>0</v>
      </c>
      <c r="F437" s="1">
        <v>0</v>
      </c>
      <c r="G437" s="1" t="s">
        <v>21</v>
      </c>
      <c r="H437" s="1">
        <v>0</v>
      </c>
      <c r="I437" s="1">
        <v>0</v>
      </c>
      <c r="J437" s="1">
        <v>0</v>
      </c>
      <c r="K437" s="1">
        <v>0</v>
      </c>
    </row>
    <row r="438" spans="1:11" s="1" customFormat="1">
      <c r="A438" s="4">
        <v>45628</v>
      </c>
      <c r="B438" s="1" t="s">
        <v>21</v>
      </c>
      <c r="C438" s="1">
        <v>0</v>
      </c>
      <c r="D438" s="1">
        <v>0</v>
      </c>
      <c r="E438" s="1">
        <v>0</v>
      </c>
      <c r="F438" s="1">
        <v>0</v>
      </c>
      <c r="G438" s="1" t="s">
        <v>21</v>
      </c>
      <c r="H438" s="1">
        <v>0</v>
      </c>
      <c r="I438" s="1">
        <v>0</v>
      </c>
      <c r="J438" s="1">
        <v>0</v>
      </c>
      <c r="K438" s="1">
        <v>0</v>
      </c>
    </row>
    <row r="439" spans="1:11" s="1" customFormat="1">
      <c r="A439" s="4">
        <v>45629</v>
      </c>
      <c r="B439" s="1" t="s">
        <v>21</v>
      </c>
      <c r="C439" s="1" t="s">
        <v>21</v>
      </c>
      <c r="D439" s="1" t="s">
        <v>21</v>
      </c>
      <c r="E439" s="1" t="s">
        <v>21</v>
      </c>
      <c r="F439" s="1" t="s">
        <v>21</v>
      </c>
      <c r="G439" s="1" t="s">
        <v>21</v>
      </c>
      <c r="H439" s="1">
        <v>0</v>
      </c>
      <c r="I439" s="1">
        <v>0</v>
      </c>
      <c r="J439" s="1">
        <v>0</v>
      </c>
      <c r="K439" s="1">
        <v>0</v>
      </c>
    </row>
    <row r="440" spans="1:11" s="1" customFormat="1">
      <c r="A440" s="4">
        <v>45630</v>
      </c>
      <c r="B440" s="1" t="s">
        <v>21</v>
      </c>
      <c r="C440" s="1" t="s">
        <v>21</v>
      </c>
      <c r="D440" s="1" t="s">
        <v>21</v>
      </c>
      <c r="E440" s="1" t="s">
        <v>21</v>
      </c>
      <c r="F440" s="1" t="s">
        <v>21</v>
      </c>
      <c r="G440" s="1" t="s">
        <v>21</v>
      </c>
      <c r="H440" s="1">
        <v>0</v>
      </c>
      <c r="I440" s="1">
        <v>0</v>
      </c>
      <c r="J440" s="1">
        <v>0</v>
      </c>
      <c r="K440" s="1">
        <v>0</v>
      </c>
    </row>
    <row r="441" spans="1:11" s="1" customFormat="1">
      <c r="A441" s="4">
        <v>45631</v>
      </c>
      <c r="B441" s="1" t="s">
        <v>21</v>
      </c>
      <c r="C441" s="1" t="s">
        <v>21</v>
      </c>
      <c r="D441" s="1" t="s">
        <v>21</v>
      </c>
      <c r="E441" s="1" t="s">
        <v>21</v>
      </c>
      <c r="F441" s="1" t="s">
        <v>21</v>
      </c>
      <c r="G441" s="1" t="s">
        <v>21</v>
      </c>
      <c r="H441" s="1">
        <v>0</v>
      </c>
      <c r="I441" s="1">
        <v>0</v>
      </c>
      <c r="J441" s="1">
        <v>0</v>
      </c>
      <c r="K441" s="1">
        <v>0</v>
      </c>
    </row>
    <row r="442" spans="1:11" s="1" customFormat="1">
      <c r="A442" s="4">
        <v>45632</v>
      </c>
      <c r="B442" s="1" t="s">
        <v>21</v>
      </c>
      <c r="C442" s="1" t="s">
        <v>21</v>
      </c>
      <c r="D442" s="1" t="s">
        <v>21</v>
      </c>
      <c r="E442" s="1" t="s">
        <v>21</v>
      </c>
      <c r="F442" s="1" t="s">
        <v>21</v>
      </c>
      <c r="G442" s="1" t="s">
        <v>21</v>
      </c>
      <c r="H442" s="1">
        <v>0</v>
      </c>
      <c r="I442" s="1">
        <v>0</v>
      </c>
      <c r="J442" s="1">
        <v>0</v>
      </c>
      <c r="K442" s="1">
        <v>0</v>
      </c>
    </row>
    <row r="443" spans="1:11" s="1" customFormat="1">
      <c r="A443" s="4">
        <v>45635</v>
      </c>
      <c r="B443" s="1" t="s">
        <v>21</v>
      </c>
      <c r="C443" s="1" t="s">
        <v>21</v>
      </c>
      <c r="D443" s="1" t="s">
        <v>21</v>
      </c>
      <c r="E443" s="1" t="s">
        <v>21</v>
      </c>
      <c r="F443" s="1" t="s">
        <v>21</v>
      </c>
      <c r="G443" s="1" t="s">
        <v>21</v>
      </c>
      <c r="H443" s="1">
        <v>0</v>
      </c>
      <c r="I443" s="1">
        <v>0</v>
      </c>
      <c r="J443" s="1">
        <v>0</v>
      </c>
      <c r="K443" s="1">
        <v>0</v>
      </c>
    </row>
    <row r="444" spans="1:11" s="1" customFormat="1">
      <c r="A444" s="4">
        <v>45636</v>
      </c>
      <c r="B444" s="1" t="s">
        <v>21</v>
      </c>
      <c r="C444" s="1" t="s">
        <v>21</v>
      </c>
      <c r="D444" s="1" t="s">
        <v>21</v>
      </c>
      <c r="E444" s="1" t="s">
        <v>21</v>
      </c>
      <c r="F444" s="1" t="s">
        <v>21</v>
      </c>
      <c r="G444" s="1" t="s">
        <v>21</v>
      </c>
      <c r="H444" s="1">
        <v>0</v>
      </c>
      <c r="I444" s="1">
        <v>0</v>
      </c>
      <c r="J444" s="1">
        <v>0</v>
      </c>
      <c r="K444" s="1">
        <v>0</v>
      </c>
    </row>
    <row r="445" spans="1:11" s="1" customFormat="1">
      <c r="A445" s="4">
        <v>45637</v>
      </c>
      <c r="B445" s="1" t="s">
        <v>21</v>
      </c>
      <c r="C445" s="1" t="s">
        <v>21</v>
      </c>
      <c r="D445" s="1" t="s">
        <v>21</v>
      </c>
      <c r="E445" s="1" t="s">
        <v>21</v>
      </c>
      <c r="F445" s="1" t="s">
        <v>21</v>
      </c>
      <c r="G445" s="1" t="s">
        <v>21</v>
      </c>
      <c r="H445" s="1">
        <v>0</v>
      </c>
      <c r="I445" s="1">
        <v>0</v>
      </c>
      <c r="J445" s="1">
        <v>0</v>
      </c>
      <c r="K445" s="1">
        <v>0</v>
      </c>
    </row>
    <row r="446" spans="1:11" s="1" customFormat="1">
      <c r="A446" s="4">
        <v>45638</v>
      </c>
      <c r="B446" s="1" t="s">
        <v>21</v>
      </c>
      <c r="C446" s="1" t="s">
        <v>21</v>
      </c>
      <c r="D446" s="1" t="s">
        <v>21</v>
      </c>
      <c r="E446" s="1" t="s">
        <v>21</v>
      </c>
      <c r="F446" s="1" t="s">
        <v>21</v>
      </c>
      <c r="G446" s="1" t="s">
        <v>21</v>
      </c>
      <c r="H446" s="1">
        <v>0</v>
      </c>
      <c r="I446" s="1">
        <v>0</v>
      </c>
      <c r="J446" s="1">
        <v>0</v>
      </c>
      <c r="K446" s="1">
        <v>0</v>
      </c>
    </row>
    <row r="447" spans="1:11" s="1" customFormat="1">
      <c r="A447" s="4">
        <v>45639</v>
      </c>
      <c r="B447" s="1" t="s">
        <v>21</v>
      </c>
      <c r="C447" s="1" t="s">
        <v>21</v>
      </c>
      <c r="D447" s="1" t="s">
        <v>21</v>
      </c>
      <c r="E447" s="1" t="s">
        <v>21</v>
      </c>
      <c r="F447" s="1" t="s">
        <v>21</v>
      </c>
      <c r="G447" s="1" t="s">
        <v>21</v>
      </c>
      <c r="H447" s="1">
        <v>0</v>
      </c>
      <c r="I447" s="1">
        <v>0</v>
      </c>
      <c r="J447" s="1">
        <v>0</v>
      </c>
      <c r="K447" s="1">
        <v>0</v>
      </c>
    </row>
    <row r="448" spans="1:11" s="1" customFormat="1">
      <c r="A448" s="4">
        <v>45642</v>
      </c>
      <c r="B448" s="1" t="s">
        <v>21</v>
      </c>
      <c r="C448" s="1" t="s">
        <v>21</v>
      </c>
      <c r="D448" s="1" t="s">
        <v>21</v>
      </c>
      <c r="E448" s="1" t="s">
        <v>21</v>
      </c>
      <c r="F448" s="1" t="s">
        <v>21</v>
      </c>
      <c r="G448" s="1" t="s">
        <v>21</v>
      </c>
      <c r="H448" s="1" t="s">
        <v>21</v>
      </c>
      <c r="I448" s="1" t="s">
        <v>21</v>
      </c>
      <c r="J448" s="1" t="s">
        <v>21</v>
      </c>
      <c r="K448" s="1" t="s">
        <v>21</v>
      </c>
    </row>
    <row r="449" spans="1:11" s="1" customFormat="1">
      <c r="A449" s="4">
        <v>45643</v>
      </c>
      <c r="B449" s="1" t="s">
        <v>21</v>
      </c>
      <c r="C449" s="1">
        <v>0</v>
      </c>
      <c r="D449" s="1">
        <v>0</v>
      </c>
      <c r="E449" s="1">
        <v>0</v>
      </c>
      <c r="F449" s="1">
        <v>0</v>
      </c>
      <c r="G449" s="1" t="s">
        <v>21</v>
      </c>
      <c r="H449" s="1" t="s">
        <v>110</v>
      </c>
      <c r="I449" s="1" t="s">
        <v>21</v>
      </c>
      <c r="J449" s="1" t="s">
        <v>21</v>
      </c>
      <c r="K449" s="1" t="s">
        <v>21</v>
      </c>
    </row>
    <row r="450" spans="1:11" s="1" customFormat="1">
      <c r="A450" s="4">
        <v>45644</v>
      </c>
      <c r="B450" s="1" t="s">
        <v>21</v>
      </c>
      <c r="C450" s="1">
        <v>0</v>
      </c>
      <c r="D450" s="1">
        <v>0</v>
      </c>
      <c r="E450" s="1">
        <v>0</v>
      </c>
      <c r="F450" s="1">
        <v>0</v>
      </c>
      <c r="G450" s="1" t="s">
        <v>21</v>
      </c>
      <c r="H450" s="1" t="s">
        <v>21</v>
      </c>
      <c r="I450" s="1" t="s">
        <v>21</v>
      </c>
      <c r="J450" s="1" t="s">
        <v>21</v>
      </c>
      <c r="K450" s="1" t="s">
        <v>21</v>
      </c>
    </row>
    <row r="451" spans="1:11" s="1" customFormat="1">
      <c r="A451" s="4">
        <v>45645</v>
      </c>
      <c r="B451" s="1" t="s">
        <v>21</v>
      </c>
      <c r="C451" s="1">
        <v>0</v>
      </c>
      <c r="D451" s="1">
        <v>0</v>
      </c>
      <c r="E451" s="1">
        <v>0</v>
      </c>
      <c r="F451" s="1">
        <v>0</v>
      </c>
      <c r="G451" s="1" t="s">
        <v>21</v>
      </c>
      <c r="H451" s="1" t="s">
        <v>21</v>
      </c>
      <c r="I451" s="1" t="s">
        <v>21</v>
      </c>
      <c r="J451" s="1" t="s">
        <v>21</v>
      </c>
      <c r="K451" s="1" t="s">
        <v>21</v>
      </c>
    </row>
    <row r="452" spans="1:11" s="1" customFormat="1">
      <c r="A452" s="4">
        <v>45646</v>
      </c>
      <c r="B452" s="1" t="s">
        <v>21</v>
      </c>
      <c r="C452" s="1">
        <v>0</v>
      </c>
      <c r="D452" s="1">
        <v>0</v>
      </c>
      <c r="E452" s="1">
        <v>0</v>
      </c>
      <c r="F452" s="1">
        <v>0</v>
      </c>
      <c r="G452" s="1" t="s">
        <v>21</v>
      </c>
      <c r="H452" s="1" t="s">
        <v>111</v>
      </c>
      <c r="I452" s="1" t="s">
        <v>111</v>
      </c>
      <c r="J452" s="1" t="s">
        <v>111</v>
      </c>
      <c r="K452" s="1" t="s">
        <v>111</v>
      </c>
    </row>
    <row r="453" spans="1:11" s="1" customFormat="1">
      <c r="A453" s="4">
        <v>45649</v>
      </c>
      <c r="B453" s="1" t="s">
        <v>21</v>
      </c>
      <c r="C453" s="1">
        <v>0</v>
      </c>
      <c r="D453" s="1">
        <v>0</v>
      </c>
      <c r="E453" s="1">
        <v>0</v>
      </c>
      <c r="F453" s="1">
        <v>0</v>
      </c>
      <c r="G453" s="1" t="s">
        <v>21</v>
      </c>
      <c r="H453" s="1" t="s">
        <v>21</v>
      </c>
      <c r="I453" s="1" t="s">
        <v>21</v>
      </c>
      <c r="J453" s="1" t="s">
        <v>150</v>
      </c>
      <c r="K453" s="1" t="s">
        <v>167</v>
      </c>
    </row>
    <row r="454" spans="1:11" s="1" customFormat="1">
      <c r="A454" s="4">
        <v>45650</v>
      </c>
      <c r="B454" s="1" t="s">
        <v>21</v>
      </c>
      <c r="C454" s="1">
        <v>0</v>
      </c>
      <c r="D454" s="1">
        <v>0</v>
      </c>
      <c r="E454" s="1">
        <v>0</v>
      </c>
      <c r="F454" s="1">
        <v>0</v>
      </c>
      <c r="G454" s="1" t="s">
        <v>21</v>
      </c>
      <c r="H454" s="1">
        <v>0</v>
      </c>
      <c r="I454" s="1">
        <v>0</v>
      </c>
      <c r="J454" s="1">
        <v>0</v>
      </c>
      <c r="K454" s="1">
        <v>0</v>
      </c>
    </row>
    <row r="455" spans="1:11" s="1" customFormat="1">
      <c r="A455" s="4">
        <v>45652</v>
      </c>
      <c r="B455" s="1" t="s">
        <v>21</v>
      </c>
      <c r="C455" s="1">
        <v>0</v>
      </c>
      <c r="D455" s="1">
        <v>0</v>
      </c>
      <c r="E455" s="1">
        <v>0</v>
      </c>
      <c r="F455" s="1">
        <v>0</v>
      </c>
      <c r="G455" s="1" t="s">
        <v>21</v>
      </c>
      <c r="H455" s="1">
        <v>0</v>
      </c>
      <c r="I455" s="1">
        <v>0</v>
      </c>
      <c r="J455" s="1">
        <v>0</v>
      </c>
      <c r="K455" s="1">
        <v>0</v>
      </c>
    </row>
    <row r="456" spans="1:11" s="1" customFormat="1">
      <c r="A456" s="4">
        <v>45653</v>
      </c>
      <c r="B456" s="1" t="s">
        <v>21</v>
      </c>
      <c r="C456" s="1">
        <v>0</v>
      </c>
      <c r="D456" s="1">
        <v>0</v>
      </c>
      <c r="E456" s="1">
        <v>0</v>
      </c>
      <c r="F456" s="1">
        <v>0</v>
      </c>
      <c r="G456" s="1" t="s">
        <v>21</v>
      </c>
      <c r="H456" s="1">
        <v>0</v>
      </c>
      <c r="I456" s="1">
        <v>0</v>
      </c>
      <c r="J456" s="1">
        <v>0</v>
      </c>
      <c r="K456" s="1">
        <v>0</v>
      </c>
    </row>
    <row r="457" spans="1:11" s="1" customFormat="1">
      <c r="A457" s="4">
        <v>45656</v>
      </c>
      <c r="B457" s="1" t="s">
        <v>21</v>
      </c>
      <c r="C457" s="1">
        <v>0</v>
      </c>
      <c r="D457" s="1">
        <v>0</v>
      </c>
      <c r="E457" s="1">
        <v>0</v>
      </c>
      <c r="F457" s="1">
        <v>0</v>
      </c>
      <c r="G457" s="1" t="s">
        <v>21</v>
      </c>
      <c r="H457" s="1">
        <v>0</v>
      </c>
      <c r="I457" s="1">
        <v>0</v>
      </c>
      <c r="J457" s="1">
        <v>0</v>
      </c>
      <c r="K457" s="1">
        <v>0</v>
      </c>
    </row>
    <row r="458" spans="1:11" s="1" customFormat="1">
      <c r="A458" s="4">
        <v>45657</v>
      </c>
      <c r="B458" s="1" t="s">
        <v>21</v>
      </c>
      <c r="C458" s="1">
        <v>0</v>
      </c>
      <c r="D458" s="1">
        <v>0</v>
      </c>
      <c r="E458" s="1">
        <v>0</v>
      </c>
      <c r="F458" s="1">
        <v>0</v>
      </c>
      <c r="G458" s="1" t="s">
        <v>21</v>
      </c>
      <c r="H458" s="1">
        <v>0</v>
      </c>
      <c r="I458" s="1">
        <v>0</v>
      </c>
      <c r="J458" s="1">
        <v>0</v>
      </c>
      <c r="K458" s="1">
        <v>0</v>
      </c>
    </row>
    <row r="459" spans="1:11" s="1" customFormat="1">
      <c r="A459" s="4">
        <v>45658</v>
      </c>
      <c r="B459" s="1" t="s">
        <v>21</v>
      </c>
      <c r="C459" s="1">
        <v>0</v>
      </c>
      <c r="D459" s="1">
        <v>0</v>
      </c>
      <c r="E459" s="1">
        <v>0</v>
      </c>
      <c r="F459" s="1">
        <v>0</v>
      </c>
      <c r="G459" s="1" t="s">
        <v>21</v>
      </c>
      <c r="H459" s="1">
        <v>0</v>
      </c>
      <c r="I459" s="1">
        <v>0</v>
      </c>
      <c r="J459" s="1">
        <v>0</v>
      </c>
      <c r="K459" s="1">
        <v>0</v>
      </c>
    </row>
    <row r="460" spans="1:11" s="1" customFormat="1">
      <c r="A460" s="4">
        <v>45659</v>
      </c>
      <c r="B460" s="1" t="s">
        <v>21</v>
      </c>
      <c r="C460" s="1" t="s">
        <v>21</v>
      </c>
      <c r="D460" s="1" t="s">
        <v>21</v>
      </c>
      <c r="E460" s="1" t="s">
        <v>21</v>
      </c>
      <c r="F460" s="1" t="s">
        <v>21</v>
      </c>
      <c r="G460" s="1" t="s">
        <v>21</v>
      </c>
      <c r="H460" s="1">
        <v>0</v>
      </c>
      <c r="I460" s="1">
        <v>0</v>
      </c>
      <c r="J460" s="1">
        <v>0</v>
      </c>
      <c r="K460" s="1">
        <v>0</v>
      </c>
    </row>
    <row r="461" spans="1:11" s="1" customFormat="1">
      <c r="A461" s="4">
        <v>45660</v>
      </c>
      <c r="B461" s="1" t="s">
        <v>21</v>
      </c>
      <c r="C461" s="1" t="s">
        <v>21</v>
      </c>
      <c r="D461" s="1" t="s">
        <v>21</v>
      </c>
      <c r="E461" s="1" t="s">
        <v>21</v>
      </c>
      <c r="F461" s="1" t="s">
        <v>21</v>
      </c>
      <c r="G461" s="1" t="s">
        <v>21</v>
      </c>
      <c r="H461" s="1">
        <v>0</v>
      </c>
      <c r="I461" s="1">
        <v>0</v>
      </c>
      <c r="J461" s="1">
        <v>0</v>
      </c>
      <c r="K461" s="1">
        <v>0</v>
      </c>
    </row>
    <row r="462" spans="1:11" s="1" customFormat="1">
      <c r="A462" s="4">
        <v>45663</v>
      </c>
      <c r="B462" s="1" t="s">
        <v>21</v>
      </c>
      <c r="C462" s="1" t="s">
        <v>21</v>
      </c>
      <c r="D462" s="1" t="s">
        <v>21</v>
      </c>
      <c r="E462" s="1" t="s">
        <v>21</v>
      </c>
      <c r="F462" s="1" t="s">
        <v>21</v>
      </c>
      <c r="G462" s="1" t="s">
        <v>21</v>
      </c>
      <c r="H462" s="1">
        <v>0</v>
      </c>
      <c r="I462" s="1">
        <v>0</v>
      </c>
      <c r="J462" s="1">
        <v>0</v>
      </c>
      <c r="K462" s="1">
        <v>0</v>
      </c>
    </row>
    <row r="463" spans="1:11" s="1" customFormat="1">
      <c r="A463" s="4">
        <v>45664</v>
      </c>
      <c r="B463" s="1" t="s">
        <v>21</v>
      </c>
      <c r="C463" s="1" t="s">
        <v>21</v>
      </c>
      <c r="D463" s="1" t="s">
        <v>21</v>
      </c>
      <c r="E463" s="1" t="s">
        <v>21</v>
      </c>
      <c r="F463" s="1" t="s">
        <v>21</v>
      </c>
      <c r="G463" s="1" t="s">
        <v>21</v>
      </c>
      <c r="H463" s="1">
        <v>0</v>
      </c>
      <c r="I463" s="1">
        <v>0</v>
      </c>
      <c r="J463" s="1">
        <v>0</v>
      </c>
      <c r="K463" s="1">
        <v>0</v>
      </c>
    </row>
    <row r="464" spans="1:11" s="1" customFormat="1">
      <c r="A464" s="4">
        <v>45665</v>
      </c>
      <c r="B464" s="1" t="s">
        <v>21</v>
      </c>
      <c r="C464" s="1" t="s">
        <v>21</v>
      </c>
      <c r="D464" s="1" t="s">
        <v>21</v>
      </c>
      <c r="E464" s="1" t="s">
        <v>21</v>
      </c>
      <c r="F464" s="1" t="s">
        <v>21</v>
      </c>
      <c r="G464" s="1" t="s">
        <v>21</v>
      </c>
      <c r="H464" s="1">
        <v>0</v>
      </c>
      <c r="I464" s="1">
        <v>0</v>
      </c>
      <c r="J464" s="1">
        <v>0</v>
      </c>
      <c r="K464" s="1">
        <v>0</v>
      </c>
    </row>
    <row r="465" spans="1:11" s="1" customFormat="1">
      <c r="A465" s="4">
        <v>45666</v>
      </c>
      <c r="B465" s="1" t="s">
        <v>21</v>
      </c>
      <c r="C465" s="1" t="s">
        <v>21</v>
      </c>
      <c r="D465" s="1" t="s">
        <v>21</v>
      </c>
      <c r="E465" s="1" t="s">
        <v>21</v>
      </c>
      <c r="F465" s="1" t="s">
        <v>21</v>
      </c>
      <c r="G465" s="1" t="s">
        <v>21</v>
      </c>
      <c r="H465" s="1">
        <v>0</v>
      </c>
      <c r="I465" s="1">
        <v>0</v>
      </c>
      <c r="J465" s="1">
        <v>0</v>
      </c>
      <c r="K465" s="1">
        <v>0</v>
      </c>
    </row>
    <row r="466" spans="1:11" s="1" customFormat="1">
      <c r="A466" s="4">
        <v>45667</v>
      </c>
      <c r="B466" s="1" t="s">
        <v>21</v>
      </c>
      <c r="C466" s="1" t="s">
        <v>21</v>
      </c>
      <c r="D466" s="1" t="s">
        <v>21</v>
      </c>
      <c r="E466" s="1" t="s">
        <v>21</v>
      </c>
      <c r="F466" s="1" t="s">
        <v>21</v>
      </c>
      <c r="G466" s="1" t="s">
        <v>21</v>
      </c>
      <c r="H466" s="1">
        <v>0</v>
      </c>
      <c r="I466" s="1">
        <v>0</v>
      </c>
      <c r="J466" s="1">
        <v>0</v>
      </c>
      <c r="K466" s="1">
        <v>0</v>
      </c>
    </row>
    <row r="467" spans="1:11" s="1" customFormat="1">
      <c r="A467" s="4">
        <v>45670</v>
      </c>
      <c r="B467" s="1" t="s">
        <v>21</v>
      </c>
      <c r="C467" s="1" t="s">
        <v>21</v>
      </c>
      <c r="D467" s="1" t="s">
        <v>21</v>
      </c>
      <c r="E467" s="1" t="s">
        <v>21</v>
      </c>
      <c r="F467" s="1" t="s">
        <v>21</v>
      </c>
      <c r="G467" s="1" t="s">
        <v>21</v>
      </c>
      <c r="H467" s="1">
        <v>0</v>
      </c>
      <c r="I467" s="1">
        <v>0</v>
      </c>
      <c r="J467" s="1">
        <v>0</v>
      </c>
      <c r="K467" s="1">
        <v>0</v>
      </c>
    </row>
    <row r="468" spans="1:11" s="1" customFormat="1">
      <c r="A468" s="4">
        <v>45671</v>
      </c>
      <c r="B468" s="1" t="s">
        <v>21</v>
      </c>
      <c r="C468" s="1" t="s">
        <v>21</v>
      </c>
      <c r="D468" s="1" t="s">
        <v>21</v>
      </c>
      <c r="E468" s="1" t="s">
        <v>21</v>
      </c>
      <c r="F468" s="1" t="s">
        <v>21</v>
      </c>
      <c r="G468" s="1" t="s">
        <v>21</v>
      </c>
      <c r="H468" s="1">
        <v>0</v>
      </c>
      <c r="I468" s="1">
        <v>0</v>
      </c>
      <c r="J468" s="1">
        <v>0</v>
      </c>
      <c r="K468" s="1">
        <v>0</v>
      </c>
    </row>
    <row r="469" spans="1:11" s="1" customFormat="1">
      <c r="A469" s="4">
        <v>45672</v>
      </c>
      <c r="B469" s="1" t="s">
        <v>21</v>
      </c>
      <c r="C469" s="1" t="s">
        <v>21</v>
      </c>
      <c r="D469" s="1" t="s">
        <v>21</v>
      </c>
      <c r="E469" s="1" t="s">
        <v>21</v>
      </c>
      <c r="F469" s="1" t="s">
        <v>74</v>
      </c>
      <c r="G469" s="1" t="s">
        <v>21</v>
      </c>
      <c r="H469" s="1">
        <v>0</v>
      </c>
      <c r="I469" s="1">
        <v>0</v>
      </c>
      <c r="J469" s="1">
        <v>0</v>
      </c>
      <c r="K469" s="1">
        <v>0</v>
      </c>
    </row>
    <row r="470" spans="1:11" s="1" customFormat="1">
      <c r="A470" s="4">
        <v>45673</v>
      </c>
      <c r="B470" s="1" t="s">
        <v>21</v>
      </c>
      <c r="C470" s="1">
        <v>0</v>
      </c>
      <c r="D470" s="1">
        <v>0</v>
      </c>
      <c r="E470" s="1">
        <v>0</v>
      </c>
      <c r="F470" s="1">
        <v>0</v>
      </c>
      <c r="G470" s="1" t="s">
        <v>21</v>
      </c>
      <c r="H470" s="1">
        <v>0</v>
      </c>
      <c r="I470" s="1">
        <v>0</v>
      </c>
      <c r="J470" s="1">
        <v>0</v>
      </c>
      <c r="K470" s="1">
        <v>0</v>
      </c>
    </row>
    <row r="471" spans="1:11" s="1" customFormat="1">
      <c r="A471" s="4">
        <v>45674</v>
      </c>
      <c r="B471" s="1" t="s">
        <v>21</v>
      </c>
      <c r="C471" s="1">
        <v>0</v>
      </c>
      <c r="D471" s="1">
        <v>0</v>
      </c>
      <c r="E471" s="1">
        <v>0</v>
      </c>
      <c r="F471" s="1">
        <v>0</v>
      </c>
      <c r="G471" s="1" t="s">
        <v>21</v>
      </c>
      <c r="H471" s="1" t="s">
        <v>21</v>
      </c>
      <c r="I471" s="1" t="s">
        <v>21</v>
      </c>
      <c r="J471" s="1" t="s">
        <v>21</v>
      </c>
      <c r="K471" s="1" t="s">
        <v>21</v>
      </c>
    </row>
    <row r="472" spans="1:11" s="1" customFormat="1">
      <c r="A472" s="4">
        <v>45677</v>
      </c>
      <c r="B472" s="1" t="s">
        <v>21</v>
      </c>
      <c r="C472" s="1">
        <v>0</v>
      </c>
      <c r="D472" s="1">
        <v>0</v>
      </c>
      <c r="E472" s="1">
        <v>0</v>
      </c>
      <c r="F472" s="1">
        <v>0</v>
      </c>
      <c r="G472" s="1" t="s">
        <v>21</v>
      </c>
      <c r="H472" s="1" t="s">
        <v>21</v>
      </c>
      <c r="I472" s="1" t="s">
        <v>21</v>
      </c>
      <c r="J472" s="1" t="s">
        <v>21</v>
      </c>
      <c r="K472" s="1" t="s">
        <v>21</v>
      </c>
    </row>
    <row r="473" spans="1:11" s="1" customFormat="1">
      <c r="A473" s="4">
        <v>45678</v>
      </c>
      <c r="B473" s="1" t="s">
        <v>21</v>
      </c>
      <c r="C473" s="1">
        <v>0</v>
      </c>
      <c r="D473" s="1">
        <v>0</v>
      </c>
      <c r="E473" s="1">
        <v>0</v>
      </c>
      <c r="F473" s="1">
        <v>0</v>
      </c>
      <c r="G473" s="1" t="s">
        <v>21</v>
      </c>
      <c r="H473" s="1" t="s">
        <v>21</v>
      </c>
      <c r="I473" s="1" t="s">
        <v>21</v>
      </c>
      <c r="J473" s="1" t="s">
        <v>21</v>
      </c>
      <c r="K473" s="1" t="s">
        <v>21</v>
      </c>
    </row>
    <row r="474" spans="1:11" s="1" customFormat="1">
      <c r="A474" s="4">
        <v>45679</v>
      </c>
      <c r="B474" s="1" t="s">
        <v>21</v>
      </c>
      <c r="C474" s="1">
        <v>0</v>
      </c>
      <c r="D474" s="1">
        <v>0</v>
      </c>
      <c r="E474" s="1">
        <v>0</v>
      </c>
      <c r="F474" s="1">
        <v>0</v>
      </c>
      <c r="G474" s="1" t="s">
        <v>21</v>
      </c>
      <c r="H474" s="1" t="s">
        <v>21</v>
      </c>
      <c r="I474" s="1" t="s">
        <v>21</v>
      </c>
      <c r="J474" s="1" t="s">
        <v>21</v>
      </c>
      <c r="K474" s="1" t="s">
        <v>21</v>
      </c>
    </row>
    <row r="475" spans="1:11" s="1" customFormat="1">
      <c r="A475" s="4">
        <v>45680</v>
      </c>
      <c r="B475" s="1" t="s">
        <v>21</v>
      </c>
      <c r="C475" s="1">
        <v>0</v>
      </c>
      <c r="D475" s="1">
        <v>0</v>
      </c>
      <c r="E475" s="1">
        <v>0</v>
      </c>
      <c r="F475" s="1">
        <v>0</v>
      </c>
      <c r="G475" s="1" t="s">
        <v>21</v>
      </c>
      <c r="H475" s="1" t="s">
        <v>112</v>
      </c>
      <c r="I475" s="1" t="s">
        <v>112</v>
      </c>
      <c r="J475" s="1" t="s">
        <v>112</v>
      </c>
      <c r="K475" s="1" t="s">
        <v>112</v>
      </c>
    </row>
    <row r="476" spans="1:11" s="1" customFormat="1">
      <c r="A476" s="4">
        <v>45681</v>
      </c>
      <c r="B476" s="1" t="s">
        <v>21</v>
      </c>
      <c r="C476" s="1">
        <v>0</v>
      </c>
      <c r="D476" s="1">
        <v>0</v>
      </c>
      <c r="E476" s="1">
        <v>0</v>
      </c>
      <c r="F476" s="1">
        <v>0</v>
      </c>
      <c r="G476" s="1" t="s">
        <v>21</v>
      </c>
      <c r="H476" s="1" t="s">
        <v>113</v>
      </c>
      <c r="I476" s="1" t="s">
        <v>113</v>
      </c>
      <c r="J476" s="1" t="s">
        <v>113</v>
      </c>
      <c r="K476" s="1" t="s">
        <v>113</v>
      </c>
    </row>
    <row r="477" spans="1:11" s="1" customFormat="1">
      <c r="A477" s="4">
        <v>45684</v>
      </c>
      <c r="B477" s="1" t="s">
        <v>21</v>
      </c>
      <c r="C477" s="1">
        <v>0</v>
      </c>
      <c r="D477" s="1">
        <v>0</v>
      </c>
      <c r="E477" s="1">
        <v>0</v>
      </c>
      <c r="F477" s="1">
        <v>0</v>
      </c>
      <c r="G477" s="1" t="s">
        <v>21</v>
      </c>
      <c r="H477" s="1">
        <v>0</v>
      </c>
      <c r="I477" s="1">
        <v>0</v>
      </c>
      <c r="J477" s="1">
        <v>0</v>
      </c>
      <c r="K477" s="1">
        <v>0</v>
      </c>
    </row>
    <row r="478" spans="1:11" s="1" customFormat="1">
      <c r="A478" s="4">
        <v>45685</v>
      </c>
      <c r="B478" s="1" t="s">
        <v>21</v>
      </c>
      <c r="C478" s="1">
        <v>0</v>
      </c>
      <c r="D478" s="1">
        <v>0</v>
      </c>
      <c r="E478" s="1">
        <v>0</v>
      </c>
      <c r="F478" s="1">
        <v>0</v>
      </c>
      <c r="G478" s="1" t="s">
        <v>21</v>
      </c>
      <c r="H478" s="1">
        <v>0</v>
      </c>
      <c r="I478" s="1">
        <v>0</v>
      </c>
      <c r="J478" s="1">
        <v>0</v>
      </c>
      <c r="K478" s="1">
        <v>0</v>
      </c>
    </row>
    <row r="479" spans="1:11" s="1" customFormat="1">
      <c r="A479" s="4">
        <v>45686</v>
      </c>
      <c r="B479" s="1" t="s">
        <v>21</v>
      </c>
      <c r="C479" s="1">
        <v>0</v>
      </c>
      <c r="D479" s="1">
        <v>0</v>
      </c>
      <c r="E479" s="1">
        <v>0</v>
      </c>
      <c r="F479" s="1">
        <v>0</v>
      </c>
      <c r="G479" s="1" t="s">
        <v>21</v>
      </c>
      <c r="H479" s="1">
        <v>0</v>
      </c>
      <c r="I479" s="1">
        <v>0</v>
      </c>
      <c r="J479" s="1">
        <v>0</v>
      </c>
      <c r="K479" s="1">
        <v>0</v>
      </c>
    </row>
    <row r="480" spans="1:11" s="1" customFormat="1">
      <c r="A480" s="4">
        <v>45687</v>
      </c>
      <c r="B480" s="1" t="s">
        <v>21</v>
      </c>
      <c r="C480" s="1">
        <v>0</v>
      </c>
      <c r="D480" s="1">
        <v>0</v>
      </c>
      <c r="E480" s="1">
        <v>0</v>
      </c>
      <c r="F480" s="1">
        <v>0</v>
      </c>
      <c r="G480" s="1" t="s">
        <v>21</v>
      </c>
      <c r="H480" s="1">
        <v>0</v>
      </c>
      <c r="I480" s="1">
        <v>0</v>
      </c>
      <c r="J480" s="1">
        <v>0</v>
      </c>
      <c r="K480" s="1">
        <v>0</v>
      </c>
    </row>
    <row r="481" spans="1:11" s="1" customFormat="1">
      <c r="A481" s="4">
        <v>45688</v>
      </c>
      <c r="B481" s="1" t="s">
        <v>21</v>
      </c>
      <c r="C481" s="1">
        <v>0</v>
      </c>
      <c r="D481" s="1">
        <v>0</v>
      </c>
      <c r="E481" s="1">
        <v>0</v>
      </c>
      <c r="F481" s="1">
        <v>0</v>
      </c>
      <c r="G481" s="1" t="s">
        <v>21</v>
      </c>
      <c r="H481" s="1">
        <v>0</v>
      </c>
      <c r="I481" s="1">
        <v>0</v>
      </c>
      <c r="J481" s="1">
        <v>0</v>
      </c>
      <c r="K481" s="1">
        <v>0</v>
      </c>
    </row>
    <row r="482" spans="1:11" s="1" customFormat="1">
      <c r="A482" s="4">
        <v>45689</v>
      </c>
      <c r="B482" s="1" t="s">
        <v>21</v>
      </c>
      <c r="C482" s="1">
        <v>0</v>
      </c>
      <c r="D482" s="1">
        <v>0</v>
      </c>
      <c r="E482" s="1">
        <v>0</v>
      </c>
      <c r="F482" s="1">
        <v>0</v>
      </c>
      <c r="G482" s="1" t="s">
        <v>21</v>
      </c>
      <c r="H482" s="1">
        <v>0</v>
      </c>
      <c r="I482" s="1">
        <v>0</v>
      </c>
      <c r="J482" s="1">
        <v>0</v>
      </c>
      <c r="K482" s="1">
        <v>0</v>
      </c>
    </row>
    <row r="483" spans="1:11" s="1" customFormat="1">
      <c r="A483" s="4">
        <v>45691</v>
      </c>
      <c r="B483" s="1" t="s">
        <v>21</v>
      </c>
      <c r="C483" s="1">
        <v>0</v>
      </c>
      <c r="D483" s="1">
        <v>0</v>
      </c>
      <c r="E483" s="1">
        <v>0</v>
      </c>
      <c r="F483" s="1">
        <v>0</v>
      </c>
      <c r="G483" s="1" t="s">
        <v>21</v>
      </c>
      <c r="H483" s="1">
        <v>0</v>
      </c>
      <c r="I483" s="1">
        <v>0</v>
      </c>
      <c r="J483" s="1">
        <v>0</v>
      </c>
      <c r="K483" s="1">
        <v>0</v>
      </c>
    </row>
    <row r="484" spans="1:11" s="1" customFormat="1">
      <c r="A484" s="4">
        <v>45692</v>
      </c>
      <c r="B484" s="1" t="s">
        <v>21</v>
      </c>
      <c r="C484" s="1" t="s">
        <v>21</v>
      </c>
      <c r="D484" s="1" t="s">
        <v>21</v>
      </c>
      <c r="E484" s="1" t="s">
        <v>21</v>
      </c>
      <c r="F484" s="1" t="s">
        <v>21</v>
      </c>
      <c r="G484" s="1" t="s">
        <v>21</v>
      </c>
      <c r="H484" s="1">
        <v>0</v>
      </c>
      <c r="I484" s="1">
        <v>0</v>
      </c>
      <c r="J484" s="1">
        <v>0</v>
      </c>
      <c r="K484" s="1">
        <v>0</v>
      </c>
    </row>
    <row r="485" spans="1:11" s="1" customFormat="1">
      <c r="A485" s="4">
        <v>45693</v>
      </c>
      <c r="B485" s="1" t="s">
        <v>21</v>
      </c>
      <c r="C485" s="1" t="s">
        <v>21</v>
      </c>
      <c r="D485" s="1" t="s">
        <v>21</v>
      </c>
      <c r="E485" s="1" t="s">
        <v>21</v>
      </c>
      <c r="F485" s="1" t="s">
        <v>21</v>
      </c>
      <c r="G485" s="1" t="s">
        <v>21</v>
      </c>
      <c r="H485" s="1">
        <v>0</v>
      </c>
      <c r="I485" s="1">
        <v>0</v>
      </c>
      <c r="J485" s="1">
        <v>0</v>
      </c>
      <c r="K485" s="1">
        <v>0</v>
      </c>
    </row>
    <row r="486" spans="1:11" s="1" customFormat="1">
      <c r="A486" s="4">
        <v>45694</v>
      </c>
      <c r="B486" s="1" t="s">
        <v>21</v>
      </c>
      <c r="C486" s="1" t="s">
        <v>21</v>
      </c>
      <c r="D486" s="1" t="s">
        <v>21</v>
      </c>
      <c r="E486" s="1" t="s">
        <v>21</v>
      </c>
      <c r="F486" s="1" t="s">
        <v>21</v>
      </c>
      <c r="G486" s="1" t="s">
        <v>21</v>
      </c>
      <c r="H486" s="1">
        <v>0</v>
      </c>
      <c r="I486" s="1">
        <v>0</v>
      </c>
      <c r="J486" s="1">
        <v>0</v>
      </c>
      <c r="K486" s="1">
        <v>0</v>
      </c>
    </row>
    <row r="487" spans="1:11" s="1" customFormat="1">
      <c r="A487" s="4">
        <v>45695</v>
      </c>
      <c r="B487" s="1" t="s">
        <v>21</v>
      </c>
      <c r="C487" s="1" t="s">
        <v>21</v>
      </c>
      <c r="D487" s="1" t="s">
        <v>21</v>
      </c>
      <c r="E487" s="1" t="s">
        <v>21</v>
      </c>
      <c r="F487" s="1" t="s">
        <v>21</v>
      </c>
      <c r="G487" s="1" t="s">
        <v>21</v>
      </c>
      <c r="H487" s="1">
        <v>0</v>
      </c>
      <c r="I487" s="1">
        <v>0</v>
      </c>
      <c r="J487" s="1">
        <v>0</v>
      </c>
      <c r="K487" s="1">
        <v>0</v>
      </c>
    </row>
    <row r="488" spans="1:11" s="1" customFormat="1">
      <c r="A488" s="4">
        <v>45698</v>
      </c>
      <c r="B488" s="1" t="s">
        <v>21</v>
      </c>
      <c r="C488" s="1" t="s">
        <v>21</v>
      </c>
      <c r="D488" s="1" t="s">
        <v>21</v>
      </c>
      <c r="E488" s="1" t="s">
        <v>21</v>
      </c>
      <c r="F488" s="1" t="s">
        <v>21</v>
      </c>
      <c r="G488" s="1" t="s">
        <v>21</v>
      </c>
      <c r="H488" s="1">
        <v>0</v>
      </c>
      <c r="I488" s="1">
        <v>0</v>
      </c>
      <c r="J488" s="1">
        <v>0</v>
      </c>
      <c r="K488" s="1">
        <v>0</v>
      </c>
    </row>
    <row r="489" spans="1:11" s="1" customFormat="1">
      <c r="A489" s="4">
        <v>45699</v>
      </c>
      <c r="B489" s="1" t="s">
        <v>21</v>
      </c>
      <c r="C489" s="1" t="s">
        <v>21</v>
      </c>
      <c r="D489" s="1" t="s">
        <v>21</v>
      </c>
      <c r="E489" s="1" t="s">
        <v>21</v>
      </c>
      <c r="F489" s="1" t="s">
        <v>21</v>
      </c>
      <c r="G489" s="1" t="s">
        <v>21</v>
      </c>
      <c r="H489" s="1">
        <v>0</v>
      </c>
      <c r="I489" s="1">
        <v>0</v>
      </c>
      <c r="J489" s="1">
        <v>0</v>
      </c>
      <c r="K489" s="1">
        <v>0</v>
      </c>
    </row>
    <row r="490" spans="1:11" s="1" customFormat="1">
      <c r="A490" s="4">
        <v>45700</v>
      </c>
      <c r="B490" s="1" t="s">
        <v>21</v>
      </c>
      <c r="C490" s="1" t="s">
        <v>21</v>
      </c>
      <c r="D490" s="1" t="s">
        <v>21</v>
      </c>
      <c r="E490" s="1" t="s">
        <v>21</v>
      </c>
      <c r="F490" s="1" t="s">
        <v>21</v>
      </c>
      <c r="G490" s="1" t="s">
        <v>21</v>
      </c>
      <c r="H490" s="1">
        <v>0</v>
      </c>
      <c r="I490" s="1">
        <v>0</v>
      </c>
      <c r="J490" s="1">
        <v>0</v>
      </c>
      <c r="K490" s="1">
        <v>0</v>
      </c>
    </row>
    <row r="491" spans="1:11" s="1" customFormat="1">
      <c r="A491" s="4">
        <v>45701</v>
      </c>
      <c r="B491" s="1" t="s">
        <v>21</v>
      </c>
      <c r="C491" s="1" t="s">
        <v>21</v>
      </c>
      <c r="D491" s="1" t="s">
        <v>21</v>
      </c>
      <c r="E491" s="1" t="s">
        <v>21</v>
      </c>
      <c r="F491" s="1" t="s">
        <v>21</v>
      </c>
      <c r="G491" s="1" t="s">
        <v>21</v>
      </c>
      <c r="H491" s="1">
        <v>0</v>
      </c>
      <c r="I491" s="1">
        <v>0</v>
      </c>
      <c r="J491" s="1">
        <v>0</v>
      </c>
      <c r="K491" s="1">
        <v>0</v>
      </c>
    </row>
    <row r="492" spans="1:11" s="1" customFormat="1">
      <c r="A492" s="4">
        <v>45702</v>
      </c>
      <c r="B492" s="1" t="s">
        <v>21</v>
      </c>
      <c r="C492" s="1" t="s">
        <v>21</v>
      </c>
      <c r="D492" s="1" t="s">
        <v>21</v>
      </c>
      <c r="E492" s="1" t="s">
        <v>21</v>
      </c>
      <c r="F492" s="1" t="s">
        <v>21</v>
      </c>
      <c r="G492" s="1" t="s">
        <v>21</v>
      </c>
      <c r="H492" s="1" t="s">
        <v>21</v>
      </c>
      <c r="I492" s="1" t="s">
        <v>21</v>
      </c>
      <c r="J492" s="1" t="s">
        <v>21</v>
      </c>
      <c r="K492" s="1" t="s">
        <v>21</v>
      </c>
    </row>
    <row r="493" spans="1:11" s="1" customFormat="1">
      <c r="A493" s="4">
        <v>45705</v>
      </c>
      <c r="B493" s="1" t="s">
        <v>21</v>
      </c>
      <c r="C493" s="1" t="s">
        <v>21</v>
      </c>
      <c r="D493" s="1" t="s">
        <v>21</v>
      </c>
      <c r="E493" s="1" t="s">
        <v>21</v>
      </c>
      <c r="F493" s="1" t="s">
        <v>21</v>
      </c>
      <c r="G493" s="1" t="s">
        <v>21</v>
      </c>
      <c r="H493" s="1" t="s">
        <v>21</v>
      </c>
      <c r="I493" s="1" t="s">
        <v>21</v>
      </c>
      <c r="J493" s="1" t="s">
        <v>21</v>
      </c>
      <c r="K493" s="1" t="s">
        <v>21</v>
      </c>
    </row>
    <row r="494" spans="1:11" s="1" customFormat="1">
      <c r="A494" s="4">
        <v>45706</v>
      </c>
      <c r="B494" s="1" t="s">
        <v>21</v>
      </c>
      <c r="C494" s="1">
        <v>0</v>
      </c>
      <c r="D494" s="1">
        <v>0</v>
      </c>
      <c r="E494" s="1">
        <v>0</v>
      </c>
      <c r="F494" s="1">
        <v>0</v>
      </c>
      <c r="G494" s="1" t="s">
        <v>21</v>
      </c>
      <c r="H494" s="1" t="s">
        <v>21</v>
      </c>
      <c r="I494" s="1" t="s">
        <v>21</v>
      </c>
      <c r="J494" s="1" t="s">
        <v>151</v>
      </c>
      <c r="K494" s="1" t="s">
        <v>151</v>
      </c>
    </row>
    <row r="495" spans="1:11" s="1" customFormat="1">
      <c r="A495" s="4">
        <v>45707</v>
      </c>
      <c r="B495" s="1" t="s">
        <v>21</v>
      </c>
      <c r="C495" s="1">
        <v>0</v>
      </c>
      <c r="D495" s="1">
        <v>0</v>
      </c>
      <c r="E495" s="1">
        <v>0</v>
      </c>
      <c r="F495" s="1">
        <v>0</v>
      </c>
      <c r="G495" s="1" t="s">
        <v>21</v>
      </c>
      <c r="H495" s="1" t="s">
        <v>114</v>
      </c>
      <c r="I495" s="1" t="s">
        <v>114</v>
      </c>
      <c r="J495" s="1" t="s">
        <v>114</v>
      </c>
      <c r="K495" s="1" t="s">
        <v>114</v>
      </c>
    </row>
    <row r="496" spans="1:11" s="1" customFormat="1">
      <c r="A496" s="4">
        <v>45708</v>
      </c>
      <c r="B496" s="1" t="s">
        <v>21</v>
      </c>
      <c r="C496" s="1">
        <v>0</v>
      </c>
      <c r="D496" s="1">
        <v>0</v>
      </c>
      <c r="E496" s="1">
        <v>0</v>
      </c>
      <c r="F496" s="1">
        <v>0</v>
      </c>
      <c r="G496" s="1" t="s">
        <v>21</v>
      </c>
      <c r="H496" s="1" t="s">
        <v>115</v>
      </c>
      <c r="I496" s="1" t="s">
        <v>115</v>
      </c>
      <c r="J496" s="1" t="s">
        <v>115</v>
      </c>
      <c r="K496" s="1" t="s">
        <v>115</v>
      </c>
    </row>
    <row r="497" spans="1:11" s="1" customFormat="1">
      <c r="A497" s="4">
        <v>45709</v>
      </c>
      <c r="B497" s="1" t="s">
        <v>21</v>
      </c>
      <c r="C497" s="1">
        <v>0</v>
      </c>
      <c r="D497" s="1">
        <v>0</v>
      </c>
      <c r="E497" s="1">
        <v>0</v>
      </c>
      <c r="F497" s="1">
        <v>0</v>
      </c>
      <c r="G497" s="1" t="s">
        <v>21</v>
      </c>
      <c r="H497" s="1" t="s">
        <v>21</v>
      </c>
      <c r="I497" s="1" t="s">
        <v>21</v>
      </c>
      <c r="J497" s="1" t="s">
        <v>152</v>
      </c>
      <c r="K497" s="1" t="s">
        <v>168</v>
      </c>
    </row>
    <row r="498" spans="1:11" s="1" customFormat="1">
      <c r="A498" s="4">
        <v>45712</v>
      </c>
      <c r="B498" s="1" t="s">
        <v>21</v>
      </c>
      <c r="C498" s="1">
        <v>0</v>
      </c>
      <c r="D498" s="1">
        <v>0</v>
      </c>
      <c r="E498" s="1">
        <v>0</v>
      </c>
      <c r="F498" s="1">
        <v>0</v>
      </c>
      <c r="G498" s="1" t="s">
        <v>21</v>
      </c>
      <c r="H498" s="1">
        <v>0</v>
      </c>
      <c r="I498" s="1">
        <v>0</v>
      </c>
      <c r="J498" s="1">
        <v>0</v>
      </c>
      <c r="K498" s="1">
        <v>0</v>
      </c>
    </row>
    <row r="499" spans="1:11" s="1" customFormat="1">
      <c r="A499" s="4">
        <v>45713</v>
      </c>
      <c r="B499" s="1" t="s">
        <v>21</v>
      </c>
      <c r="C499" s="1">
        <v>0</v>
      </c>
      <c r="D499" s="1">
        <v>0</v>
      </c>
      <c r="E499" s="1">
        <v>0</v>
      </c>
      <c r="F499" s="1">
        <v>0</v>
      </c>
      <c r="G499" s="1" t="s">
        <v>21</v>
      </c>
      <c r="H499" s="1">
        <v>0</v>
      </c>
      <c r="I499" s="1">
        <v>0</v>
      </c>
      <c r="J499" s="1">
        <v>0</v>
      </c>
      <c r="K499" s="1">
        <v>0</v>
      </c>
    </row>
    <row r="500" spans="1:11" s="1" customFormat="1">
      <c r="A500" s="4">
        <v>45714</v>
      </c>
      <c r="B500" s="1" t="s">
        <v>21</v>
      </c>
      <c r="C500" s="1">
        <v>0</v>
      </c>
      <c r="D500" s="1">
        <v>0</v>
      </c>
      <c r="E500" s="1">
        <v>0</v>
      </c>
      <c r="F500" s="1">
        <v>0</v>
      </c>
      <c r="G500" s="1" t="s">
        <v>21</v>
      </c>
      <c r="H500" s="1">
        <v>0</v>
      </c>
      <c r="I500" s="1">
        <v>0</v>
      </c>
      <c r="J500" s="1">
        <v>0</v>
      </c>
      <c r="K500" s="1">
        <v>0</v>
      </c>
    </row>
    <row r="501" spans="1:11" s="1" customFormat="1">
      <c r="A501" s="4">
        <v>45715</v>
      </c>
      <c r="B501" s="1" t="s">
        <v>21</v>
      </c>
      <c r="C501" s="1">
        <v>0</v>
      </c>
      <c r="D501" s="1">
        <v>0</v>
      </c>
      <c r="E501" s="1">
        <v>0</v>
      </c>
      <c r="F501" s="1">
        <v>0</v>
      </c>
      <c r="G501" s="1" t="s">
        <v>21</v>
      </c>
      <c r="H501" s="1">
        <v>0</v>
      </c>
      <c r="I501" s="1">
        <v>0</v>
      </c>
      <c r="J501" s="1">
        <v>0</v>
      </c>
      <c r="K501" s="1">
        <v>0</v>
      </c>
    </row>
    <row r="502" spans="1:11" s="1" customFormat="1">
      <c r="A502" s="4">
        <v>45716</v>
      </c>
      <c r="B502" s="1" t="s">
        <v>21</v>
      </c>
      <c r="C502" s="1">
        <v>0</v>
      </c>
      <c r="D502" s="1">
        <v>0</v>
      </c>
      <c r="E502" s="1">
        <v>0</v>
      </c>
      <c r="F502" s="1">
        <v>0</v>
      </c>
      <c r="G502" s="1" t="s">
        <v>21</v>
      </c>
      <c r="H502" s="1">
        <v>0</v>
      </c>
      <c r="I502" s="1">
        <v>0</v>
      </c>
      <c r="J502" s="1">
        <v>0</v>
      </c>
      <c r="K502" s="1">
        <v>0</v>
      </c>
    </row>
    <row r="503" spans="1:11" s="1" customFormat="1">
      <c r="A503" s="4">
        <v>45719</v>
      </c>
      <c r="B503" s="1" t="s">
        <v>21</v>
      </c>
      <c r="C503" s="1">
        <v>0</v>
      </c>
      <c r="D503" s="1">
        <v>0</v>
      </c>
      <c r="E503" s="1">
        <v>0</v>
      </c>
      <c r="F503" s="1">
        <v>0</v>
      </c>
      <c r="G503" s="1" t="s">
        <v>21</v>
      </c>
      <c r="H503" s="1">
        <v>0</v>
      </c>
      <c r="I503" s="1">
        <v>0</v>
      </c>
      <c r="J503" s="1">
        <v>0</v>
      </c>
      <c r="K503" s="1">
        <v>0</v>
      </c>
    </row>
    <row r="504" spans="1:11" s="1" customFormat="1">
      <c r="A504" s="4">
        <v>45720</v>
      </c>
      <c r="B504" s="1" t="s">
        <v>21</v>
      </c>
      <c r="C504" s="1" t="s">
        <v>21</v>
      </c>
      <c r="D504" s="1" t="s">
        <v>21</v>
      </c>
      <c r="E504" s="1" t="s">
        <v>21</v>
      </c>
      <c r="F504" s="1" t="s">
        <v>21</v>
      </c>
      <c r="G504" s="1" t="s">
        <v>21</v>
      </c>
      <c r="H504" s="1">
        <v>0</v>
      </c>
      <c r="I504" s="1">
        <v>0</v>
      </c>
      <c r="J504" s="1">
        <v>0</v>
      </c>
      <c r="K504" s="1">
        <v>0</v>
      </c>
    </row>
    <row r="505" spans="1:11" s="1" customFormat="1">
      <c r="A505" s="4">
        <v>45721</v>
      </c>
      <c r="B505" s="1" t="s">
        <v>21</v>
      </c>
      <c r="C505" s="1" t="s">
        <v>21</v>
      </c>
      <c r="D505" s="1" t="s">
        <v>21</v>
      </c>
      <c r="E505" s="1" t="s">
        <v>21</v>
      </c>
      <c r="F505" s="1" t="s">
        <v>21</v>
      </c>
      <c r="G505" s="1" t="s">
        <v>21</v>
      </c>
      <c r="H505" s="1">
        <v>0</v>
      </c>
      <c r="I505" s="1">
        <v>0</v>
      </c>
      <c r="J505" s="1">
        <v>0</v>
      </c>
      <c r="K505" s="1">
        <v>0</v>
      </c>
    </row>
    <row r="506" spans="1:11" s="1" customFormat="1">
      <c r="A506" s="4">
        <v>45722</v>
      </c>
      <c r="B506" s="1" t="s">
        <v>21</v>
      </c>
      <c r="C506" s="1" t="s">
        <v>21</v>
      </c>
      <c r="D506" s="1" t="s">
        <v>21</v>
      </c>
      <c r="E506" s="1" t="s">
        <v>21</v>
      </c>
      <c r="F506" s="1" t="s">
        <v>21</v>
      </c>
      <c r="G506" s="1" t="s">
        <v>21</v>
      </c>
      <c r="H506" s="1">
        <v>0</v>
      </c>
      <c r="I506" s="1">
        <v>0</v>
      </c>
      <c r="J506" s="1">
        <v>0</v>
      </c>
      <c r="K506" s="1">
        <v>0</v>
      </c>
    </row>
    <row r="507" spans="1:11" s="1" customFormat="1">
      <c r="A507" s="4">
        <v>45723</v>
      </c>
      <c r="B507" s="1" t="s">
        <v>21</v>
      </c>
      <c r="C507" s="1" t="s">
        <v>21</v>
      </c>
      <c r="D507" s="1" t="s">
        <v>21</v>
      </c>
      <c r="E507" s="1" t="s">
        <v>21</v>
      </c>
      <c r="F507" s="1" t="s">
        <v>21</v>
      </c>
      <c r="G507" s="1" t="s">
        <v>21</v>
      </c>
      <c r="H507" s="1">
        <v>0</v>
      </c>
      <c r="I507" s="1">
        <v>0</v>
      </c>
      <c r="J507" s="1">
        <v>0</v>
      </c>
      <c r="K507" s="1">
        <v>0</v>
      </c>
    </row>
    <row r="508" spans="1:11" s="1" customFormat="1">
      <c r="A508" s="4">
        <v>45726</v>
      </c>
      <c r="B508" s="1" t="s">
        <v>21</v>
      </c>
      <c r="C508" s="1" t="s">
        <v>21</v>
      </c>
      <c r="D508" s="1" t="s">
        <v>21</v>
      </c>
      <c r="E508" s="1" t="s">
        <v>21</v>
      </c>
      <c r="F508" s="1" t="s">
        <v>21</v>
      </c>
      <c r="G508" s="1" t="s">
        <v>21</v>
      </c>
      <c r="H508" s="1">
        <v>0</v>
      </c>
      <c r="I508" s="1">
        <v>0</v>
      </c>
      <c r="J508" s="1">
        <v>0</v>
      </c>
      <c r="K508" s="1">
        <v>0</v>
      </c>
    </row>
    <row r="509" spans="1:11" s="1" customFormat="1">
      <c r="A509" s="4">
        <v>45727</v>
      </c>
      <c r="B509" s="1" t="s">
        <v>21</v>
      </c>
      <c r="C509" s="1" t="s">
        <v>21</v>
      </c>
      <c r="D509" s="1" t="s">
        <v>21</v>
      </c>
      <c r="E509" s="1" t="s">
        <v>21</v>
      </c>
      <c r="F509" s="1" t="s">
        <v>21</v>
      </c>
      <c r="G509" s="1" t="s">
        <v>21</v>
      </c>
      <c r="H509" s="1">
        <v>0</v>
      </c>
      <c r="I509" s="1">
        <v>0</v>
      </c>
      <c r="J509" s="1">
        <v>0</v>
      </c>
      <c r="K509" s="1">
        <v>0</v>
      </c>
    </row>
    <row r="510" spans="1:11" s="1" customFormat="1">
      <c r="A510" s="4">
        <v>45728</v>
      </c>
      <c r="B510" s="1" t="s">
        <v>21</v>
      </c>
      <c r="C510" s="1" t="s">
        <v>21</v>
      </c>
      <c r="D510" s="1" t="s">
        <v>21</v>
      </c>
      <c r="E510" s="1" t="s">
        <v>21</v>
      </c>
      <c r="F510" s="1" t="s">
        <v>21</v>
      </c>
      <c r="G510" s="1" t="s">
        <v>21</v>
      </c>
      <c r="H510" s="1">
        <v>0</v>
      </c>
      <c r="I510" s="1">
        <v>0</v>
      </c>
      <c r="J510" s="1">
        <v>0</v>
      </c>
      <c r="K510" s="1">
        <v>0</v>
      </c>
    </row>
    <row r="511" spans="1:11" s="1" customFormat="1">
      <c r="A511" s="4">
        <v>45729</v>
      </c>
      <c r="B511" s="1" t="s">
        <v>21</v>
      </c>
      <c r="C511" s="1" t="s">
        <v>21</v>
      </c>
      <c r="D511" s="1" t="s">
        <v>21</v>
      </c>
      <c r="E511" s="1" t="s">
        <v>21</v>
      </c>
      <c r="F511" s="1" t="s">
        <v>21</v>
      </c>
      <c r="G511" s="1" t="s">
        <v>21</v>
      </c>
      <c r="H511" s="1">
        <v>0</v>
      </c>
      <c r="I511" s="1">
        <v>0</v>
      </c>
      <c r="J511" s="1">
        <v>0</v>
      </c>
      <c r="K511" s="1">
        <v>0</v>
      </c>
    </row>
    <row r="512" spans="1:11" s="1" customFormat="1">
      <c r="A512" s="4">
        <v>45730</v>
      </c>
      <c r="B512" s="1" t="s">
        <v>21</v>
      </c>
      <c r="C512" s="1" t="s">
        <v>21</v>
      </c>
      <c r="D512" s="1" t="s">
        <v>21</v>
      </c>
      <c r="E512" s="1" t="s">
        <v>21</v>
      </c>
      <c r="F512" s="1" t="s">
        <v>21</v>
      </c>
      <c r="G512" s="1" t="s">
        <v>21</v>
      </c>
      <c r="H512" s="1">
        <v>0</v>
      </c>
      <c r="I512" s="1">
        <v>0</v>
      </c>
      <c r="J512" s="1">
        <v>0</v>
      </c>
      <c r="K512" s="1">
        <v>0</v>
      </c>
    </row>
    <row r="513" spans="1:11" s="1" customFormat="1">
      <c r="A513" s="4">
        <v>45733</v>
      </c>
      <c r="B513" s="1" t="s">
        <v>21</v>
      </c>
      <c r="C513" s="1" t="s">
        <v>21</v>
      </c>
      <c r="D513" s="1" t="s">
        <v>21</v>
      </c>
      <c r="E513" s="1" t="s">
        <v>21</v>
      </c>
      <c r="F513" s="1" t="s">
        <v>21</v>
      </c>
      <c r="G513" s="1" t="s">
        <v>21</v>
      </c>
      <c r="H513" s="1" t="s">
        <v>21</v>
      </c>
      <c r="I513" s="1" t="s">
        <v>21</v>
      </c>
      <c r="J513" s="1" t="s">
        <v>21</v>
      </c>
      <c r="K513" s="1" t="s">
        <v>21</v>
      </c>
    </row>
    <row r="514" spans="1:11" s="1" customFormat="1">
      <c r="A514" s="4">
        <v>45734</v>
      </c>
      <c r="B514" s="1" t="s">
        <v>21</v>
      </c>
      <c r="C514" s="1">
        <v>0</v>
      </c>
      <c r="D514" s="1">
        <v>0</v>
      </c>
      <c r="E514" s="1">
        <v>0</v>
      </c>
      <c r="F514" s="1">
        <v>0</v>
      </c>
      <c r="G514" s="1" t="s">
        <v>21</v>
      </c>
      <c r="H514" s="1" t="s">
        <v>21</v>
      </c>
      <c r="I514" s="1" t="s">
        <v>21</v>
      </c>
      <c r="J514" s="1" t="s">
        <v>21</v>
      </c>
      <c r="K514" s="1" t="s">
        <v>21</v>
      </c>
    </row>
    <row r="515" spans="1:11" s="1" customFormat="1">
      <c r="A515" s="4">
        <v>45735</v>
      </c>
      <c r="B515" s="1" t="s">
        <v>21</v>
      </c>
      <c r="C515" s="1">
        <v>0</v>
      </c>
      <c r="D515" s="1">
        <v>0</v>
      </c>
      <c r="E515" s="1">
        <v>0</v>
      </c>
      <c r="F515" s="1">
        <v>0</v>
      </c>
      <c r="G515" s="1" t="s">
        <v>21</v>
      </c>
      <c r="H515" s="1" t="s">
        <v>21</v>
      </c>
      <c r="I515" s="1" t="s">
        <v>21</v>
      </c>
      <c r="J515" s="1" t="s">
        <v>21</v>
      </c>
      <c r="K515" s="1" t="s">
        <v>21</v>
      </c>
    </row>
    <row r="516" spans="1:11" s="1" customFormat="1">
      <c r="A516" s="4">
        <v>45736</v>
      </c>
      <c r="B516" s="1" t="s">
        <v>21</v>
      </c>
      <c r="C516" s="1">
        <v>0</v>
      </c>
      <c r="D516" s="1">
        <v>0</v>
      </c>
      <c r="E516" s="1">
        <v>0</v>
      </c>
      <c r="F516" s="1">
        <v>0</v>
      </c>
      <c r="G516" s="1" t="s">
        <v>21</v>
      </c>
      <c r="H516" s="1" t="s">
        <v>21</v>
      </c>
      <c r="I516" s="1" t="s">
        <v>21</v>
      </c>
      <c r="J516" s="1" t="s">
        <v>153</v>
      </c>
      <c r="K516" s="1" t="s">
        <v>153</v>
      </c>
    </row>
    <row r="517" spans="1:11" s="1" customFormat="1">
      <c r="A517" s="4">
        <v>45737</v>
      </c>
      <c r="B517" s="1" t="s">
        <v>21</v>
      </c>
      <c r="C517" s="1">
        <v>0</v>
      </c>
      <c r="D517" s="1">
        <v>0</v>
      </c>
      <c r="E517" s="1">
        <v>0</v>
      </c>
      <c r="F517" s="1">
        <v>0</v>
      </c>
      <c r="G517" s="1" t="s">
        <v>21</v>
      </c>
      <c r="H517" s="1" t="s">
        <v>116</v>
      </c>
      <c r="I517" s="1" t="s">
        <v>104</v>
      </c>
      <c r="J517" s="1" t="s">
        <v>104</v>
      </c>
      <c r="K517" s="1" t="s">
        <v>104</v>
      </c>
    </row>
    <row r="518" spans="1:11" s="1" customFormat="1">
      <c r="A518" s="4">
        <v>45740</v>
      </c>
      <c r="B518" s="1" t="s">
        <v>21</v>
      </c>
      <c r="C518" s="1">
        <v>0</v>
      </c>
      <c r="D518" s="1">
        <v>0</v>
      </c>
      <c r="E518" s="1">
        <v>0</v>
      </c>
      <c r="F518" s="1">
        <v>0</v>
      </c>
      <c r="G518" s="1" t="s">
        <v>21</v>
      </c>
      <c r="H518" s="1" t="s">
        <v>21</v>
      </c>
      <c r="I518" s="1" t="s">
        <v>21</v>
      </c>
      <c r="J518" s="1" t="s">
        <v>154</v>
      </c>
      <c r="K518" s="1" t="s">
        <v>154</v>
      </c>
    </row>
    <row r="519" spans="1:11" s="1" customFormat="1">
      <c r="A519" s="4">
        <v>45741</v>
      </c>
      <c r="B519" s="1" t="s">
        <v>21</v>
      </c>
      <c r="C519" s="1">
        <v>0</v>
      </c>
      <c r="D519" s="1">
        <v>0</v>
      </c>
      <c r="E519" s="1">
        <v>0</v>
      </c>
      <c r="F519" s="1">
        <v>0</v>
      </c>
      <c r="G519" s="1" t="s">
        <v>21</v>
      </c>
      <c r="H519" s="1">
        <v>0</v>
      </c>
      <c r="I519" s="1">
        <v>0</v>
      </c>
      <c r="J519" s="1">
        <v>0</v>
      </c>
      <c r="K519" s="1">
        <v>0</v>
      </c>
    </row>
    <row r="520" spans="1:11" s="1" customFormat="1">
      <c r="A520" s="4">
        <v>45742</v>
      </c>
      <c r="B520" s="1" t="s">
        <v>21</v>
      </c>
      <c r="C520" s="1">
        <v>0</v>
      </c>
      <c r="D520" s="1">
        <v>0</v>
      </c>
      <c r="E520" s="1">
        <v>0</v>
      </c>
      <c r="F520" s="1">
        <v>0</v>
      </c>
      <c r="G520" s="1" t="s">
        <v>21</v>
      </c>
      <c r="H520" s="1">
        <v>0</v>
      </c>
      <c r="I520" s="1">
        <v>0</v>
      </c>
      <c r="J520" s="1">
        <v>0</v>
      </c>
      <c r="K520" s="1">
        <v>0</v>
      </c>
    </row>
    <row r="521" spans="1:11" s="1" customFormat="1">
      <c r="A521" s="4">
        <v>45743</v>
      </c>
      <c r="B521" s="1" t="s">
        <v>21</v>
      </c>
      <c r="C521" s="1">
        <v>0</v>
      </c>
      <c r="D521" s="1">
        <v>0</v>
      </c>
      <c r="E521" s="1">
        <v>0</v>
      </c>
      <c r="F521" s="1">
        <v>0</v>
      </c>
      <c r="G521" s="1" t="s">
        <v>21</v>
      </c>
      <c r="H521" s="1">
        <v>0</v>
      </c>
      <c r="I521" s="1">
        <v>0</v>
      </c>
      <c r="J521" s="1">
        <v>0</v>
      </c>
      <c r="K521" s="1">
        <v>0</v>
      </c>
    </row>
    <row r="522" spans="1:11" s="1" customFormat="1">
      <c r="A522" s="4">
        <v>45744</v>
      </c>
      <c r="B522" s="1" t="s">
        <v>21</v>
      </c>
      <c r="C522" s="1">
        <v>0</v>
      </c>
      <c r="D522" s="1">
        <v>0</v>
      </c>
      <c r="E522" s="1">
        <v>0</v>
      </c>
      <c r="F522" s="1">
        <v>0</v>
      </c>
      <c r="G522" s="1" t="s">
        <v>21</v>
      </c>
      <c r="H522" s="1">
        <v>0</v>
      </c>
      <c r="I522" s="1">
        <v>0</v>
      </c>
      <c r="J522" s="1">
        <v>0</v>
      </c>
      <c r="K522" s="1">
        <v>0</v>
      </c>
    </row>
    <row r="523" spans="1:11" s="1" customFormat="1">
      <c r="A523" s="4">
        <v>45747</v>
      </c>
      <c r="B523" s="1" t="s">
        <v>21</v>
      </c>
      <c r="C523" s="1">
        <v>0</v>
      </c>
      <c r="D523" s="1">
        <v>0</v>
      </c>
      <c r="E523" s="1">
        <v>0</v>
      </c>
      <c r="F523" s="1">
        <v>0</v>
      </c>
      <c r="G523" s="1" t="s">
        <v>21</v>
      </c>
      <c r="H523" s="1">
        <v>0</v>
      </c>
      <c r="I523" s="1">
        <v>0</v>
      </c>
      <c r="J523" s="1">
        <v>0</v>
      </c>
      <c r="K523" s="1">
        <v>0</v>
      </c>
    </row>
    <row r="524" spans="1:11" s="1" customFormat="1">
      <c r="A524" s="4">
        <v>45748</v>
      </c>
      <c r="B524" s="1" t="s">
        <v>21</v>
      </c>
      <c r="C524" s="1">
        <v>0</v>
      </c>
      <c r="D524" s="1">
        <v>0</v>
      </c>
      <c r="E524" s="1">
        <v>0</v>
      </c>
      <c r="F524" s="1">
        <v>0</v>
      </c>
      <c r="G524" s="1" t="s">
        <v>21</v>
      </c>
      <c r="H524" s="1">
        <v>0</v>
      </c>
      <c r="I524" s="1">
        <v>0</v>
      </c>
      <c r="J524" s="1">
        <v>0</v>
      </c>
      <c r="K524" s="1">
        <v>0</v>
      </c>
    </row>
    <row r="525" spans="1:11" s="1" customFormat="1">
      <c r="A525" s="4">
        <v>45749</v>
      </c>
      <c r="B525" s="1" t="s">
        <v>21</v>
      </c>
      <c r="C525" s="1">
        <v>0</v>
      </c>
      <c r="D525" s="1">
        <v>0</v>
      </c>
      <c r="E525" s="1">
        <v>0</v>
      </c>
      <c r="F525" s="1">
        <v>0</v>
      </c>
      <c r="G525" s="1" t="s">
        <v>21</v>
      </c>
      <c r="H525" s="1">
        <v>0</v>
      </c>
      <c r="I525" s="1">
        <v>0</v>
      </c>
      <c r="J525" s="1">
        <v>0</v>
      </c>
      <c r="K525" s="1">
        <v>0</v>
      </c>
    </row>
    <row r="526" spans="1:11" s="1" customFormat="1">
      <c r="A526" s="4">
        <v>45750</v>
      </c>
      <c r="B526" s="1" t="s">
        <v>21</v>
      </c>
      <c r="C526" s="1" t="s">
        <v>21</v>
      </c>
      <c r="D526" s="1" t="s">
        <v>21</v>
      </c>
      <c r="E526" s="1" t="s">
        <v>21</v>
      </c>
      <c r="F526" s="1" t="s">
        <v>21</v>
      </c>
      <c r="G526" s="1" t="s">
        <v>21</v>
      </c>
      <c r="H526" s="1">
        <v>0</v>
      </c>
      <c r="I526" s="1">
        <v>0</v>
      </c>
      <c r="J526" s="1">
        <v>0</v>
      </c>
      <c r="K526" s="1">
        <v>0</v>
      </c>
    </row>
    <row r="527" spans="1:11" s="1" customFormat="1">
      <c r="A527" s="4">
        <v>45751</v>
      </c>
      <c r="B527" s="1" t="s">
        <v>21</v>
      </c>
      <c r="C527" s="1" t="s">
        <v>21</v>
      </c>
      <c r="D527" s="1" t="s">
        <v>21</v>
      </c>
      <c r="E527" s="1" t="s">
        <v>21</v>
      </c>
      <c r="F527" s="1" t="s">
        <v>21</v>
      </c>
      <c r="G527" s="1" t="s">
        <v>21</v>
      </c>
      <c r="H527" s="1">
        <v>0</v>
      </c>
      <c r="I527" s="1">
        <v>0</v>
      </c>
      <c r="J527" s="1">
        <v>0</v>
      </c>
      <c r="K527" s="1">
        <v>0</v>
      </c>
    </row>
    <row r="528" spans="1:11" s="1" customFormat="1">
      <c r="A528" s="4">
        <v>45754</v>
      </c>
      <c r="B528" s="1" t="s">
        <v>21</v>
      </c>
      <c r="C528" s="1" t="s">
        <v>33</v>
      </c>
      <c r="D528" s="1" t="s">
        <v>52</v>
      </c>
      <c r="E528" s="1" t="s">
        <v>52</v>
      </c>
      <c r="F528" s="1" t="s">
        <v>52</v>
      </c>
      <c r="G528" s="1" t="s">
        <v>21</v>
      </c>
      <c r="H528" s="1">
        <v>0</v>
      </c>
      <c r="I528" s="1">
        <v>0</v>
      </c>
      <c r="J528" s="1">
        <v>0</v>
      </c>
      <c r="K528" s="1">
        <v>0</v>
      </c>
    </row>
    <row r="529" spans="1:11" s="1" customFormat="1">
      <c r="A529" s="4">
        <v>45755</v>
      </c>
      <c r="B529" s="1" t="s">
        <v>21</v>
      </c>
      <c r="C529" s="1" t="s">
        <v>34</v>
      </c>
      <c r="D529" s="1" t="s">
        <v>21</v>
      </c>
      <c r="E529" s="1" t="s">
        <v>21</v>
      </c>
      <c r="F529" s="1" t="s">
        <v>21</v>
      </c>
      <c r="G529" s="1" t="s">
        <v>21</v>
      </c>
      <c r="H529" s="1">
        <v>0</v>
      </c>
      <c r="I529" s="1">
        <v>0</v>
      </c>
      <c r="J529" s="1">
        <v>0</v>
      </c>
      <c r="K529" s="1">
        <v>0</v>
      </c>
    </row>
    <row r="530" spans="1:11" s="1" customFormat="1">
      <c r="A530" s="4">
        <v>45756</v>
      </c>
      <c r="B530" s="1" t="s">
        <v>21</v>
      </c>
      <c r="C530" s="1" t="s">
        <v>35</v>
      </c>
      <c r="D530" s="1" t="s">
        <v>53</v>
      </c>
      <c r="E530" s="1" t="s">
        <v>53</v>
      </c>
      <c r="F530" s="1" t="s">
        <v>53</v>
      </c>
      <c r="G530" s="1" t="s">
        <v>21</v>
      </c>
      <c r="H530" s="1">
        <v>0</v>
      </c>
      <c r="I530" s="1">
        <v>0</v>
      </c>
      <c r="J530" s="1">
        <v>0</v>
      </c>
      <c r="K530" s="1">
        <v>0</v>
      </c>
    </row>
    <row r="531" spans="1:11" s="1" customFormat="1">
      <c r="A531" s="4">
        <v>45757</v>
      </c>
      <c r="B531" s="1" t="s">
        <v>21</v>
      </c>
      <c r="C531" s="1" t="s">
        <v>21</v>
      </c>
      <c r="D531" s="1" t="s">
        <v>54</v>
      </c>
      <c r="E531" s="1" t="s">
        <v>54</v>
      </c>
      <c r="F531" s="1" t="s">
        <v>54</v>
      </c>
      <c r="G531" s="1" t="s">
        <v>21</v>
      </c>
      <c r="H531" s="1">
        <v>0</v>
      </c>
      <c r="I531" s="1">
        <v>0</v>
      </c>
      <c r="J531" s="1">
        <v>0</v>
      </c>
      <c r="K531" s="1">
        <v>0</v>
      </c>
    </row>
    <row r="532" spans="1:11" s="1" customFormat="1">
      <c r="A532" s="4">
        <v>45758</v>
      </c>
      <c r="B532" s="1" t="s">
        <v>21</v>
      </c>
      <c r="C532" s="1" t="s">
        <v>36</v>
      </c>
      <c r="D532" s="1" t="s">
        <v>36</v>
      </c>
      <c r="E532" s="1" t="s">
        <v>36</v>
      </c>
      <c r="F532" s="1" t="s">
        <v>36</v>
      </c>
      <c r="G532" s="1" t="s">
        <v>21</v>
      </c>
      <c r="H532" s="1">
        <v>0</v>
      </c>
      <c r="I532" s="1">
        <v>0</v>
      </c>
      <c r="J532" s="1">
        <v>0</v>
      </c>
      <c r="K532" s="1">
        <v>0</v>
      </c>
    </row>
    <row r="533" spans="1:11" s="1" customFormat="1">
      <c r="A533" s="4">
        <v>45761</v>
      </c>
      <c r="B533" s="1" t="s">
        <v>21</v>
      </c>
      <c r="C533" s="1" t="s">
        <v>21</v>
      </c>
      <c r="D533" s="1" t="s">
        <v>21</v>
      </c>
      <c r="E533" s="1" t="s">
        <v>21</v>
      </c>
      <c r="F533" s="1" t="s">
        <v>21</v>
      </c>
      <c r="G533" s="1" t="s">
        <v>21</v>
      </c>
      <c r="H533" s="1">
        <v>0</v>
      </c>
      <c r="I533" s="1">
        <v>0</v>
      </c>
      <c r="J533" s="1">
        <v>0</v>
      </c>
      <c r="K533" s="1">
        <v>0</v>
      </c>
    </row>
    <row r="534" spans="1:11" s="1" customFormat="1">
      <c r="A534" s="4">
        <v>45762</v>
      </c>
      <c r="B534" s="1" t="s">
        <v>21</v>
      </c>
      <c r="C534" s="1" t="s">
        <v>37</v>
      </c>
      <c r="D534" s="1" t="s">
        <v>37</v>
      </c>
      <c r="E534" s="1" t="s">
        <v>37</v>
      </c>
      <c r="F534" s="1" t="s">
        <v>37</v>
      </c>
      <c r="G534" s="1" t="s">
        <v>21</v>
      </c>
      <c r="H534" s="1" t="s">
        <v>117</v>
      </c>
      <c r="I534" s="1" t="s">
        <v>117</v>
      </c>
      <c r="J534" s="1" t="s">
        <v>117</v>
      </c>
      <c r="K534" s="1" t="s">
        <v>117</v>
      </c>
    </row>
    <row r="535" spans="1:11" s="1" customFormat="1">
      <c r="A535" s="4">
        <v>45763</v>
      </c>
      <c r="B535" s="1" t="s">
        <v>21</v>
      </c>
      <c r="C535" s="1" t="s">
        <v>21</v>
      </c>
      <c r="D535" s="1" t="s">
        <v>21</v>
      </c>
      <c r="E535" s="1" t="s">
        <v>68</v>
      </c>
      <c r="F535" s="1" t="s">
        <v>68</v>
      </c>
      <c r="G535" s="1" t="s">
        <v>21</v>
      </c>
      <c r="H535" s="1" t="s">
        <v>118</v>
      </c>
      <c r="I535" s="1" t="s">
        <v>118</v>
      </c>
      <c r="J535" s="1" t="s">
        <v>118</v>
      </c>
      <c r="K535" s="1" t="s">
        <v>118</v>
      </c>
    </row>
    <row r="536" spans="1:11" s="1" customFormat="1">
      <c r="A536" s="4">
        <v>45764</v>
      </c>
      <c r="B536" s="1" t="s">
        <v>21</v>
      </c>
      <c r="C536" s="1">
        <v>0</v>
      </c>
      <c r="D536" s="1">
        <v>0</v>
      </c>
      <c r="E536" s="1">
        <v>0</v>
      </c>
      <c r="F536" s="1">
        <v>0</v>
      </c>
      <c r="G536" s="1" t="s">
        <v>21</v>
      </c>
      <c r="H536" s="1" t="s">
        <v>119</v>
      </c>
      <c r="I536" s="1" t="s">
        <v>119</v>
      </c>
      <c r="J536" s="1" t="s">
        <v>119</v>
      </c>
      <c r="K536" s="1" t="s">
        <v>119</v>
      </c>
    </row>
    <row r="537" spans="1:11" s="1" customFormat="1">
      <c r="A537" s="4">
        <v>45768</v>
      </c>
      <c r="B537" s="1" t="s">
        <v>21</v>
      </c>
      <c r="C537" s="1">
        <v>0</v>
      </c>
      <c r="D537" s="1">
        <v>0</v>
      </c>
      <c r="E537" s="1">
        <v>0</v>
      </c>
      <c r="F537" s="1">
        <v>0</v>
      </c>
      <c r="G537" s="1" t="s">
        <v>21</v>
      </c>
      <c r="H537" s="1" t="s">
        <v>21</v>
      </c>
      <c r="I537" s="1" t="s">
        <v>21</v>
      </c>
      <c r="J537" s="1" t="s">
        <v>21</v>
      </c>
      <c r="K537" s="1" t="s">
        <v>21</v>
      </c>
    </row>
    <row r="538" spans="1:11" s="1" customFormat="1">
      <c r="A538" s="4">
        <v>45769</v>
      </c>
      <c r="B538" s="1" t="s">
        <v>21</v>
      </c>
      <c r="C538" s="1">
        <v>0</v>
      </c>
      <c r="D538" s="1">
        <v>0</v>
      </c>
      <c r="E538" s="1">
        <v>0</v>
      </c>
      <c r="F538" s="1">
        <v>0</v>
      </c>
      <c r="G538" s="1" t="s">
        <v>21</v>
      </c>
      <c r="H538" s="1" t="s">
        <v>21</v>
      </c>
      <c r="I538" s="1" t="s">
        <v>135</v>
      </c>
      <c r="J538" s="1" t="s">
        <v>135</v>
      </c>
      <c r="K538" s="1" t="s">
        <v>135</v>
      </c>
    </row>
    <row r="539" spans="1:11" s="1" customFormat="1">
      <c r="A539" s="4">
        <v>45770</v>
      </c>
      <c r="B539" s="1" t="s">
        <v>21</v>
      </c>
      <c r="C539" s="1">
        <v>0</v>
      </c>
      <c r="D539" s="1">
        <v>0</v>
      </c>
      <c r="E539" s="1">
        <v>0</v>
      </c>
      <c r="F539" s="1">
        <v>0</v>
      </c>
      <c r="G539" s="1" t="s">
        <v>21</v>
      </c>
      <c r="H539" s="1" t="s">
        <v>21</v>
      </c>
      <c r="I539" s="1" t="s">
        <v>136</v>
      </c>
      <c r="J539" s="1" t="s">
        <v>27</v>
      </c>
      <c r="K539" s="1" t="s">
        <v>169</v>
      </c>
    </row>
    <row r="540" spans="1:11" s="1" customFormat="1">
      <c r="A540" s="4">
        <v>45771</v>
      </c>
      <c r="B540" s="1" t="s">
        <v>21</v>
      </c>
      <c r="C540" s="1">
        <v>0</v>
      </c>
      <c r="D540" s="1">
        <v>0</v>
      </c>
      <c r="E540" s="1">
        <v>0</v>
      </c>
      <c r="F540" s="1">
        <v>0</v>
      </c>
      <c r="G540" s="1" t="s">
        <v>21</v>
      </c>
      <c r="H540" s="1">
        <v>0</v>
      </c>
      <c r="I540" s="1">
        <v>0</v>
      </c>
      <c r="J540" s="1">
        <v>0</v>
      </c>
      <c r="K540" s="1">
        <v>0</v>
      </c>
    </row>
    <row r="541" spans="1:11" s="1" customFormat="1">
      <c r="A541" s="4">
        <v>45772</v>
      </c>
      <c r="B541" s="1" t="s">
        <v>21</v>
      </c>
      <c r="C541" s="1">
        <v>0</v>
      </c>
      <c r="D541" s="1">
        <v>0</v>
      </c>
      <c r="E541" s="1">
        <v>0</v>
      </c>
      <c r="F541" s="1">
        <v>0</v>
      </c>
      <c r="G541" s="1" t="s">
        <v>21</v>
      </c>
      <c r="H541" s="1">
        <v>0</v>
      </c>
      <c r="I541" s="1">
        <v>0</v>
      </c>
      <c r="J541" s="1">
        <v>0</v>
      </c>
      <c r="K541" s="1">
        <v>0</v>
      </c>
    </row>
    <row r="542" spans="1:11" s="1" customFormat="1">
      <c r="A542" s="4">
        <v>45775</v>
      </c>
      <c r="B542" s="1" t="s">
        <v>21</v>
      </c>
      <c r="C542" s="1">
        <v>0</v>
      </c>
      <c r="D542" s="1">
        <v>0</v>
      </c>
      <c r="E542" s="1">
        <v>0</v>
      </c>
      <c r="F542" s="1">
        <v>0</v>
      </c>
      <c r="G542" s="1" t="s">
        <v>21</v>
      </c>
      <c r="H542" s="1">
        <v>0</v>
      </c>
      <c r="I542" s="1">
        <v>0</v>
      </c>
      <c r="J542" s="1">
        <v>0</v>
      </c>
      <c r="K542" s="1">
        <v>0</v>
      </c>
    </row>
    <row r="543" spans="1:11" s="1" customFormat="1">
      <c r="A543" s="4">
        <v>45777</v>
      </c>
      <c r="B543" s="1" t="s">
        <v>21</v>
      </c>
      <c r="C543" s="1">
        <v>0</v>
      </c>
      <c r="D543" s="1">
        <v>0</v>
      </c>
      <c r="E543" s="1">
        <v>0</v>
      </c>
      <c r="F543" s="1">
        <v>0</v>
      </c>
      <c r="G543" s="1" t="s">
        <v>21</v>
      </c>
      <c r="H543" s="1">
        <v>0</v>
      </c>
      <c r="I543" s="1">
        <v>0</v>
      </c>
      <c r="J543" s="1">
        <v>0</v>
      </c>
      <c r="K543" s="1">
        <v>0</v>
      </c>
    </row>
    <row r="544" spans="1:11" s="1" customFormat="1">
      <c r="A544" s="4">
        <v>45778</v>
      </c>
      <c r="B544" s="1" t="s">
        <v>21</v>
      </c>
      <c r="C544" s="1">
        <v>0</v>
      </c>
      <c r="D544" s="1">
        <v>0</v>
      </c>
      <c r="E544" s="1">
        <v>0</v>
      </c>
      <c r="F544" s="1">
        <v>0</v>
      </c>
      <c r="G544" s="1" t="s">
        <v>21</v>
      </c>
      <c r="H544" s="1">
        <v>0</v>
      </c>
      <c r="I544" s="1">
        <v>0</v>
      </c>
      <c r="J544" s="1">
        <v>0</v>
      </c>
      <c r="K544" s="1">
        <v>0</v>
      </c>
    </row>
    <row r="545" spans="1:11" s="1" customFormat="1">
      <c r="A545" s="4">
        <v>45779</v>
      </c>
      <c r="B545" s="1" t="s">
        <v>21</v>
      </c>
      <c r="C545" s="1" t="s">
        <v>21</v>
      </c>
      <c r="D545" s="1" t="s">
        <v>21</v>
      </c>
      <c r="E545" s="1" t="s">
        <v>21</v>
      </c>
      <c r="F545" s="1" t="s">
        <v>21</v>
      </c>
      <c r="G545" s="1" t="s">
        <v>21</v>
      </c>
      <c r="H545" s="1">
        <v>0</v>
      </c>
      <c r="I545" s="1">
        <v>0</v>
      </c>
      <c r="J545" s="1">
        <v>0</v>
      </c>
      <c r="K545" s="1">
        <v>0</v>
      </c>
    </row>
    <row r="546" spans="1:11" s="1" customFormat="1">
      <c r="A546" s="4">
        <v>45782</v>
      </c>
      <c r="B546" s="1" t="s">
        <v>21</v>
      </c>
      <c r="C546" s="1" t="s">
        <v>36</v>
      </c>
      <c r="D546" s="1" t="s">
        <v>36</v>
      </c>
      <c r="E546" s="1" t="s">
        <v>36</v>
      </c>
      <c r="F546" s="1" t="s">
        <v>36</v>
      </c>
      <c r="G546" s="1" t="s">
        <v>21</v>
      </c>
      <c r="H546" s="1">
        <v>0</v>
      </c>
      <c r="I546" s="1">
        <v>0</v>
      </c>
      <c r="J546" s="1">
        <v>0</v>
      </c>
      <c r="K546" s="1">
        <v>0</v>
      </c>
    </row>
    <row r="547" spans="1:11" s="1" customFormat="1">
      <c r="A547" s="4">
        <v>45783</v>
      </c>
      <c r="B547" s="1" t="s">
        <v>21</v>
      </c>
      <c r="C547" s="1" t="s">
        <v>21</v>
      </c>
      <c r="D547" s="1" t="s">
        <v>21</v>
      </c>
      <c r="E547" s="1" t="s">
        <v>21</v>
      </c>
      <c r="F547" s="1" t="s">
        <v>21</v>
      </c>
      <c r="G547" s="1" t="s">
        <v>21</v>
      </c>
      <c r="H547" s="1">
        <v>0</v>
      </c>
      <c r="I547" s="1">
        <v>0</v>
      </c>
      <c r="J547" s="1">
        <v>0</v>
      </c>
      <c r="K547" s="1">
        <v>0</v>
      </c>
    </row>
    <row r="548" spans="1:11" s="1" customFormat="1">
      <c r="A548" s="4">
        <v>45784</v>
      </c>
      <c r="B548" s="1" t="s">
        <v>21</v>
      </c>
      <c r="C548" s="1" t="s">
        <v>21</v>
      </c>
      <c r="D548" s="1" t="s">
        <v>21</v>
      </c>
      <c r="E548" s="1" t="s">
        <v>21</v>
      </c>
      <c r="F548" s="1" t="s">
        <v>21</v>
      </c>
      <c r="G548" s="1" t="s">
        <v>21</v>
      </c>
      <c r="H548" s="1">
        <v>0</v>
      </c>
      <c r="I548" s="1">
        <v>0</v>
      </c>
      <c r="J548" s="1">
        <v>0</v>
      </c>
      <c r="K548" s="1">
        <v>0</v>
      </c>
    </row>
    <row r="549" spans="1:11" s="1" customFormat="1">
      <c r="A549" s="4">
        <v>45785</v>
      </c>
      <c r="B549" s="1" t="s">
        <v>21</v>
      </c>
      <c r="C549" s="1" t="s">
        <v>21</v>
      </c>
      <c r="D549" s="1" t="s">
        <v>21</v>
      </c>
      <c r="E549" s="1" t="s">
        <v>21</v>
      </c>
      <c r="F549" s="1" t="s">
        <v>21</v>
      </c>
      <c r="G549" s="1" t="s">
        <v>21</v>
      </c>
      <c r="H549" s="1">
        <v>0</v>
      </c>
      <c r="I549" s="1">
        <v>0</v>
      </c>
      <c r="J549" s="1">
        <v>0</v>
      </c>
      <c r="K549" s="1">
        <v>0</v>
      </c>
    </row>
    <row r="550" spans="1:11" s="1" customFormat="1">
      <c r="A550" s="4">
        <v>45786</v>
      </c>
      <c r="B550" s="1" t="s">
        <v>21</v>
      </c>
      <c r="C550" s="1" t="s">
        <v>21</v>
      </c>
      <c r="D550" s="1" t="s">
        <v>21</v>
      </c>
      <c r="E550" s="1" t="s">
        <v>21</v>
      </c>
      <c r="F550" s="1" t="s">
        <v>21</v>
      </c>
      <c r="G550" s="1" t="s">
        <v>21</v>
      </c>
      <c r="H550" s="1">
        <v>0</v>
      </c>
      <c r="I550" s="1">
        <v>0</v>
      </c>
      <c r="J550" s="1">
        <v>0</v>
      </c>
      <c r="K550" s="1">
        <v>0</v>
      </c>
    </row>
    <row r="551" spans="1:11" s="1" customFormat="1">
      <c r="A551" s="4">
        <v>45789</v>
      </c>
      <c r="B551" s="1" t="s">
        <v>21</v>
      </c>
      <c r="C551" s="1" t="s">
        <v>21</v>
      </c>
      <c r="D551" s="1" t="s">
        <v>21</v>
      </c>
      <c r="E551" s="1" t="s">
        <v>21</v>
      </c>
      <c r="F551" s="1" t="s">
        <v>21</v>
      </c>
      <c r="G551" s="1" t="s">
        <v>21</v>
      </c>
      <c r="H551" s="1">
        <v>0</v>
      </c>
      <c r="I551" s="1">
        <v>0</v>
      </c>
      <c r="J551" s="1">
        <v>0</v>
      </c>
      <c r="K551" s="1">
        <v>0</v>
      </c>
    </row>
    <row r="552" spans="1:11" s="1" customFormat="1">
      <c r="A552" s="4">
        <v>45790</v>
      </c>
      <c r="B552" s="1" t="s">
        <v>21</v>
      </c>
      <c r="C552" s="1" t="s">
        <v>21</v>
      </c>
      <c r="D552" s="1" t="s">
        <v>21</v>
      </c>
      <c r="E552" s="1" t="s">
        <v>21</v>
      </c>
      <c r="F552" s="1" t="s">
        <v>21</v>
      </c>
      <c r="G552" s="1" t="s">
        <v>21</v>
      </c>
      <c r="H552" s="1">
        <v>0</v>
      </c>
      <c r="I552" s="1">
        <v>0</v>
      </c>
      <c r="J552" s="1">
        <v>0</v>
      </c>
      <c r="K552" s="1">
        <v>0</v>
      </c>
    </row>
    <row r="553" spans="1:11" s="1" customFormat="1">
      <c r="A553" s="4">
        <v>45791</v>
      </c>
      <c r="B553" s="1" t="s">
        <v>21</v>
      </c>
      <c r="C553" s="1" t="s">
        <v>21</v>
      </c>
      <c r="D553" s="1" t="s">
        <v>21</v>
      </c>
      <c r="E553" s="1" t="s">
        <v>21</v>
      </c>
      <c r="F553" s="1" t="s">
        <v>21</v>
      </c>
      <c r="G553" s="1" t="s">
        <v>21</v>
      </c>
      <c r="H553" s="1">
        <v>0</v>
      </c>
      <c r="I553" s="1">
        <v>0</v>
      </c>
      <c r="J553" s="1">
        <v>0</v>
      </c>
      <c r="K553" s="1">
        <v>0</v>
      </c>
    </row>
    <row r="554" spans="1:11" s="1" customFormat="1">
      <c r="A554" s="4">
        <v>45792</v>
      </c>
      <c r="B554" s="1" t="s">
        <v>21</v>
      </c>
      <c r="C554" s="1" t="s">
        <v>21</v>
      </c>
      <c r="D554" s="1" t="s">
        <v>21</v>
      </c>
      <c r="E554" s="1" t="s">
        <v>21</v>
      </c>
      <c r="F554" s="1" t="s">
        <v>21</v>
      </c>
      <c r="G554" s="1" t="s">
        <v>21</v>
      </c>
      <c r="H554" s="1">
        <v>0</v>
      </c>
      <c r="I554" s="1">
        <v>0</v>
      </c>
      <c r="J554" s="1">
        <v>0</v>
      </c>
      <c r="K554" s="1">
        <v>0</v>
      </c>
    </row>
    <row r="555" spans="1:11" s="1" customFormat="1">
      <c r="A555" s="4">
        <v>45793</v>
      </c>
      <c r="B555" s="1" t="s">
        <v>21</v>
      </c>
      <c r="C555" s="1">
        <v>0</v>
      </c>
      <c r="D555" s="1">
        <v>0</v>
      </c>
      <c r="E555" s="1">
        <v>0</v>
      </c>
      <c r="F555" s="1">
        <v>0</v>
      </c>
      <c r="G555" s="1" t="s">
        <v>21</v>
      </c>
      <c r="H555" s="1" t="s">
        <v>108</v>
      </c>
      <c r="I555" s="1" t="s">
        <v>108</v>
      </c>
      <c r="J555" s="1" t="s">
        <v>108</v>
      </c>
      <c r="K555" s="1" t="s">
        <v>108</v>
      </c>
    </row>
    <row r="556" spans="1:11" s="1" customFormat="1">
      <c r="A556" s="4">
        <v>45796</v>
      </c>
      <c r="B556" s="1" t="s">
        <v>21</v>
      </c>
      <c r="C556" s="1">
        <v>0</v>
      </c>
      <c r="D556" s="1">
        <v>0</v>
      </c>
      <c r="E556" s="1">
        <v>0</v>
      </c>
      <c r="F556" s="1">
        <v>0</v>
      </c>
      <c r="G556" s="1" t="s">
        <v>21</v>
      </c>
      <c r="H556" s="1" t="s">
        <v>21</v>
      </c>
      <c r="I556" s="1" t="s">
        <v>21</v>
      </c>
      <c r="J556" s="1" t="s">
        <v>21</v>
      </c>
      <c r="K556" s="1" t="s">
        <v>21</v>
      </c>
    </row>
    <row r="557" spans="1:11" s="1" customFormat="1">
      <c r="A557" s="4">
        <v>45797</v>
      </c>
      <c r="B557" s="1" t="s">
        <v>21</v>
      </c>
      <c r="C557" s="1">
        <v>0</v>
      </c>
      <c r="D557" s="1">
        <v>0</v>
      </c>
      <c r="E557" s="1">
        <v>0</v>
      </c>
      <c r="F557" s="1">
        <v>0</v>
      </c>
      <c r="G557" s="1" t="s">
        <v>21</v>
      </c>
      <c r="H557" s="1" t="s">
        <v>21</v>
      </c>
      <c r="I557" s="1" t="s">
        <v>137</v>
      </c>
      <c r="J557" s="1" t="s">
        <v>106</v>
      </c>
      <c r="K557" s="1" t="s">
        <v>106</v>
      </c>
    </row>
    <row r="558" spans="1:11" s="1" customFormat="1">
      <c r="A558" s="4">
        <v>45798</v>
      </c>
      <c r="B558" s="1" t="s">
        <v>21</v>
      </c>
      <c r="C558" s="1">
        <v>0</v>
      </c>
      <c r="D558" s="1">
        <v>0</v>
      </c>
      <c r="E558" s="1">
        <v>0</v>
      </c>
      <c r="F558" s="1">
        <v>0</v>
      </c>
      <c r="G558" s="1" t="s">
        <v>21</v>
      </c>
      <c r="H558" s="1" t="s">
        <v>21</v>
      </c>
      <c r="I558" s="1" t="s">
        <v>22</v>
      </c>
      <c r="J558" s="1" t="s">
        <v>22</v>
      </c>
      <c r="K558" s="1" t="s">
        <v>22</v>
      </c>
    </row>
    <row r="559" spans="1:11" s="1" customFormat="1">
      <c r="A559" s="4">
        <v>45799</v>
      </c>
      <c r="B559" s="1" t="s">
        <v>21</v>
      </c>
      <c r="C559" s="1">
        <v>0</v>
      </c>
      <c r="D559" s="1">
        <v>0</v>
      </c>
      <c r="E559" s="1">
        <v>0</v>
      </c>
      <c r="F559" s="1">
        <v>0</v>
      </c>
      <c r="G559" s="1" t="s">
        <v>21</v>
      </c>
      <c r="H559" s="1" t="s">
        <v>120</v>
      </c>
      <c r="I559" s="1" t="s">
        <v>120</v>
      </c>
      <c r="J559" s="1" t="s">
        <v>120</v>
      </c>
      <c r="K559" s="1" t="s">
        <v>120</v>
      </c>
    </row>
    <row r="560" spans="1:11" s="1" customFormat="1">
      <c r="A560" s="4">
        <v>45800</v>
      </c>
      <c r="B560" s="1" t="s">
        <v>21</v>
      </c>
      <c r="C560" s="1">
        <v>0</v>
      </c>
      <c r="D560" s="1">
        <v>0</v>
      </c>
      <c r="E560" s="1">
        <v>0</v>
      </c>
      <c r="F560" s="1">
        <v>0</v>
      </c>
      <c r="G560" s="1" t="s">
        <v>21</v>
      </c>
      <c r="H560" s="1" t="s">
        <v>21</v>
      </c>
      <c r="I560" s="1" t="s">
        <v>21</v>
      </c>
      <c r="J560" s="1" t="s">
        <v>137</v>
      </c>
      <c r="K560" s="1" t="s">
        <v>137</v>
      </c>
    </row>
    <row r="561" spans="1:11" s="1" customFormat="1">
      <c r="A561" s="4">
        <v>45803</v>
      </c>
      <c r="B561" s="1" t="s">
        <v>21</v>
      </c>
      <c r="C561" s="1">
        <v>0</v>
      </c>
      <c r="D561" s="1">
        <v>0</v>
      </c>
      <c r="E561" s="1">
        <v>0</v>
      </c>
      <c r="F561" s="1">
        <v>0</v>
      </c>
      <c r="G561" s="1" t="s">
        <v>21</v>
      </c>
      <c r="H561" s="1">
        <v>0</v>
      </c>
      <c r="I561" s="1">
        <v>0</v>
      </c>
      <c r="J561" s="1">
        <v>0</v>
      </c>
      <c r="K561" s="1">
        <v>0</v>
      </c>
    </row>
    <row r="562" spans="1:11" s="1" customFormat="1">
      <c r="A562" s="4">
        <v>45804</v>
      </c>
      <c r="B562" s="1" t="s">
        <v>21</v>
      </c>
      <c r="C562" s="1">
        <v>0</v>
      </c>
      <c r="D562" s="1">
        <v>0</v>
      </c>
      <c r="E562" s="1">
        <v>0</v>
      </c>
      <c r="F562" s="1">
        <v>0</v>
      </c>
      <c r="G562" s="1" t="s">
        <v>21</v>
      </c>
      <c r="H562" s="1">
        <v>0</v>
      </c>
      <c r="I562" s="1">
        <v>0</v>
      </c>
      <c r="J562" s="1">
        <v>0</v>
      </c>
      <c r="K562" s="1">
        <v>0</v>
      </c>
    </row>
    <row r="563" spans="1:11" s="1" customFormat="1">
      <c r="A563" s="4">
        <v>45805</v>
      </c>
      <c r="B563" s="1" t="s">
        <v>21</v>
      </c>
      <c r="C563" s="1">
        <v>0</v>
      </c>
      <c r="D563" s="1">
        <v>0</v>
      </c>
      <c r="E563" s="1">
        <v>0</v>
      </c>
      <c r="F563" s="1">
        <v>0</v>
      </c>
      <c r="G563" s="1" t="s">
        <v>21</v>
      </c>
      <c r="H563" s="1">
        <v>0</v>
      </c>
      <c r="I563" s="1">
        <v>0</v>
      </c>
      <c r="J563" s="1">
        <v>0</v>
      </c>
      <c r="K563" s="1">
        <v>0</v>
      </c>
    </row>
    <row r="564" spans="1:11" s="1" customFormat="1">
      <c r="A564" s="4">
        <v>45806</v>
      </c>
      <c r="B564" s="1" t="s">
        <v>21</v>
      </c>
      <c r="C564" s="1">
        <v>0</v>
      </c>
      <c r="D564" s="1">
        <v>0</v>
      </c>
      <c r="E564" s="1">
        <v>0</v>
      </c>
      <c r="F564" s="1">
        <v>0</v>
      </c>
      <c r="G564" s="1" t="s">
        <v>21</v>
      </c>
      <c r="H564" s="1">
        <v>0</v>
      </c>
      <c r="I564" s="1">
        <v>0</v>
      </c>
      <c r="J564" s="1">
        <v>0</v>
      </c>
      <c r="K564" s="1">
        <v>0</v>
      </c>
    </row>
    <row r="565" spans="1:11" s="1" customFormat="1">
      <c r="A565" s="4">
        <v>45807</v>
      </c>
      <c r="B565" s="1" t="s">
        <v>21</v>
      </c>
      <c r="C565" s="1">
        <v>0</v>
      </c>
      <c r="D565" s="1">
        <v>0</v>
      </c>
      <c r="E565" s="1">
        <v>0</v>
      </c>
      <c r="F565" s="1">
        <v>0</v>
      </c>
      <c r="G565" s="1" t="s">
        <v>21</v>
      </c>
      <c r="H565" s="1">
        <v>0</v>
      </c>
      <c r="I565" s="1">
        <v>0</v>
      </c>
      <c r="J565" s="1">
        <v>0</v>
      </c>
      <c r="K565" s="1">
        <v>0</v>
      </c>
    </row>
    <row r="566" spans="1:11" s="1" customFormat="1">
      <c r="A566" s="4">
        <v>45810</v>
      </c>
      <c r="B566" s="1" t="s">
        <v>21</v>
      </c>
      <c r="C566" s="1">
        <v>0</v>
      </c>
      <c r="D566" s="1">
        <v>0</v>
      </c>
      <c r="E566" s="1">
        <v>0</v>
      </c>
      <c r="F566" s="1">
        <v>0</v>
      </c>
      <c r="G566" s="1" t="s">
        <v>21</v>
      </c>
      <c r="H566" s="1">
        <v>0</v>
      </c>
      <c r="I566" s="1">
        <v>0</v>
      </c>
      <c r="J566" s="1">
        <v>0</v>
      </c>
      <c r="K566" s="1">
        <v>0</v>
      </c>
    </row>
    <row r="567" spans="1:11" s="1" customFormat="1">
      <c r="A567" s="4">
        <v>45811</v>
      </c>
      <c r="B567" s="1" t="s">
        <v>21</v>
      </c>
      <c r="C567" s="1" t="s">
        <v>21</v>
      </c>
      <c r="D567" s="1" t="s">
        <v>21</v>
      </c>
      <c r="E567" s="1" t="s">
        <v>21</v>
      </c>
      <c r="F567" s="1" t="s">
        <v>21</v>
      </c>
      <c r="G567" s="1" t="s">
        <v>21</v>
      </c>
      <c r="H567" s="1">
        <v>0</v>
      </c>
      <c r="I567" s="1">
        <v>0</v>
      </c>
      <c r="J567" s="1">
        <v>0</v>
      </c>
      <c r="K567" s="1">
        <v>0</v>
      </c>
    </row>
    <row r="568" spans="1:11" s="1" customFormat="1">
      <c r="A568" s="4">
        <v>45812</v>
      </c>
      <c r="B568" s="1" t="s">
        <v>21</v>
      </c>
      <c r="C568" s="1" t="s">
        <v>21</v>
      </c>
      <c r="D568" s="1" t="s">
        <v>21</v>
      </c>
      <c r="E568" s="1" t="s">
        <v>21</v>
      </c>
      <c r="F568" s="1" t="s">
        <v>21</v>
      </c>
      <c r="G568" s="1" t="s">
        <v>21</v>
      </c>
      <c r="H568" s="1">
        <v>0</v>
      </c>
      <c r="I568" s="1">
        <v>0</v>
      </c>
      <c r="J568" s="1">
        <v>0</v>
      </c>
      <c r="K568" s="1">
        <v>0</v>
      </c>
    </row>
    <row r="569" spans="1:11" s="1" customFormat="1">
      <c r="A569" s="4">
        <v>45813</v>
      </c>
      <c r="B569" s="1" t="s">
        <v>21</v>
      </c>
      <c r="C569" s="1" t="s">
        <v>21</v>
      </c>
      <c r="D569" s="1" t="s">
        <v>21</v>
      </c>
      <c r="E569" s="1" t="s">
        <v>21</v>
      </c>
      <c r="F569" s="1" t="s">
        <v>21</v>
      </c>
      <c r="G569" s="1" t="s">
        <v>21</v>
      </c>
      <c r="H569" s="1">
        <v>0</v>
      </c>
      <c r="I569" s="1">
        <v>0</v>
      </c>
      <c r="J569" s="1">
        <v>0</v>
      </c>
      <c r="K569" s="1">
        <v>0</v>
      </c>
    </row>
    <row r="570" spans="1:11" s="1" customFormat="1">
      <c r="A570" s="4">
        <v>45814</v>
      </c>
      <c r="B570" s="1" t="s">
        <v>21</v>
      </c>
      <c r="C570" s="1" t="s">
        <v>21</v>
      </c>
      <c r="D570" s="1" t="s">
        <v>21</v>
      </c>
      <c r="E570" s="1" t="s">
        <v>21</v>
      </c>
      <c r="F570" s="1" t="s">
        <v>21</v>
      </c>
      <c r="G570" s="1" t="s">
        <v>21</v>
      </c>
      <c r="H570" s="1">
        <v>0</v>
      </c>
      <c r="I570" s="1">
        <v>0</v>
      </c>
      <c r="J570" s="1">
        <v>0</v>
      </c>
      <c r="K570" s="1">
        <v>0</v>
      </c>
    </row>
    <row r="571" spans="1:11" s="1" customFormat="1">
      <c r="A571" s="4">
        <v>45817</v>
      </c>
      <c r="B571" s="1" t="s">
        <v>21</v>
      </c>
      <c r="C571" s="1" t="s">
        <v>21</v>
      </c>
      <c r="D571" s="1" t="s">
        <v>21</v>
      </c>
      <c r="E571" s="1" t="s">
        <v>21</v>
      </c>
      <c r="F571" s="1" t="s">
        <v>21</v>
      </c>
      <c r="G571" s="1" t="s">
        <v>21</v>
      </c>
      <c r="H571" s="1">
        <v>0</v>
      </c>
      <c r="I571" s="1">
        <v>0</v>
      </c>
      <c r="J571" s="1">
        <v>0</v>
      </c>
      <c r="K571" s="1">
        <v>0</v>
      </c>
    </row>
    <row r="572" spans="1:11" s="1" customFormat="1">
      <c r="A572" s="4">
        <v>45818</v>
      </c>
      <c r="B572" s="1" t="s">
        <v>21</v>
      </c>
      <c r="C572" s="1" t="s">
        <v>21</v>
      </c>
      <c r="D572" s="1" t="s">
        <v>21</v>
      </c>
      <c r="E572" s="1" t="s">
        <v>21</v>
      </c>
      <c r="F572" s="1" t="s">
        <v>21</v>
      </c>
      <c r="G572" s="1" t="s">
        <v>21</v>
      </c>
      <c r="H572" s="1">
        <v>0</v>
      </c>
      <c r="I572" s="1">
        <v>0</v>
      </c>
      <c r="J572" s="1">
        <v>0</v>
      </c>
      <c r="K572" s="1">
        <v>0</v>
      </c>
    </row>
    <row r="573" spans="1:11" s="1" customFormat="1">
      <c r="A573" s="4">
        <v>45819</v>
      </c>
      <c r="B573" s="1" t="s">
        <v>21</v>
      </c>
      <c r="C573" s="1" t="s">
        <v>21</v>
      </c>
      <c r="D573" s="1" t="s">
        <v>21</v>
      </c>
      <c r="E573" s="1" t="s">
        <v>21</v>
      </c>
      <c r="F573" s="1" t="s">
        <v>21</v>
      </c>
      <c r="G573" s="1" t="s">
        <v>21</v>
      </c>
      <c r="H573" s="1">
        <v>0</v>
      </c>
      <c r="I573" s="1">
        <v>0</v>
      </c>
      <c r="J573" s="1">
        <v>0</v>
      </c>
      <c r="K573" s="1">
        <v>0</v>
      </c>
    </row>
    <row r="574" spans="1:11" s="1" customFormat="1">
      <c r="A574" s="4">
        <v>45820</v>
      </c>
      <c r="B574" s="1" t="s">
        <v>21</v>
      </c>
      <c r="C574" s="1" t="s">
        <v>21</v>
      </c>
      <c r="D574" s="1" t="s">
        <v>21</v>
      </c>
      <c r="E574" s="1" t="s">
        <v>21</v>
      </c>
      <c r="F574" s="1" t="s">
        <v>21</v>
      </c>
      <c r="G574" s="1" t="s">
        <v>21</v>
      </c>
      <c r="H574" s="1">
        <v>0</v>
      </c>
      <c r="I574" s="1">
        <v>0</v>
      </c>
      <c r="J574" s="1">
        <v>0</v>
      </c>
      <c r="K574" s="1">
        <v>0</v>
      </c>
    </row>
    <row r="575" spans="1:11" s="1" customFormat="1">
      <c r="A575" s="4">
        <v>45821</v>
      </c>
      <c r="B575" s="1" t="s">
        <v>21</v>
      </c>
      <c r="C575" s="1" t="s">
        <v>38</v>
      </c>
      <c r="D575" s="1" t="s">
        <v>38</v>
      </c>
      <c r="E575" s="1" t="s">
        <v>38</v>
      </c>
      <c r="F575" s="1" t="s">
        <v>38</v>
      </c>
      <c r="G575" s="1" t="s">
        <v>21</v>
      </c>
      <c r="H575" s="1">
        <v>0</v>
      </c>
      <c r="I575" s="1">
        <v>0</v>
      </c>
      <c r="J575" s="1">
        <v>0</v>
      </c>
      <c r="K575" s="1">
        <v>0</v>
      </c>
    </row>
    <row r="576" spans="1:11" s="1" customFormat="1">
      <c r="A576" s="4">
        <v>45824</v>
      </c>
      <c r="B576" s="1" t="s">
        <v>21</v>
      </c>
      <c r="C576" s="1" t="s">
        <v>21</v>
      </c>
      <c r="D576" s="1" t="s">
        <v>21</v>
      </c>
      <c r="E576" s="1" t="s">
        <v>21</v>
      </c>
      <c r="F576" s="1" t="s">
        <v>75</v>
      </c>
      <c r="G576" s="1" t="s">
        <v>21</v>
      </c>
      <c r="H576" s="1" t="s">
        <v>21</v>
      </c>
      <c r="I576" s="1" t="s">
        <v>21</v>
      </c>
      <c r="J576" s="1" t="s">
        <v>21</v>
      </c>
      <c r="K576" s="1" t="s">
        <v>21</v>
      </c>
    </row>
    <row r="577" spans="1:11" s="1" customFormat="1">
      <c r="A577" s="4">
        <v>45825</v>
      </c>
      <c r="B577" s="1" t="s">
        <v>21</v>
      </c>
      <c r="C577" s="1">
        <v>0</v>
      </c>
      <c r="D577" s="1">
        <v>0</v>
      </c>
      <c r="E577" s="1">
        <v>0</v>
      </c>
      <c r="F577" s="1">
        <v>0</v>
      </c>
      <c r="G577" s="1" t="s">
        <v>21</v>
      </c>
      <c r="H577" s="1" t="s">
        <v>21</v>
      </c>
      <c r="I577" s="1" t="s">
        <v>21</v>
      </c>
      <c r="J577" s="1" t="s">
        <v>21</v>
      </c>
      <c r="K577" s="1" t="s">
        <v>21</v>
      </c>
    </row>
    <row r="578" spans="1:11" s="1" customFormat="1">
      <c r="A578" s="4">
        <v>45826</v>
      </c>
      <c r="B578" s="1" t="s">
        <v>21</v>
      </c>
      <c r="C578" s="1">
        <v>0</v>
      </c>
      <c r="D578" s="1">
        <v>0</v>
      </c>
      <c r="E578" s="1">
        <v>0</v>
      </c>
      <c r="F578" s="1">
        <v>0</v>
      </c>
      <c r="G578" s="1" t="s">
        <v>21</v>
      </c>
      <c r="H578" s="1" t="s">
        <v>21</v>
      </c>
      <c r="I578" s="1" t="s">
        <v>21</v>
      </c>
      <c r="J578" s="1" t="s">
        <v>21</v>
      </c>
      <c r="K578" s="1" t="s">
        <v>21</v>
      </c>
    </row>
    <row r="579" spans="1:11" s="1" customFormat="1">
      <c r="A579" s="4">
        <v>45827</v>
      </c>
      <c r="B579" s="1" t="s">
        <v>21</v>
      </c>
      <c r="C579" s="1">
        <v>0</v>
      </c>
      <c r="D579" s="1">
        <v>0</v>
      </c>
      <c r="E579" s="1">
        <v>0</v>
      </c>
      <c r="F579" s="1">
        <v>0</v>
      </c>
      <c r="G579" s="1" t="s">
        <v>21</v>
      </c>
      <c r="H579" s="1" t="s">
        <v>21</v>
      </c>
      <c r="I579" s="1" t="s">
        <v>21</v>
      </c>
      <c r="J579" s="1" t="s">
        <v>21</v>
      </c>
      <c r="K579" s="1" t="s">
        <v>21</v>
      </c>
    </row>
    <row r="580" spans="1:11" s="1" customFormat="1">
      <c r="A580" s="4">
        <v>45828</v>
      </c>
      <c r="B580" s="1" t="s">
        <v>21</v>
      </c>
      <c r="C580" s="1">
        <v>0</v>
      </c>
      <c r="D580" s="1">
        <v>0</v>
      </c>
      <c r="E580" s="1">
        <v>0</v>
      </c>
      <c r="F580" s="1">
        <v>0</v>
      </c>
      <c r="G580" s="1" t="s">
        <v>21</v>
      </c>
      <c r="H580" s="1" t="s">
        <v>21</v>
      </c>
      <c r="I580" s="1" t="s">
        <v>21</v>
      </c>
      <c r="J580" s="1" t="s">
        <v>155</v>
      </c>
      <c r="K580" s="1" t="s">
        <v>155</v>
      </c>
    </row>
    <row r="581" spans="1:11" s="1" customFormat="1">
      <c r="A581" s="4">
        <v>45831</v>
      </c>
      <c r="B581" s="1" t="s">
        <v>21</v>
      </c>
      <c r="C581" s="1">
        <v>0</v>
      </c>
      <c r="D581" s="1">
        <v>0</v>
      </c>
      <c r="E581" s="1">
        <v>0</v>
      </c>
      <c r="F581" s="1">
        <v>0</v>
      </c>
      <c r="G581" s="1" t="s">
        <v>21</v>
      </c>
      <c r="H581" s="1" t="s">
        <v>21</v>
      </c>
      <c r="I581" s="1" t="s">
        <v>21</v>
      </c>
      <c r="J581" s="1" t="s">
        <v>21</v>
      </c>
      <c r="K581" s="1" t="s">
        <v>123</v>
      </c>
    </row>
    <row r="582" spans="1:11" s="1" customFormat="1">
      <c r="A582" s="4">
        <v>45832</v>
      </c>
      <c r="B582" s="1" t="s">
        <v>21</v>
      </c>
      <c r="C582" s="1">
        <v>0</v>
      </c>
      <c r="D582" s="1">
        <v>0</v>
      </c>
      <c r="E582" s="1">
        <v>0</v>
      </c>
      <c r="F582" s="1">
        <v>0</v>
      </c>
      <c r="G582" s="1" t="s">
        <v>21</v>
      </c>
      <c r="H582" s="1">
        <v>0</v>
      </c>
      <c r="I582" s="1">
        <v>0</v>
      </c>
      <c r="J582" s="1">
        <v>0</v>
      </c>
      <c r="K582" s="1">
        <v>0</v>
      </c>
    </row>
    <row r="583" spans="1:11" s="1" customFormat="1">
      <c r="A583" s="4">
        <v>45833</v>
      </c>
      <c r="B583" s="1" t="s">
        <v>21</v>
      </c>
      <c r="C583" s="1">
        <v>0</v>
      </c>
      <c r="D583" s="1">
        <v>0</v>
      </c>
      <c r="E583" s="1">
        <v>0</v>
      </c>
      <c r="F583" s="1">
        <v>0</v>
      </c>
      <c r="G583" s="1" t="s">
        <v>21</v>
      </c>
      <c r="H583" s="1">
        <v>0</v>
      </c>
      <c r="I583" s="1">
        <v>0</v>
      </c>
      <c r="J583" s="1">
        <v>0</v>
      </c>
      <c r="K583" s="1">
        <v>0</v>
      </c>
    </row>
    <row r="584" spans="1:11" s="1" customFormat="1">
      <c r="A584" s="4">
        <v>45834</v>
      </c>
      <c r="B584" s="1" t="s">
        <v>21</v>
      </c>
      <c r="C584" s="1">
        <v>0</v>
      </c>
      <c r="D584" s="1">
        <v>0</v>
      </c>
      <c r="E584" s="1">
        <v>0</v>
      </c>
      <c r="F584" s="1">
        <v>0</v>
      </c>
      <c r="G584" s="1" t="s">
        <v>21</v>
      </c>
      <c r="H584" s="1">
        <v>0</v>
      </c>
      <c r="I584" s="1">
        <v>0</v>
      </c>
      <c r="J584" s="1">
        <v>0</v>
      </c>
      <c r="K584" s="1">
        <v>0</v>
      </c>
    </row>
    <row r="585" spans="1:11" s="1" customFormat="1">
      <c r="A585" s="4">
        <v>45835</v>
      </c>
      <c r="B585" s="1" t="s">
        <v>21</v>
      </c>
      <c r="C585" s="1">
        <v>0</v>
      </c>
      <c r="D585" s="1">
        <v>0</v>
      </c>
      <c r="E585" s="1">
        <v>0</v>
      </c>
      <c r="F585" s="1">
        <v>0</v>
      </c>
      <c r="G585" s="1" t="s">
        <v>21</v>
      </c>
      <c r="H585" s="1">
        <v>0</v>
      </c>
      <c r="I585" s="1">
        <v>0</v>
      </c>
      <c r="J585" s="1">
        <v>0</v>
      </c>
      <c r="K585" s="1">
        <v>0</v>
      </c>
    </row>
    <row r="586" spans="1:11" s="1" customFormat="1">
      <c r="A586" s="4">
        <v>45838</v>
      </c>
      <c r="B586" s="1" t="s">
        <v>21</v>
      </c>
      <c r="C586" s="1">
        <v>0</v>
      </c>
      <c r="D586" s="1">
        <v>0</v>
      </c>
      <c r="E586" s="1">
        <v>0</v>
      </c>
      <c r="F586" s="1">
        <v>0</v>
      </c>
      <c r="G586" s="1" t="s">
        <v>21</v>
      </c>
      <c r="H586" s="1">
        <v>0</v>
      </c>
      <c r="I586" s="1">
        <v>0</v>
      </c>
      <c r="J586" s="1">
        <v>0</v>
      </c>
      <c r="K586" s="1">
        <v>0</v>
      </c>
    </row>
    <row r="587" spans="1:11" s="1" customFormat="1">
      <c r="A587" s="4">
        <v>45839</v>
      </c>
      <c r="B587" s="1" t="s">
        <v>21</v>
      </c>
      <c r="C587" s="1">
        <v>0</v>
      </c>
      <c r="D587" s="1">
        <v>0</v>
      </c>
      <c r="E587" s="1">
        <v>0</v>
      </c>
      <c r="F587" s="1">
        <v>0</v>
      </c>
      <c r="G587" s="1" t="s">
        <v>21</v>
      </c>
      <c r="H587" s="1">
        <v>0</v>
      </c>
      <c r="I587" s="1">
        <v>0</v>
      </c>
      <c r="J587" s="1">
        <v>0</v>
      </c>
      <c r="K587" s="1">
        <v>0</v>
      </c>
    </row>
    <row r="588" spans="1:11" s="1" customFormat="1">
      <c r="A588" s="4">
        <v>45840</v>
      </c>
      <c r="B588" s="1" t="s">
        <v>21</v>
      </c>
      <c r="C588" s="1">
        <v>0</v>
      </c>
      <c r="D588" s="1">
        <v>0</v>
      </c>
      <c r="E588" s="1">
        <v>0</v>
      </c>
      <c r="F588" s="1">
        <v>0</v>
      </c>
      <c r="G588" s="1" t="s">
        <v>21</v>
      </c>
      <c r="H588" s="1">
        <v>0</v>
      </c>
      <c r="I588" s="1">
        <v>0</v>
      </c>
      <c r="J588" s="1">
        <v>0</v>
      </c>
      <c r="K588" s="1">
        <v>0</v>
      </c>
    </row>
    <row r="589" spans="1:11" s="1" customFormat="1">
      <c r="A589" s="4">
        <v>45841</v>
      </c>
      <c r="B589" s="1" t="s">
        <v>21</v>
      </c>
      <c r="C589" s="1">
        <v>0</v>
      </c>
      <c r="D589" s="1">
        <v>0</v>
      </c>
      <c r="E589" s="1">
        <v>0</v>
      </c>
      <c r="F589" s="1">
        <v>0</v>
      </c>
      <c r="G589" s="1" t="s">
        <v>21</v>
      </c>
      <c r="H589" s="1">
        <v>0</v>
      </c>
      <c r="I589" s="1">
        <v>0</v>
      </c>
      <c r="J589" s="1">
        <v>0</v>
      </c>
      <c r="K589" s="1">
        <v>0</v>
      </c>
    </row>
    <row r="590" spans="1:11" s="1" customFormat="1">
      <c r="A590" s="4">
        <v>45842</v>
      </c>
      <c r="B590" s="1" t="s">
        <v>21</v>
      </c>
      <c r="C590" s="1" t="s">
        <v>21</v>
      </c>
      <c r="D590" s="1" t="s">
        <v>21</v>
      </c>
      <c r="E590" s="1" t="s">
        <v>21</v>
      </c>
      <c r="F590" s="1" t="s">
        <v>21</v>
      </c>
      <c r="G590" s="1" t="s">
        <v>21</v>
      </c>
      <c r="H590" s="1">
        <v>0</v>
      </c>
      <c r="I590" s="1">
        <v>0</v>
      </c>
      <c r="J590" s="1">
        <v>0</v>
      </c>
      <c r="K590" s="1">
        <v>0</v>
      </c>
    </row>
    <row r="591" spans="1:11" s="1" customFormat="1">
      <c r="A591" s="4">
        <v>45845</v>
      </c>
      <c r="B591" s="1" t="s">
        <v>21</v>
      </c>
      <c r="C591" s="1" t="s">
        <v>21</v>
      </c>
      <c r="D591" s="1" t="s">
        <v>21</v>
      </c>
      <c r="E591" s="1" t="s">
        <v>21</v>
      </c>
      <c r="F591" s="1" t="s">
        <v>21</v>
      </c>
      <c r="G591" s="1" t="s">
        <v>21</v>
      </c>
      <c r="H591" s="1">
        <v>0</v>
      </c>
      <c r="I591" s="1">
        <v>0</v>
      </c>
      <c r="J591" s="1">
        <v>0</v>
      </c>
      <c r="K591" s="1">
        <v>0</v>
      </c>
    </row>
    <row r="592" spans="1:11" s="1" customFormat="1">
      <c r="A592" s="4">
        <v>45846</v>
      </c>
      <c r="B592" s="1" t="s">
        <v>21</v>
      </c>
      <c r="C592" s="1" t="s">
        <v>21</v>
      </c>
      <c r="D592" s="1" t="s">
        <v>21</v>
      </c>
      <c r="E592" s="1" t="s">
        <v>21</v>
      </c>
      <c r="F592" s="1" t="s">
        <v>21</v>
      </c>
      <c r="G592" s="1" t="s">
        <v>21</v>
      </c>
      <c r="H592" s="1">
        <v>0</v>
      </c>
      <c r="I592" s="1">
        <v>0</v>
      </c>
      <c r="J592" s="1">
        <v>0</v>
      </c>
      <c r="K592" s="1">
        <v>0</v>
      </c>
    </row>
    <row r="593" spans="1:11" s="1" customFormat="1">
      <c r="A593" s="4">
        <v>45847</v>
      </c>
      <c r="B593" s="1" t="s">
        <v>21</v>
      </c>
      <c r="C593" s="1" t="s">
        <v>21</v>
      </c>
      <c r="D593" s="1" t="s">
        <v>21</v>
      </c>
      <c r="E593" s="1" t="s">
        <v>21</v>
      </c>
      <c r="F593" s="1" t="s">
        <v>21</v>
      </c>
      <c r="G593" s="1" t="s">
        <v>21</v>
      </c>
      <c r="H593" s="1">
        <v>0</v>
      </c>
      <c r="I593" s="1">
        <v>0</v>
      </c>
      <c r="J593" s="1">
        <v>0</v>
      </c>
      <c r="K593" s="1">
        <v>0</v>
      </c>
    </row>
    <row r="594" spans="1:11" s="1" customFormat="1">
      <c r="A594" s="4">
        <v>45848</v>
      </c>
      <c r="B594" s="1" t="s">
        <v>21</v>
      </c>
      <c r="C594" s="1" t="s">
        <v>21</v>
      </c>
      <c r="D594" s="1" t="s">
        <v>21</v>
      </c>
      <c r="E594" s="1" t="s">
        <v>21</v>
      </c>
      <c r="F594" s="1" t="s">
        <v>21</v>
      </c>
      <c r="G594" s="1" t="s">
        <v>21</v>
      </c>
      <c r="H594" s="1">
        <v>0</v>
      </c>
      <c r="I594" s="1">
        <v>0</v>
      </c>
      <c r="J594" s="1">
        <v>0</v>
      </c>
      <c r="K594" s="1">
        <v>0</v>
      </c>
    </row>
    <row r="595" spans="1:11" s="1" customFormat="1">
      <c r="A595" s="4">
        <v>45849</v>
      </c>
      <c r="B595" s="1" t="s">
        <v>21</v>
      </c>
      <c r="C595" s="1" t="s">
        <v>21</v>
      </c>
      <c r="D595" s="1" t="s">
        <v>21</v>
      </c>
      <c r="E595" s="1" t="s">
        <v>21</v>
      </c>
      <c r="F595" s="1" t="s">
        <v>21</v>
      </c>
      <c r="G595" s="1" t="s">
        <v>21</v>
      </c>
      <c r="H595" s="1">
        <v>0</v>
      </c>
      <c r="I595" s="1">
        <v>0</v>
      </c>
      <c r="J595" s="1">
        <v>0</v>
      </c>
      <c r="K595" s="1">
        <v>0</v>
      </c>
    </row>
    <row r="596" spans="1:11" s="1" customFormat="1">
      <c r="A596" s="4">
        <v>45852</v>
      </c>
      <c r="B596" s="1" t="s">
        <v>21</v>
      </c>
      <c r="C596" s="1" t="s">
        <v>39</v>
      </c>
      <c r="D596" s="1" t="s">
        <v>21</v>
      </c>
      <c r="E596" s="1" t="s">
        <v>21</v>
      </c>
      <c r="F596" s="1" t="s">
        <v>21</v>
      </c>
      <c r="G596" s="1" t="s">
        <v>21</v>
      </c>
      <c r="H596" s="1">
        <v>0</v>
      </c>
      <c r="I596" s="1">
        <v>0</v>
      </c>
      <c r="J596" s="1">
        <v>0</v>
      </c>
      <c r="K596" s="1">
        <v>0</v>
      </c>
    </row>
    <row r="597" spans="1:11" s="1" customFormat="1">
      <c r="A597" s="4">
        <v>45853</v>
      </c>
      <c r="B597" s="1" t="s">
        <v>21</v>
      </c>
      <c r="C597" s="1" t="s">
        <v>21</v>
      </c>
      <c r="D597" s="1" t="s">
        <v>21</v>
      </c>
      <c r="E597" s="1" t="s">
        <v>21</v>
      </c>
      <c r="F597" s="1" t="s">
        <v>21</v>
      </c>
      <c r="G597" s="1" t="s">
        <v>21</v>
      </c>
      <c r="H597" s="1">
        <v>0</v>
      </c>
      <c r="I597" s="1">
        <v>0</v>
      </c>
      <c r="J597" s="1">
        <v>0</v>
      </c>
      <c r="K597" s="1">
        <v>0</v>
      </c>
    </row>
    <row r="598" spans="1:11" s="1" customFormat="1">
      <c r="A598" s="4">
        <v>45854</v>
      </c>
      <c r="B598" s="1" t="s">
        <v>21</v>
      </c>
      <c r="C598" s="1" t="s">
        <v>21</v>
      </c>
      <c r="D598" s="1" t="s">
        <v>21</v>
      </c>
      <c r="E598" s="1" t="s">
        <v>21</v>
      </c>
      <c r="F598" s="1" t="s">
        <v>21</v>
      </c>
      <c r="G598" s="1" t="s">
        <v>21</v>
      </c>
      <c r="H598" s="1">
        <v>0</v>
      </c>
      <c r="I598" s="1">
        <v>0</v>
      </c>
      <c r="J598" s="1">
        <v>0</v>
      </c>
      <c r="K598" s="1">
        <v>0</v>
      </c>
    </row>
    <row r="599" spans="1:11" s="1" customFormat="1">
      <c r="A599" s="4">
        <v>45855</v>
      </c>
      <c r="B599" s="1" t="s">
        <v>21</v>
      </c>
      <c r="C599" s="1" t="s">
        <v>21</v>
      </c>
      <c r="D599" s="1" t="s">
        <v>21</v>
      </c>
      <c r="E599" s="1" t="s">
        <v>21</v>
      </c>
      <c r="F599" s="1" t="s">
        <v>21</v>
      </c>
      <c r="G599" s="1" t="s">
        <v>21</v>
      </c>
      <c r="H599" s="1" t="s">
        <v>21</v>
      </c>
      <c r="I599" s="1" t="s">
        <v>21</v>
      </c>
      <c r="J599" s="1" t="s">
        <v>21</v>
      </c>
      <c r="K599" s="1" t="s">
        <v>21</v>
      </c>
    </row>
    <row r="600" spans="1:11" s="1" customFormat="1">
      <c r="A600" s="4">
        <v>45856</v>
      </c>
      <c r="B600" s="1" t="s">
        <v>21</v>
      </c>
      <c r="C600" s="1">
        <v>0</v>
      </c>
      <c r="D600" s="1">
        <v>0</v>
      </c>
      <c r="E600" s="1">
        <v>0</v>
      </c>
      <c r="F600" s="1">
        <v>0</v>
      </c>
      <c r="G600" s="1" t="s">
        <v>21</v>
      </c>
      <c r="H600" s="1" t="s">
        <v>21</v>
      </c>
      <c r="I600" s="1" t="s">
        <v>21</v>
      </c>
      <c r="J600" s="1" t="s">
        <v>21</v>
      </c>
      <c r="K600" s="1" t="s">
        <v>21</v>
      </c>
    </row>
    <row r="601" spans="1:11" s="1" customFormat="1">
      <c r="A601" s="4">
        <v>45859</v>
      </c>
      <c r="B601" s="1" t="s">
        <v>21</v>
      </c>
      <c r="C601" s="1">
        <v>0</v>
      </c>
      <c r="D601" s="1">
        <v>0</v>
      </c>
      <c r="E601" s="1">
        <v>0</v>
      </c>
      <c r="F601" s="1">
        <v>0</v>
      </c>
      <c r="G601" s="1" t="s">
        <v>21</v>
      </c>
      <c r="H601" s="1" t="s">
        <v>21</v>
      </c>
      <c r="I601" s="1" t="s">
        <v>21</v>
      </c>
      <c r="J601" s="1" t="s">
        <v>21</v>
      </c>
      <c r="K601" s="1" t="s">
        <v>21</v>
      </c>
    </row>
    <row r="602" spans="1:11" s="1" customFormat="1">
      <c r="A602" s="4">
        <v>45860</v>
      </c>
      <c r="B602" s="1" t="s">
        <v>21</v>
      </c>
      <c r="C602" s="1">
        <v>0</v>
      </c>
      <c r="D602" s="1">
        <v>0</v>
      </c>
      <c r="E602" s="1">
        <v>0</v>
      </c>
      <c r="F602" s="1">
        <v>0</v>
      </c>
      <c r="G602" s="1" t="s">
        <v>21</v>
      </c>
      <c r="H602" s="1" t="s">
        <v>21</v>
      </c>
      <c r="I602" s="1" t="s">
        <v>21</v>
      </c>
      <c r="J602" s="1" t="s">
        <v>21</v>
      </c>
      <c r="K602" s="1" t="s">
        <v>21</v>
      </c>
    </row>
    <row r="603" spans="1:11" s="1" customFormat="1">
      <c r="A603" s="4">
        <v>45861</v>
      </c>
      <c r="B603" s="1" t="s">
        <v>21</v>
      </c>
      <c r="C603" s="1">
        <v>0</v>
      </c>
      <c r="D603" s="1">
        <v>0</v>
      </c>
      <c r="E603" s="1">
        <v>0</v>
      </c>
      <c r="F603" s="1">
        <v>0</v>
      </c>
      <c r="G603" s="1" t="s">
        <v>21</v>
      </c>
      <c r="H603" s="1" t="s">
        <v>21</v>
      </c>
      <c r="I603" s="1" t="s">
        <v>21</v>
      </c>
      <c r="J603" s="1" t="s">
        <v>75</v>
      </c>
      <c r="K603" s="1" t="s">
        <v>75</v>
      </c>
    </row>
    <row r="604" spans="1:11" s="1" customFormat="1">
      <c r="A604" s="4">
        <v>45862</v>
      </c>
      <c r="B604" s="1" t="s">
        <v>21</v>
      </c>
      <c r="C604" s="1">
        <v>0</v>
      </c>
      <c r="D604" s="1">
        <v>0</v>
      </c>
      <c r="E604" s="1">
        <v>0</v>
      </c>
      <c r="F604" s="1">
        <v>0</v>
      </c>
      <c r="G604" s="1" t="s">
        <v>21</v>
      </c>
      <c r="H604" s="1" t="s">
        <v>21</v>
      </c>
      <c r="I604" s="1" t="s">
        <v>21</v>
      </c>
      <c r="J604" s="1" t="s">
        <v>156</v>
      </c>
      <c r="K604" s="1" t="s">
        <v>156</v>
      </c>
    </row>
    <row r="605" spans="1:11" s="1" customFormat="1">
      <c r="A605" s="4">
        <v>45863</v>
      </c>
      <c r="B605" s="1" t="s">
        <v>21</v>
      </c>
      <c r="C605" s="1">
        <v>0</v>
      </c>
      <c r="D605" s="1">
        <v>0</v>
      </c>
      <c r="E605" s="1">
        <v>0</v>
      </c>
      <c r="F605" s="1">
        <v>0</v>
      </c>
      <c r="G605" s="1" t="s">
        <v>21</v>
      </c>
      <c r="H605" s="1">
        <v>0</v>
      </c>
      <c r="I605" s="1">
        <v>0</v>
      </c>
      <c r="J605" s="1">
        <v>0</v>
      </c>
      <c r="K605" s="1">
        <v>0</v>
      </c>
    </row>
    <row r="606" spans="1:11" s="1" customFormat="1">
      <c r="A606" s="4">
        <v>45866</v>
      </c>
      <c r="B606" s="1" t="s">
        <v>21</v>
      </c>
      <c r="C606" s="1">
        <v>0</v>
      </c>
      <c r="D606" s="1">
        <v>0</v>
      </c>
      <c r="E606" s="1">
        <v>0</v>
      </c>
      <c r="F606" s="1">
        <v>0</v>
      </c>
      <c r="G606" s="1" t="s">
        <v>21</v>
      </c>
      <c r="H606" s="1">
        <v>0</v>
      </c>
      <c r="I606" s="1">
        <v>0</v>
      </c>
      <c r="J606" s="1">
        <v>0</v>
      </c>
      <c r="K606" s="1">
        <v>0</v>
      </c>
    </row>
    <row r="607" spans="1:11" s="1" customFormat="1">
      <c r="A607" s="4">
        <v>45867</v>
      </c>
      <c r="B607" s="1" t="s">
        <v>21</v>
      </c>
      <c r="C607" s="1">
        <v>0</v>
      </c>
      <c r="D607" s="1">
        <v>0</v>
      </c>
      <c r="E607" s="1">
        <v>0</v>
      </c>
      <c r="F607" s="1">
        <v>0</v>
      </c>
      <c r="G607" s="1" t="s">
        <v>21</v>
      </c>
      <c r="H607" s="1">
        <v>0</v>
      </c>
      <c r="I607" s="1">
        <v>0</v>
      </c>
      <c r="J607" s="1">
        <v>0</v>
      </c>
      <c r="K607" s="1">
        <v>0</v>
      </c>
    </row>
    <row r="608" spans="1:11" s="1" customFormat="1">
      <c r="A608" s="4">
        <v>45868</v>
      </c>
      <c r="B608" s="1" t="s">
        <v>21</v>
      </c>
      <c r="C608" s="1">
        <v>0</v>
      </c>
      <c r="D608" s="1">
        <v>0</v>
      </c>
      <c r="E608" s="1">
        <v>0</v>
      </c>
      <c r="F608" s="1">
        <v>0</v>
      </c>
      <c r="G608" s="1" t="s">
        <v>21</v>
      </c>
      <c r="H608" s="1">
        <v>0</v>
      </c>
      <c r="I608" s="1">
        <v>0</v>
      </c>
      <c r="J608" s="1">
        <v>0</v>
      </c>
      <c r="K608" s="1">
        <v>0</v>
      </c>
    </row>
    <row r="609" spans="1:11" s="1" customFormat="1">
      <c r="A609" s="4">
        <v>45869</v>
      </c>
      <c r="B609" s="1" t="s">
        <v>21</v>
      </c>
      <c r="C609" s="1">
        <v>0</v>
      </c>
      <c r="D609" s="1">
        <v>0</v>
      </c>
      <c r="E609" s="1">
        <v>0</v>
      </c>
      <c r="F609" s="1">
        <v>0</v>
      </c>
      <c r="G609" s="1" t="s">
        <v>21</v>
      </c>
      <c r="H609" s="1">
        <v>0</v>
      </c>
      <c r="I609" s="1">
        <v>0</v>
      </c>
      <c r="J609" s="1">
        <v>0</v>
      </c>
      <c r="K609" s="1">
        <v>0</v>
      </c>
    </row>
    <row r="610" spans="1:11" s="1" customFormat="1">
      <c r="A610" s="4">
        <v>45870</v>
      </c>
      <c r="B610" s="1" t="s">
        <v>21</v>
      </c>
      <c r="C610" s="1" t="s">
        <v>21</v>
      </c>
      <c r="D610" s="1" t="s">
        <v>21</v>
      </c>
      <c r="E610" s="1" t="s">
        <v>21</v>
      </c>
      <c r="F610" s="1" t="s">
        <v>21</v>
      </c>
      <c r="G610" s="1" t="s">
        <v>21</v>
      </c>
      <c r="H610" s="1">
        <v>0</v>
      </c>
      <c r="I610" s="1">
        <v>0</v>
      </c>
      <c r="J610" s="1">
        <v>0</v>
      </c>
      <c r="K610" s="1">
        <v>0</v>
      </c>
    </row>
    <row r="611" spans="1:11" s="1" customFormat="1">
      <c r="A611" s="4">
        <v>45873</v>
      </c>
      <c r="B611" s="1" t="s">
        <v>21</v>
      </c>
      <c r="C611" s="1" t="s">
        <v>21</v>
      </c>
      <c r="D611" s="1" t="s">
        <v>21</v>
      </c>
      <c r="E611" s="1" t="s">
        <v>21</v>
      </c>
      <c r="F611" s="1" t="s">
        <v>21</v>
      </c>
      <c r="G611" s="1" t="s">
        <v>21</v>
      </c>
      <c r="H611" s="1">
        <v>0</v>
      </c>
      <c r="I611" s="1">
        <v>0</v>
      </c>
      <c r="J611" s="1">
        <v>0</v>
      </c>
      <c r="K611" s="1">
        <v>0</v>
      </c>
    </row>
    <row r="612" spans="1:11" s="1" customFormat="1">
      <c r="A612" s="4">
        <v>45874</v>
      </c>
      <c r="B612" s="1" t="s">
        <v>21</v>
      </c>
      <c r="C612" s="1" t="s">
        <v>21</v>
      </c>
      <c r="D612" s="1" t="s">
        <v>21</v>
      </c>
      <c r="E612" s="1" t="s">
        <v>21</v>
      </c>
      <c r="F612" s="1" t="s">
        <v>21</v>
      </c>
      <c r="G612" s="1" t="s">
        <v>21</v>
      </c>
      <c r="H612" s="1">
        <v>0</v>
      </c>
      <c r="I612" s="1">
        <v>0</v>
      </c>
      <c r="J612" s="1">
        <v>0</v>
      </c>
      <c r="K612" s="1">
        <v>0</v>
      </c>
    </row>
    <row r="613" spans="1:11" s="1" customFormat="1">
      <c r="A613" s="4">
        <v>45875</v>
      </c>
      <c r="B613" s="1" t="s">
        <v>21</v>
      </c>
      <c r="C613" s="1" t="s">
        <v>21</v>
      </c>
      <c r="D613" s="1" t="s">
        <v>21</v>
      </c>
      <c r="E613" s="1" t="s">
        <v>21</v>
      </c>
      <c r="F613" s="1" t="s">
        <v>21</v>
      </c>
      <c r="G613" s="1" t="s">
        <v>21</v>
      </c>
      <c r="H613" s="1">
        <v>0</v>
      </c>
      <c r="I613" s="1">
        <v>0</v>
      </c>
      <c r="J613" s="1">
        <v>0</v>
      </c>
      <c r="K613" s="1">
        <v>0</v>
      </c>
    </row>
    <row r="614" spans="1:11" s="1" customFormat="1">
      <c r="A614" s="4">
        <v>45876</v>
      </c>
      <c r="B614" s="1" t="s">
        <v>21</v>
      </c>
      <c r="C614" s="1" t="s">
        <v>21</v>
      </c>
      <c r="D614" s="1" t="s">
        <v>21</v>
      </c>
      <c r="E614" s="1" t="s">
        <v>21</v>
      </c>
      <c r="F614" s="1" t="s">
        <v>21</v>
      </c>
      <c r="G614" s="1" t="s">
        <v>21</v>
      </c>
      <c r="H614" s="1">
        <v>0</v>
      </c>
      <c r="I614" s="1">
        <v>0</v>
      </c>
      <c r="J614" s="1">
        <v>0</v>
      </c>
      <c r="K614" s="1">
        <v>0</v>
      </c>
    </row>
    <row r="615" spans="1:11" s="1" customFormat="1">
      <c r="A615" s="4">
        <v>45877</v>
      </c>
      <c r="B615" s="1" t="s">
        <v>21</v>
      </c>
      <c r="C615" s="1" t="s">
        <v>21</v>
      </c>
      <c r="D615" s="1" t="s">
        <v>21</v>
      </c>
      <c r="E615" s="1" t="s">
        <v>21</v>
      </c>
      <c r="F615" s="1" t="s">
        <v>21</v>
      </c>
      <c r="G615" s="1" t="s">
        <v>21</v>
      </c>
      <c r="H615" s="1">
        <v>0</v>
      </c>
      <c r="I615" s="1">
        <v>0</v>
      </c>
      <c r="J615" s="1">
        <v>0</v>
      </c>
      <c r="K615" s="1">
        <v>0</v>
      </c>
    </row>
    <row r="616" spans="1:11" s="1" customFormat="1">
      <c r="A616" s="4">
        <v>45880</v>
      </c>
      <c r="B616" s="1" t="s">
        <v>21</v>
      </c>
      <c r="C616" s="1" t="s">
        <v>21</v>
      </c>
      <c r="D616" s="1" t="s">
        <v>21</v>
      </c>
      <c r="E616" s="1" t="s">
        <v>21</v>
      </c>
      <c r="F616" s="1" t="s">
        <v>21</v>
      </c>
      <c r="G616" s="1" t="s">
        <v>21</v>
      </c>
      <c r="H616" s="1">
        <v>0</v>
      </c>
      <c r="I616" s="1">
        <v>0</v>
      </c>
      <c r="J616" s="1">
        <v>0</v>
      </c>
      <c r="K616" s="1">
        <v>0</v>
      </c>
    </row>
    <row r="617" spans="1:11" s="1" customFormat="1">
      <c r="A617" s="4">
        <v>45881</v>
      </c>
      <c r="B617" s="1" t="s">
        <v>21</v>
      </c>
      <c r="C617" s="1" t="s">
        <v>21</v>
      </c>
      <c r="D617" s="1" t="s">
        <v>21</v>
      </c>
      <c r="E617" s="1" t="s">
        <v>21</v>
      </c>
      <c r="F617" s="1" t="s">
        <v>21</v>
      </c>
      <c r="G617" s="1" t="s">
        <v>21</v>
      </c>
      <c r="H617" s="1">
        <v>0</v>
      </c>
      <c r="I617" s="1">
        <v>0</v>
      </c>
      <c r="J617" s="1">
        <v>0</v>
      </c>
      <c r="K617" s="1">
        <v>0</v>
      </c>
    </row>
    <row r="618" spans="1:11" s="1" customFormat="1">
      <c r="A618" s="4">
        <v>45882</v>
      </c>
      <c r="B618" s="1" t="s">
        <v>21</v>
      </c>
      <c r="C618" s="1" t="s">
        <v>21</v>
      </c>
      <c r="D618" s="1" t="s">
        <v>21</v>
      </c>
      <c r="E618" s="1" t="s">
        <v>21</v>
      </c>
      <c r="F618" s="1" t="s">
        <v>21</v>
      </c>
      <c r="G618" s="1" t="s">
        <v>21</v>
      </c>
      <c r="H618" s="1">
        <v>0</v>
      </c>
      <c r="I618" s="1">
        <v>0</v>
      </c>
      <c r="J618" s="1">
        <v>0</v>
      </c>
      <c r="K618" s="1">
        <v>0</v>
      </c>
    </row>
    <row r="619" spans="1:11" s="1" customFormat="1">
      <c r="A619" s="4">
        <v>45883</v>
      </c>
      <c r="B619" s="1" t="s">
        <v>21</v>
      </c>
      <c r="C619" s="1" t="s">
        <v>21</v>
      </c>
      <c r="D619" s="1" t="s">
        <v>21</v>
      </c>
      <c r="E619" s="1" t="s">
        <v>21</v>
      </c>
      <c r="F619" s="1" t="s">
        <v>21</v>
      </c>
      <c r="G619" s="1" t="s">
        <v>21</v>
      </c>
      <c r="H619" s="1" t="s">
        <v>21</v>
      </c>
      <c r="I619" s="1" t="s">
        <v>21</v>
      </c>
      <c r="J619" s="1" t="s">
        <v>21</v>
      </c>
      <c r="K619" s="1" t="s">
        <v>21</v>
      </c>
    </row>
    <row r="620" spans="1:11" s="1" customFormat="1">
      <c r="A620" s="4">
        <v>45887</v>
      </c>
      <c r="B620" s="1" t="s">
        <v>21</v>
      </c>
      <c r="C620" s="1">
        <v>0</v>
      </c>
      <c r="D620" s="1">
        <v>0</v>
      </c>
      <c r="E620" s="1">
        <v>0</v>
      </c>
      <c r="F620" s="1">
        <v>0</v>
      </c>
      <c r="G620" s="1" t="s">
        <v>21</v>
      </c>
      <c r="H620" s="1" t="s">
        <v>21</v>
      </c>
      <c r="I620" s="1" t="s">
        <v>21</v>
      </c>
      <c r="J620" s="1" t="s">
        <v>21</v>
      </c>
      <c r="K620" s="1" t="s">
        <v>21</v>
      </c>
    </row>
    <row r="621" spans="1:11" s="1" customFormat="1">
      <c r="A621" s="4">
        <v>45888</v>
      </c>
      <c r="B621" s="1" t="s">
        <v>21</v>
      </c>
      <c r="C621" s="1">
        <v>0</v>
      </c>
      <c r="D621" s="1">
        <v>0</v>
      </c>
      <c r="E621" s="1">
        <v>0</v>
      </c>
      <c r="F621" s="1">
        <v>0</v>
      </c>
      <c r="G621" s="1" t="s">
        <v>21</v>
      </c>
      <c r="H621" s="1" t="s">
        <v>21</v>
      </c>
      <c r="I621" s="1" t="s">
        <v>138</v>
      </c>
      <c r="J621" s="1" t="s">
        <v>157</v>
      </c>
      <c r="K621" s="1" t="s">
        <v>157</v>
      </c>
    </row>
    <row r="622" spans="1:11" s="1" customFormat="1">
      <c r="A622" s="4">
        <v>45889</v>
      </c>
      <c r="B622" s="1" t="s">
        <v>21</v>
      </c>
      <c r="C622" s="1">
        <v>0</v>
      </c>
      <c r="D622" s="1">
        <v>0</v>
      </c>
      <c r="E622" s="1">
        <v>0</v>
      </c>
      <c r="F622" s="1">
        <v>0</v>
      </c>
      <c r="G622" s="1" t="s">
        <v>21</v>
      </c>
      <c r="H622" s="1" t="s">
        <v>21</v>
      </c>
      <c r="I622" s="1" t="s">
        <v>21</v>
      </c>
      <c r="J622" s="1" t="s">
        <v>21</v>
      </c>
      <c r="K622" s="1" t="s">
        <v>21</v>
      </c>
    </row>
    <row r="623" spans="1:11" s="1" customFormat="1">
      <c r="A623" s="4">
        <v>45890</v>
      </c>
      <c r="B623" s="1" t="s">
        <v>21</v>
      </c>
      <c r="C623" s="1">
        <v>0</v>
      </c>
      <c r="D623" s="1">
        <v>0</v>
      </c>
      <c r="E623" s="1">
        <v>0</v>
      </c>
      <c r="F623" s="1">
        <v>0</v>
      </c>
      <c r="G623" s="1" t="s">
        <v>21</v>
      </c>
      <c r="H623" s="1" t="s">
        <v>21</v>
      </c>
      <c r="I623" s="1" t="s">
        <v>21</v>
      </c>
      <c r="J623" s="1" t="s">
        <v>21</v>
      </c>
      <c r="K623" s="1" t="s">
        <v>21</v>
      </c>
    </row>
    <row r="624" spans="1:11" s="1" customFormat="1">
      <c r="A624" s="4">
        <v>45891</v>
      </c>
      <c r="B624" s="1" t="s">
        <v>21</v>
      </c>
      <c r="C624" s="1">
        <v>0</v>
      </c>
      <c r="D624" s="1">
        <v>0</v>
      </c>
      <c r="E624" s="1">
        <v>0</v>
      </c>
      <c r="F624" s="1">
        <v>0</v>
      </c>
      <c r="G624" s="1" t="s">
        <v>21</v>
      </c>
      <c r="H624" s="1" t="s">
        <v>21</v>
      </c>
      <c r="I624" s="1" t="s">
        <v>21</v>
      </c>
      <c r="J624" s="1" t="s">
        <v>21</v>
      </c>
      <c r="K624" s="1" t="s">
        <v>170</v>
      </c>
    </row>
    <row r="625" spans="1:11" s="1" customFormat="1">
      <c r="A625" s="4">
        <v>45894</v>
      </c>
      <c r="B625" s="1" t="s">
        <v>21</v>
      </c>
      <c r="C625" s="1">
        <v>0</v>
      </c>
      <c r="D625" s="1">
        <v>0</v>
      </c>
      <c r="E625" s="1">
        <v>0</v>
      </c>
      <c r="F625" s="1">
        <v>0</v>
      </c>
      <c r="G625" s="1" t="s">
        <v>21</v>
      </c>
      <c r="H625" s="1">
        <v>0</v>
      </c>
      <c r="I625" s="1">
        <v>0</v>
      </c>
      <c r="J625" s="1">
        <v>0</v>
      </c>
      <c r="K625" s="1">
        <v>0</v>
      </c>
    </row>
    <row r="626" spans="1:11" s="1" customFormat="1">
      <c r="A626" s="4">
        <v>45895</v>
      </c>
      <c r="B626" s="1" t="s">
        <v>21</v>
      </c>
      <c r="C626" s="1">
        <v>0</v>
      </c>
      <c r="D626" s="1">
        <v>0</v>
      </c>
      <c r="E626" s="1">
        <v>0</v>
      </c>
      <c r="F626" s="1">
        <v>0</v>
      </c>
      <c r="G626" s="1" t="s">
        <v>21</v>
      </c>
      <c r="H626" s="1">
        <v>0</v>
      </c>
      <c r="I626" s="1">
        <v>0</v>
      </c>
      <c r="J626" s="1">
        <v>0</v>
      </c>
      <c r="K626" s="1">
        <v>0</v>
      </c>
    </row>
    <row r="627" spans="1:11" s="1" customFormat="1">
      <c r="A627" s="4">
        <v>45896</v>
      </c>
      <c r="B627" s="1" t="s">
        <v>21</v>
      </c>
      <c r="C627" s="1">
        <v>0</v>
      </c>
      <c r="D627" s="1">
        <v>0</v>
      </c>
      <c r="E627" s="1">
        <v>0</v>
      </c>
      <c r="F627" s="1">
        <v>0</v>
      </c>
      <c r="G627" s="1" t="s">
        <v>21</v>
      </c>
      <c r="H627" s="1">
        <v>0</v>
      </c>
      <c r="I627" s="1">
        <v>0</v>
      </c>
      <c r="J627" s="1">
        <v>0</v>
      </c>
      <c r="K627" s="1">
        <v>0</v>
      </c>
    </row>
    <row r="628" spans="1:11" s="1" customFormat="1">
      <c r="A628" s="4">
        <v>45897</v>
      </c>
      <c r="B628" s="1" t="s">
        <v>21</v>
      </c>
      <c r="C628" s="1">
        <v>0</v>
      </c>
      <c r="D628" s="1">
        <v>0</v>
      </c>
      <c r="E628" s="1">
        <v>0</v>
      </c>
      <c r="F628" s="1">
        <v>0</v>
      </c>
      <c r="G628" s="1" t="s">
        <v>21</v>
      </c>
      <c r="H628" s="1">
        <v>0</v>
      </c>
      <c r="I628" s="1">
        <v>0</v>
      </c>
      <c r="J628" s="1">
        <v>0</v>
      </c>
      <c r="K628" s="1">
        <v>0</v>
      </c>
    </row>
    <row r="629" spans="1:11" s="1" customFormat="1">
      <c r="A629" s="4">
        <v>45898</v>
      </c>
      <c r="B629" s="1" t="s">
        <v>21</v>
      </c>
      <c r="C629" s="1">
        <v>0</v>
      </c>
      <c r="D629" s="1">
        <v>0</v>
      </c>
      <c r="E629" s="1">
        <v>0</v>
      </c>
      <c r="F629" s="1">
        <v>0</v>
      </c>
      <c r="G629" s="1" t="s">
        <v>21</v>
      </c>
      <c r="H629" s="1">
        <v>0</v>
      </c>
      <c r="I629" s="1">
        <v>0</v>
      </c>
      <c r="J629" s="1">
        <v>0</v>
      </c>
      <c r="K629" s="1">
        <v>0</v>
      </c>
    </row>
    <row r="630" spans="1:11" s="1" customFormat="1">
      <c r="A630" s="4">
        <v>45901</v>
      </c>
      <c r="B630" s="1" t="s">
        <v>21</v>
      </c>
      <c r="C630" s="1">
        <v>0</v>
      </c>
      <c r="D630" s="1">
        <v>0</v>
      </c>
      <c r="E630" s="1">
        <v>0</v>
      </c>
      <c r="F630" s="1">
        <v>0</v>
      </c>
      <c r="G630" s="1" t="s">
        <v>21</v>
      </c>
      <c r="H630" s="1">
        <v>0</v>
      </c>
      <c r="I630" s="1">
        <v>0</v>
      </c>
      <c r="J630" s="1">
        <v>0</v>
      </c>
      <c r="K630" s="1">
        <v>0</v>
      </c>
    </row>
    <row r="631" spans="1:11" s="1" customFormat="1">
      <c r="A631" s="4">
        <v>45902</v>
      </c>
      <c r="B631" s="1" t="s">
        <v>21</v>
      </c>
      <c r="C631" s="1">
        <v>0</v>
      </c>
      <c r="D631" s="1">
        <v>0</v>
      </c>
      <c r="E631" s="1">
        <v>0</v>
      </c>
      <c r="F631" s="1">
        <v>0</v>
      </c>
      <c r="G631" s="1" t="s">
        <v>21</v>
      </c>
      <c r="H631" s="1">
        <v>0</v>
      </c>
      <c r="I631" s="1">
        <v>0</v>
      </c>
      <c r="J631" s="1">
        <v>0</v>
      </c>
      <c r="K631" s="1">
        <v>0</v>
      </c>
    </row>
    <row r="632" spans="1:11" s="1" customFormat="1">
      <c r="A632" s="4">
        <v>45903</v>
      </c>
      <c r="B632" s="1" t="s">
        <v>21</v>
      </c>
      <c r="C632" s="1">
        <v>0</v>
      </c>
      <c r="D632" s="1">
        <v>0</v>
      </c>
      <c r="E632" s="1">
        <v>0</v>
      </c>
      <c r="F632" s="1">
        <v>0</v>
      </c>
      <c r="G632" s="1" t="s">
        <v>21</v>
      </c>
      <c r="H632" s="1">
        <v>0</v>
      </c>
      <c r="I632" s="1">
        <v>0</v>
      </c>
      <c r="J632" s="1">
        <v>0</v>
      </c>
      <c r="K632" s="1">
        <v>0</v>
      </c>
    </row>
    <row r="633" spans="1:11" s="1" customFormat="1">
      <c r="A633" s="4">
        <v>45904</v>
      </c>
      <c r="B633" s="1" t="s">
        <v>21</v>
      </c>
      <c r="C633" s="1" t="s">
        <v>21</v>
      </c>
      <c r="D633" s="1" t="s">
        <v>21</v>
      </c>
      <c r="E633" s="1" t="s">
        <v>21</v>
      </c>
      <c r="F633" s="1" t="s">
        <v>21</v>
      </c>
      <c r="G633" s="1" t="s">
        <v>21</v>
      </c>
      <c r="H633" s="1">
        <v>0</v>
      </c>
      <c r="I633" s="1">
        <v>0</v>
      </c>
      <c r="J633" s="1">
        <v>0</v>
      </c>
      <c r="K633" s="1">
        <v>0</v>
      </c>
    </row>
    <row r="634" spans="1:11" s="1" customFormat="1">
      <c r="A634" s="4">
        <v>45905</v>
      </c>
      <c r="B634" s="1" t="s">
        <v>21</v>
      </c>
      <c r="C634" s="1" t="s">
        <v>21</v>
      </c>
      <c r="D634" s="1" t="s">
        <v>21</v>
      </c>
      <c r="E634" s="1" t="s">
        <v>21</v>
      </c>
      <c r="F634" s="1" t="s">
        <v>21</v>
      </c>
      <c r="G634" s="1" t="s">
        <v>21</v>
      </c>
      <c r="H634" s="1">
        <v>0</v>
      </c>
      <c r="I634" s="1">
        <v>0</v>
      </c>
      <c r="J634" s="1">
        <v>0</v>
      </c>
      <c r="K634" s="1">
        <v>0</v>
      </c>
    </row>
    <row r="635" spans="1:11" s="1" customFormat="1">
      <c r="A635" s="4">
        <v>45908</v>
      </c>
      <c r="B635" s="1" t="s">
        <v>21</v>
      </c>
      <c r="C635" s="1" t="s">
        <v>21</v>
      </c>
      <c r="D635" s="1" t="s">
        <v>21</v>
      </c>
      <c r="E635" s="1" t="s">
        <v>21</v>
      </c>
      <c r="F635" s="1" t="s">
        <v>21</v>
      </c>
      <c r="G635" s="1" t="s">
        <v>21</v>
      </c>
      <c r="H635" s="1">
        <v>0</v>
      </c>
      <c r="I635" s="1">
        <v>0</v>
      </c>
      <c r="J635" s="1">
        <v>0</v>
      </c>
      <c r="K635" s="1">
        <v>0</v>
      </c>
    </row>
    <row r="636" spans="1:11" s="1" customFormat="1">
      <c r="A636" s="4">
        <v>45909</v>
      </c>
      <c r="B636" s="1" t="s">
        <v>21</v>
      </c>
      <c r="C636" s="1" t="s">
        <v>21</v>
      </c>
      <c r="D636" s="1" t="s">
        <v>21</v>
      </c>
      <c r="E636" s="1" t="s">
        <v>21</v>
      </c>
      <c r="F636" s="1" t="s">
        <v>21</v>
      </c>
      <c r="G636" s="1" t="s">
        <v>21</v>
      </c>
      <c r="H636" s="1">
        <v>0</v>
      </c>
      <c r="I636" s="1">
        <v>0</v>
      </c>
      <c r="J636" s="1">
        <v>0</v>
      </c>
      <c r="K636" s="1">
        <v>0</v>
      </c>
    </row>
    <row r="637" spans="1:11" s="1" customFormat="1">
      <c r="A637" s="4">
        <v>45910</v>
      </c>
      <c r="B637" s="1" t="s">
        <v>21</v>
      </c>
      <c r="C637" s="1" t="s">
        <v>21</v>
      </c>
      <c r="D637" s="1" t="s">
        <v>21</v>
      </c>
      <c r="E637" s="1" t="s">
        <v>21</v>
      </c>
      <c r="F637" s="1" t="s">
        <v>21</v>
      </c>
      <c r="G637" s="1" t="s">
        <v>21</v>
      </c>
      <c r="H637" s="1">
        <v>0</v>
      </c>
      <c r="I637" s="1">
        <v>0</v>
      </c>
      <c r="J637" s="1">
        <v>0</v>
      </c>
      <c r="K637" s="1">
        <v>0</v>
      </c>
    </row>
    <row r="638" spans="1:11" s="1" customFormat="1">
      <c r="A638" s="4">
        <v>45911</v>
      </c>
      <c r="B638" s="1" t="s">
        <v>21</v>
      </c>
      <c r="C638" s="1" t="s">
        <v>21</v>
      </c>
      <c r="D638" s="1" t="s">
        <v>21</v>
      </c>
      <c r="E638" s="1" t="s">
        <v>21</v>
      </c>
      <c r="F638" s="1" t="s">
        <v>21</v>
      </c>
      <c r="G638" s="1" t="s">
        <v>21</v>
      </c>
      <c r="H638" s="1">
        <v>0</v>
      </c>
      <c r="I638" s="1">
        <v>0</v>
      </c>
      <c r="J638" s="1">
        <v>0</v>
      </c>
      <c r="K638" s="1">
        <v>0</v>
      </c>
    </row>
    <row r="639" spans="1:11" s="1" customFormat="1">
      <c r="A639" s="4">
        <v>45912</v>
      </c>
      <c r="B639" s="1" t="s">
        <v>21</v>
      </c>
      <c r="C639" s="1" t="s">
        <v>21</v>
      </c>
      <c r="D639" s="1" t="s">
        <v>21</v>
      </c>
      <c r="E639" s="1" t="s">
        <v>21</v>
      </c>
      <c r="F639" s="1" t="s">
        <v>21</v>
      </c>
      <c r="G639" s="1" t="s">
        <v>21</v>
      </c>
      <c r="H639" s="1">
        <v>0</v>
      </c>
      <c r="I639" s="1">
        <v>0</v>
      </c>
      <c r="J639" s="1">
        <v>0</v>
      </c>
      <c r="K639" s="1">
        <v>0</v>
      </c>
    </row>
    <row r="640" spans="1:11" s="1" customFormat="1">
      <c r="A640" s="4">
        <v>45915</v>
      </c>
      <c r="B640" s="1" t="s">
        <v>21</v>
      </c>
      <c r="C640" s="1" t="s">
        <v>21</v>
      </c>
      <c r="D640" s="1" t="s">
        <v>21</v>
      </c>
      <c r="E640" s="1" t="s">
        <v>21</v>
      </c>
      <c r="F640" s="1" t="s">
        <v>21</v>
      </c>
      <c r="G640" s="1" t="s">
        <v>21</v>
      </c>
      <c r="H640" s="1">
        <v>0</v>
      </c>
      <c r="I640" s="1">
        <v>0</v>
      </c>
      <c r="J640" s="1">
        <v>0</v>
      </c>
      <c r="K640" s="1">
        <v>0</v>
      </c>
    </row>
    <row r="641" spans="1:11" s="1" customFormat="1">
      <c r="A641" s="4">
        <v>45916</v>
      </c>
      <c r="B641" s="1" t="s">
        <v>21</v>
      </c>
      <c r="C641" s="1" t="s">
        <v>21</v>
      </c>
      <c r="D641" s="1" t="s">
        <v>21</v>
      </c>
      <c r="E641" s="1" t="s">
        <v>21</v>
      </c>
      <c r="F641" s="1" t="s">
        <v>21</v>
      </c>
      <c r="G641" s="1" t="s">
        <v>21</v>
      </c>
      <c r="H641" s="1" t="s">
        <v>21</v>
      </c>
      <c r="I641" s="1" t="s">
        <v>21</v>
      </c>
      <c r="J641" s="1" t="s">
        <v>21</v>
      </c>
      <c r="K641" s="1" t="s">
        <v>21</v>
      </c>
    </row>
    <row r="642" spans="1:11" s="1" customFormat="1">
      <c r="A642" s="4">
        <v>45917</v>
      </c>
      <c r="B642" s="1" t="s">
        <v>21</v>
      </c>
      <c r="C642" s="1" t="s">
        <v>21</v>
      </c>
      <c r="D642" s="1" t="s">
        <v>31</v>
      </c>
      <c r="E642" s="1" t="s">
        <v>31</v>
      </c>
      <c r="F642" s="1" t="s">
        <v>31</v>
      </c>
      <c r="G642" s="1" t="s">
        <v>21</v>
      </c>
      <c r="H642" s="1" t="s">
        <v>21</v>
      </c>
      <c r="I642" s="1" t="s">
        <v>21</v>
      </c>
      <c r="J642" s="1" t="s">
        <v>21</v>
      </c>
      <c r="K642" s="1" t="s">
        <v>21</v>
      </c>
    </row>
    <row r="643" spans="1:11" s="1" customFormat="1">
      <c r="A643" s="4">
        <v>45918</v>
      </c>
      <c r="B643" s="1" t="s">
        <v>21</v>
      </c>
      <c r="C643" s="1">
        <v>0</v>
      </c>
      <c r="D643" s="1">
        <v>0</v>
      </c>
      <c r="E643" s="1">
        <v>0</v>
      </c>
      <c r="F643" s="1">
        <v>0</v>
      </c>
      <c r="G643" s="1" t="s">
        <v>21</v>
      </c>
      <c r="H643" s="1" t="s">
        <v>21</v>
      </c>
      <c r="I643" s="1" t="s">
        <v>21</v>
      </c>
      <c r="J643" s="1" t="s">
        <v>151</v>
      </c>
      <c r="K643" s="1" t="s">
        <v>151</v>
      </c>
    </row>
    <row r="644" spans="1:11" s="1" customFormat="1">
      <c r="A644" s="4">
        <v>45919</v>
      </c>
      <c r="B644" s="1" t="s">
        <v>21</v>
      </c>
      <c r="C644" s="1">
        <v>0</v>
      </c>
      <c r="D644" s="1">
        <v>0</v>
      </c>
      <c r="E644" s="1">
        <v>0</v>
      </c>
      <c r="F644" s="1">
        <v>0</v>
      </c>
      <c r="G644" s="1" t="s">
        <v>21</v>
      </c>
      <c r="H644" s="1" t="s">
        <v>21</v>
      </c>
      <c r="I644" s="1" t="s">
        <v>21</v>
      </c>
      <c r="J644" s="1" t="s">
        <v>21</v>
      </c>
      <c r="K644" s="1" t="s">
        <v>21</v>
      </c>
    </row>
    <row r="645" spans="1:11" s="1" customFormat="1">
      <c r="A645" s="4">
        <v>45922</v>
      </c>
      <c r="B645" s="1" t="s">
        <v>21</v>
      </c>
      <c r="C645" s="1">
        <v>0</v>
      </c>
      <c r="D645" s="1">
        <v>0</v>
      </c>
      <c r="E645" s="1">
        <v>0</v>
      </c>
      <c r="F645" s="1">
        <v>0</v>
      </c>
      <c r="G645" s="1" t="s">
        <v>21</v>
      </c>
      <c r="H645" s="1" t="s">
        <v>21</v>
      </c>
      <c r="I645" s="1" t="s">
        <v>21</v>
      </c>
      <c r="J645" s="1" t="s">
        <v>21</v>
      </c>
      <c r="K645" s="1" t="s">
        <v>21</v>
      </c>
    </row>
    <row r="646" spans="1:11" s="1" customFormat="1">
      <c r="A646" s="4">
        <v>45923</v>
      </c>
      <c r="B646" s="1" t="s">
        <v>21</v>
      </c>
      <c r="C646" s="1">
        <v>0</v>
      </c>
      <c r="D646" s="1">
        <v>0</v>
      </c>
      <c r="E646" s="1">
        <v>0</v>
      </c>
      <c r="F646" s="1">
        <v>0</v>
      </c>
      <c r="G646" s="1" t="s">
        <v>21</v>
      </c>
      <c r="H646" s="1" t="s">
        <v>21</v>
      </c>
      <c r="I646" s="1" t="s">
        <v>139</v>
      </c>
      <c r="J646" s="1" t="s">
        <v>89</v>
      </c>
      <c r="K646" s="1" t="s">
        <v>89</v>
      </c>
    </row>
    <row r="647" spans="1:11" s="1" customFormat="1">
      <c r="A647" s="4">
        <v>45924</v>
      </c>
      <c r="B647" s="1" t="s">
        <v>21</v>
      </c>
      <c r="C647" s="1">
        <v>0</v>
      </c>
      <c r="D647" s="1">
        <v>0</v>
      </c>
      <c r="E647" s="1">
        <v>0</v>
      </c>
      <c r="F647" s="1">
        <v>0</v>
      </c>
      <c r="G647" s="1" t="s">
        <v>21</v>
      </c>
      <c r="H647" s="1">
        <v>0</v>
      </c>
      <c r="I647" s="1">
        <v>0</v>
      </c>
      <c r="J647" s="1">
        <v>0</v>
      </c>
      <c r="K647" s="1">
        <v>0</v>
      </c>
    </row>
    <row r="648" spans="1:11" s="1" customFormat="1">
      <c r="A648" s="4">
        <v>45925</v>
      </c>
      <c r="B648" s="1" t="s">
        <v>21</v>
      </c>
      <c r="C648" s="1">
        <v>0</v>
      </c>
      <c r="D648" s="1">
        <v>0</v>
      </c>
      <c r="E648" s="1">
        <v>0</v>
      </c>
      <c r="F648" s="1">
        <v>0</v>
      </c>
      <c r="G648" s="1" t="s">
        <v>21</v>
      </c>
      <c r="H648" s="1">
        <v>0</v>
      </c>
      <c r="I648" s="1">
        <v>0</v>
      </c>
      <c r="J648" s="1">
        <v>0</v>
      </c>
      <c r="K648" s="1">
        <v>0</v>
      </c>
    </row>
    <row r="649" spans="1:11" s="1" customFormat="1">
      <c r="A649" s="4">
        <v>45926</v>
      </c>
      <c r="B649" s="1" t="s">
        <v>21</v>
      </c>
      <c r="C649" s="1">
        <v>0</v>
      </c>
      <c r="D649" s="1">
        <v>0</v>
      </c>
      <c r="E649" s="1">
        <v>0</v>
      </c>
      <c r="F649" s="1">
        <v>0</v>
      </c>
      <c r="G649" s="1" t="s">
        <v>21</v>
      </c>
      <c r="H649" s="1">
        <v>0</v>
      </c>
      <c r="I649" s="1">
        <v>0</v>
      </c>
      <c r="J649" s="1">
        <v>0</v>
      </c>
      <c r="K649" s="1">
        <v>0</v>
      </c>
    </row>
    <row r="650" spans="1:11" s="1" customFormat="1">
      <c r="A650" s="4">
        <v>45929</v>
      </c>
      <c r="B650" s="1" t="s">
        <v>21</v>
      </c>
      <c r="C650" s="1">
        <v>0</v>
      </c>
      <c r="D650" s="1">
        <v>0</v>
      </c>
      <c r="E650" s="1">
        <v>0</v>
      </c>
      <c r="F650" s="1">
        <v>0</v>
      </c>
      <c r="G650" s="1" t="s">
        <v>21</v>
      </c>
      <c r="H650" s="1">
        <v>0</v>
      </c>
      <c r="I650" s="1">
        <v>0</v>
      </c>
      <c r="J650" s="1">
        <v>0</v>
      </c>
      <c r="K650" s="1">
        <v>0</v>
      </c>
    </row>
    <row r="651" spans="1:11" s="1" customFormat="1">
      <c r="A651" s="4">
        <v>45930</v>
      </c>
      <c r="B651" s="1" t="s">
        <v>21</v>
      </c>
      <c r="C651" s="1">
        <v>0</v>
      </c>
      <c r="D651" s="1">
        <v>0</v>
      </c>
      <c r="E651" s="1">
        <v>0</v>
      </c>
      <c r="F651" s="1">
        <v>0</v>
      </c>
      <c r="G651" s="1" t="s">
        <v>21</v>
      </c>
      <c r="H651" s="1">
        <v>0</v>
      </c>
      <c r="I651" s="1">
        <v>0</v>
      </c>
      <c r="J651" s="1">
        <v>0</v>
      </c>
      <c r="K651" s="1">
        <v>0</v>
      </c>
    </row>
    <row r="652" spans="1:11" s="1" customFormat="1">
      <c r="A652" s="4">
        <v>45931</v>
      </c>
      <c r="B652" s="1" t="s">
        <v>21</v>
      </c>
      <c r="C652" s="1">
        <v>0</v>
      </c>
      <c r="D652" s="1">
        <v>0</v>
      </c>
      <c r="E652" s="1">
        <v>0</v>
      </c>
      <c r="F652" s="1">
        <v>0</v>
      </c>
      <c r="G652" s="1" t="s">
        <v>21</v>
      </c>
      <c r="H652" s="1">
        <v>0</v>
      </c>
      <c r="I652" s="1">
        <v>0</v>
      </c>
      <c r="J652" s="1">
        <v>0</v>
      </c>
      <c r="K652" s="1">
        <v>0</v>
      </c>
    </row>
    <row r="653" spans="1:11" s="1" customFormat="1">
      <c r="A653" s="4">
        <v>45933</v>
      </c>
      <c r="B653" s="1" t="s">
        <v>21</v>
      </c>
      <c r="C653" s="1" t="s">
        <v>21</v>
      </c>
      <c r="D653" s="1" t="s">
        <v>21</v>
      </c>
      <c r="E653" s="1" t="s">
        <v>21</v>
      </c>
      <c r="F653" s="1" t="s">
        <v>21</v>
      </c>
      <c r="G653" s="1" t="s">
        <v>21</v>
      </c>
      <c r="H653" s="1">
        <v>0</v>
      </c>
      <c r="I653" s="1">
        <v>0</v>
      </c>
      <c r="J653" s="1">
        <v>0</v>
      </c>
      <c r="K653" s="1">
        <v>0</v>
      </c>
    </row>
    <row r="654" spans="1:11" s="1" customFormat="1">
      <c r="A654" s="4">
        <v>45936</v>
      </c>
      <c r="B654" s="1" t="s">
        <v>21</v>
      </c>
      <c r="C654" s="1" t="s">
        <v>21</v>
      </c>
      <c r="D654" s="1" t="s">
        <v>21</v>
      </c>
      <c r="E654" s="1" t="s">
        <v>21</v>
      </c>
      <c r="F654" s="1" t="s">
        <v>21</v>
      </c>
      <c r="G654" s="1" t="s">
        <v>21</v>
      </c>
      <c r="H654" s="1">
        <v>0</v>
      </c>
      <c r="I654" s="1">
        <v>0</v>
      </c>
      <c r="J654" s="1">
        <v>0</v>
      </c>
      <c r="K654" s="1">
        <v>0</v>
      </c>
    </row>
    <row r="655" spans="1:11" s="1" customFormat="1">
      <c r="A655" s="4">
        <v>45937</v>
      </c>
      <c r="B655" s="1" t="s">
        <v>21</v>
      </c>
      <c r="C655" s="1" t="s">
        <v>21</v>
      </c>
      <c r="D655" s="1" t="s">
        <v>21</v>
      </c>
      <c r="E655" s="1" t="s">
        <v>21</v>
      </c>
      <c r="F655" s="1" t="s">
        <v>21</v>
      </c>
      <c r="G655" s="1" t="s">
        <v>21</v>
      </c>
      <c r="H655" s="1">
        <v>0</v>
      </c>
      <c r="I655" s="1">
        <v>0</v>
      </c>
      <c r="J655" s="1">
        <v>0</v>
      </c>
      <c r="K655" s="1">
        <v>0</v>
      </c>
    </row>
    <row r="656" spans="1:11" s="1" customFormat="1">
      <c r="A656" s="4">
        <v>45938</v>
      </c>
      <c r="B656" s="1" t="s">
        <v>21</v>
      </c>
      <c r="C656" s="1" t="s">
        <v>21</v>
      </c>
      <c r="D656" s="1" t="s">
        <v>21</v>
      </c>
      <c r="E656" s="1" t="s">
        <v>21</v>
      </c>
      <c r="F656" s="1" t="s">
        <v>21</v>
      </c>
      <c r="G656" s="1" t="s">
        <v>21</v>
      </c>
      <c r="H656" s="1">
        <v>0</v>
      </c>
      <c r="I656" s="1">
        <v>0</v>
      </c>
      <c r="J656" s="1">
        <v>0</v>
      </c>
      <c r="K656" s="1">
        <v>0</v>
      </c>
    </row>
    <row r="657" spans="1:11" s="1" customFormat="1">
      <c r="A657" s="4">
        <v>45939</v>
      </c>
      <c r="B657" s="1" t="s">
        <v>21</v>
      </c>
      <c r="C657" s="1" t="s">
        <v>21</v>
      </c>
      <c r="D657" s="1" t="s">
        <v>21</v>
      </c>
      <c r="E657" s="1" t="s">
        <v>21</v>
      </c>
      <c r="F657" s="1" t="s">
        <v>21</v>
      </c>
      <c r="G657" s="1" t="s">
        <v>21</v>
      </c>
      <c r="H657" s="1">
        <v>0</v>
      </c>
      <c r="I657" s="1">
        <v>0</v>
      </c>
      <c r="J657" s="1">
        <v>0</v>
      </c>
      <c r="K657" s="1">
        <v>0</v>
      </c>
    </row>
    <row r="658" spans="1:11" s="1" customFormat="1">
      <c r="A658" s="4">
        <v>45940</v>
      </c>
      <c r="B658" s="1" t="s">
        <v>21</v>
      </c>
      <c r="C658" s="1" t="s">
        <v>21</v>
      </c>
      <c r="D658" s="1" t="s">
        <v>21</v>
      </c>
      <c r="E658" s="1" t="s">
        <v>69</v>
      </c>
      <c r="F658" s="1" t="s">
        <v>69</v>
      </c>
      <c r="G658" s="1" t="s">
        <v>21</v>
      </c>
      <c r="H658" s="1">
        <v>0</v>
      </c>
      <c r="I658" s="1">
        <v>0</v>
      </c>
      <c r="J658" s="1">
        <v>0</v>
      </c>
      <c r="K658" s="1">
        <v>0</v>
      </c>
    </row>
    <row r="659" spans="1:11" s="1" customFormat="1">
      <c r="A659" s="4">
        <v>45943</v>
      </c>
      <c r="B659" s="1" t="s">
        <v>21</v>
      </c>
      <c r="C659" s="1" t="s">
        <v>21</v>
      </c>
      <c r="D659" s="1" t="s">
        <v>21</v>
      </c>
      <c r="E659" s="1" t="s">
        <v>21</v>
      </c>
      <c r="F659" s="1" t="s">
        <v>21</v>
      </c>
      <c r="G659" s="1" t="s">
        <v>21</v>
      </c>
      <c r="H659" s="1">
        <v>0</v>
      </c>
      <c r="I659" s="1">
        <v>0</v>
      </c>
      <c r="J659" s="1">
        <v>0</v>
      </c>
      <c r="K659" s="1">
        <v>0</v>
      </c>
    </row>
    <row r="660" spans="1:11" s="1" customFormat="1">
      <c r="A660" s="4">
        <v>45944</v>
      </c>
      <c r="B660" s="1" t="s">
        <v>21</v>
      </c>
      <c r="C660" s="1" t="s">
        <v>40</v>
      </c>
      <c r="D660" s="1" t="s">
        <v>40</v>
      </c>
      <c r="E660" s="1" t="s">
        <v>40</v>
      </c>
      <c r="F660" s="1" t="s">
        <v>40</v>
      </c>
      <c r="G660" s="1" t="s">
        <v>21</v>
      </c>
      <c r="H660" s="1">
        <v>0</v>
      </c>
      <c r="I660" s="1">
        <v>0</v>
      </c>
      <c r="J660" s="1">
        <v>0</v>
      </c>
      <c r="K660" s="1">
        <v>0</v>
      </c>
    </row>
    <row r="661" spans="1:11" s="1" customFormat="1">
      <c r="A661" s="4">
        <v>45945</v>
      </c>
      <c r="B661" s="1" t="s">
        <v>21</v>
      </c>
      <c r="C661" s="1" t="s">
        <v>21</v>
      </c>
      <c r="D661" s="1" t="s">
        <v>21</v>
      </c>
      <c r="E661" s="1" t="s">
        <v>21</v>
      </c>
      <c r="F661" s="1" t="s">
        <v>21</v>
      </c>
      <c r="G661" s="1" t="s">
        <v>21</v>
      </c>
      <c r="H661" s="1">
        <v>0</v>
      </c>
      <c r="I661" s="1">
        <v>0</v>
      </c>
      <c r="J661" s="1">
        <v>0</v>
      </c>
      <c r="K661" s="1">
        <v>0</v>
      </c>
    </row>
    <row r="662" spans="1:11" s="1" customFormat="1">
      <c r="A662" s="4">
        <v>45946</v>
      </c>
      <c r="B662" s="1" t="s">
        <v>21</v>
      </c>
      <c r="C662" s="1" t="s">
        <v>21</v>
      </c>
      <c r="D662" s="1" t="s">
        <v>21</v>
      </c>
      <c r="E662" s="1" t="s">
        <v>21</v>
      </c>
      <c r="F662" s="1" t="s">
        <v>21</v>
      </c>
      <c r="G662" s="1" t="s">
        <v>21</v>
      </c>
      <c r="H662" s="1" t="s">
        <v>21</v>
      </c>
      <c r="I662" s="1" t="s">
        <v>21</v>
      </c>
      <c r="J662" s="1" t="s">
        <v>21</v>
      </c>
      <c r="K662" s="1" t="s">
        <v>21</v>
      </c>
    </row>
    <row r="663" spans="1:11" s="1" customFormat="1">
      <c r="A663" s="4">
        <v>45947</v>
      </c>
      <c r="B663" s="1" t="s">
        <v>21</v>
      </c>
      <c r="C663" s="1">
        <v>0</v>
      </c>
      <c r="D663" s="1">
        <v>0</v>
      </c>
      <c r="E663" s="1">
        <v>0</v>
      </c>
      <c r="F663" s="1">
        <v>0</v>
      </c>
      <c r="G663" s="1" t="s">
        <v>21</v>
      </c>
      <c r="H663" s="1" t="s">
        <v>21</v>
      </c>
      <c r="I663" s="1" t="s">
        <v>21</v>
      </c>
      <c r="J663" s="1" t="s">
        <v>21</v>
      </c>
      <c r="K663" s="1" t="s">
        <v>21</v>
      </c>
    </row>
    <row r="664" spans="1:11" s="1" customFormat="1">
      <c r="A664" s="4">
        <v>45950</v>
      </c>
      <c r="B664" s="1" t="s">
        <v>21</v>
      </c>
      <c r="C664" s="1">
        <v>0</v>
      </c>
      <c r="D664" s="1">
        <v>0</v>
      </c>
      <c r="E664" s="1">
        <v>0</v>
      </c>
      <c r="F664" s="1">
        <v>0</v>
      </c>
      <c r="G664" s="1" t="s">
        <v>21</v>
      </c>
      <c r="H664" s="1" t="s">
        <v>75</v>
      </c>
      <c r="I664" s="1" t="s">
        <v>75</v>
      </c>
      <c r="J664" s="1" t="s">
        <v>75</v>
      </c>
      <c r="K664" s="1" t="s">
        <v>75</v>
      </c>
    </row>
    <row r="665" spans="1:11" s="1" customFormat="1">
      <c r="A665" s="4">
        <v>45952</v>
      </c>
      <c r="B665" s="1" t="s">
        <v>21</v>
      </c>
      <c r="C665" s="1">
        <v>0</v>
      </c>
      <c r="D665" s="1">
        <v>0</v>
      </c>
      <c r="E665" s="1">
        <v>0</v>
      </c>
      <c r="F665" s="1">
        <v>0</v>
      </c>
      <c r="G665" s="1" t="s">
        <v>21</v>
      </c>
      <c r="H665" s="1" t="s">
        <v>21</v>
      </c>
      <c r="I665" s="1" t="s">
        <v>21</v>
      </c>
      <c r="J665" s="1" t="s">
        <v>21</v>
      </c>
      <c r="K665" s="1" t="s">
        <v>21</v>
      </c>
    </row>
    <row r="666" spans="1:11" s="1" customFormat="1">
      <c r="A666" s="4">
        <v>45953</v>
      </c>
      <c r="B666" s="1" t="s">
        <v>21</v>
      </c>
      <c r="C666" s="1">
        <v>0</v>
      </c>
      <c r="D666" s="1">
        <v>0</v>
      </c>
      <c r="E666" s="1">
        <v>0</v>
      </c>
      <c r="F666" s="1">
        <v>0</v>
      </c>
      <c r="G666" s="1" t="s">
        <v>21</v>
      </c>
      <c r="H666" s="1" t="s">
        <v>42</v>
      </c>
      <c r="I666" s="1" t="s">
        <v>21</v>
      </c>
      <c r="J666" s="1" t="s">
        <v>21</v>
      </c>
      <c r="K666" s="1" t="s">
        <v>21</v>
      </c>
    </row>
    <row r="667" spans="1:11" s="1" customFormat="1">
      <c r="A667" s="4">
        <v>45954</v>
      </c>
      <c r="B667" s="1" t="s">
        <v>21</v>
      </c>
      <c r="C667" s="1">
        <v>0</v>
      </c>
      <c r="D667" s="1">
        <v>0</v>
      </c>
      <c r="E667" s="1">
        <v>0</v>
      </c>
      <c r="F667" s="1">
        <v>0</v>
      </c>
      <c r="G667" s="1" t="s">
        <v>21</v>
      </c>
      <c r="H667" s="1" t="s">
        <v>21</v>
      </c>
      <c r="I667" s="1" t="s">
        <v>21</v>
      </c>
      <c r="J667" s="1" t="s">
        <v>58</v>
      </c>
      <c r="K667" s="1" t="s">
        <v>58</v>
      </c>
    </row>
    <row r="668" spans="1:11" s="1" customFormat="1">
      <c r="A668" s="4">
        <v>45957</v>
      </c>
      <c r="B668" s="1" t="s">
        <v>21</v>
      </c>
      <c r="C668" s="1">
        <v>0</v>
      </c>
      <c r="D668" s="1">
        <v>0</v>
      </c>
      <c r="E668" s="1">
        <v>0</v>
      </c>
      <c r="F668" s="1">
        <v>0</v>
      </c>
      <c r="G668" s="1" t="s">
        <v>21</v>
      </c>
      <c r="H668" s="1">
        <v>0</v>
      </c>
      <c r="I668" s="1">
        <v>0</v>
      </c>
      <c r="J668" s="1">
        <v>0</v>
      </c>
      <c r="K668" s="1">
        <v>0</v>
      </c>
    </row>
    <row r="669" spans="1:11" s="1" customFormat="1">
      <c r="A669" s="4">
        <v>45958</v>
      </c>
      <c r="B669" s="1" t="s">
        <v>21</v>
      </c>
      <c r="C669" s="1">
        <v>0</v>
      </c>
      <c r="D669" s="1">
        <v>0</v>
      </c>
      <c r="E669" s="1">
        <v>0</v>
      </c>
      <c r="F669" s="1">
        <v>0</v>
      </c>
      <c r="G669" s="1" t="s">
        <v>21</v>
      </c>
      <c r="H669" s="1">
        <v>0</v>
      </c>
      <c r="I669" s="1">
        <v>0</v>
      </c>
      <c r="J669" s="1">
        <v>0</v>
      </c>
      <c r="K669" s="1">
        <v>0</v>
      </c>
    </row>
    <row r="670" spans="1:11" s="1" customFormat="1">
      <c r="A670" s="4">
        <v>45959</v>
      </c>
      <c r="B670" s="1" t="s">
        <v>21</v>
      </c>
      <c r="C670" s="1">
        <v>0</v>
      </c>
      <c r="D670" s="1">
        <v>0</v>
      </c>
      <c r="E670" s="1">
        <v>0</v>
      </c>
      <c r="F670" s="1">
        <v>0</v>
      </c>
      <c r="G670" s="1" t="s">
        <v>21</v>
      </c>
      <c r="H670" s="1">
        <v>0</v>
      </c>
      <c r="I670" s="1">
        <v>0</v>
      </c>
      <c r="J670" s="1">
        <v>0</v>
      </c>
      <c r="K670" s="1">
        <v>0</v>
      </c>
    </row>
    <row r="671" spans="1:11" s="1" customFormat="1">
      <c r="A671" s="4">
        <v>45960</v>
      </c>
      <c r="B671" s="1" t="s">
        <v>21</v>
      </c>
      <c r="C671" s="1">
        <v>0</v>
      </c>
      <c r="D671" s="1">
        <v>0</v>
      </c>
      <c r="E671" s="1">
        <v>0</v>
      </c>
      <c r="F671" s="1">
        <v>0</v>
      </c>
      <c r="G671" s="1" t="s">
        <v>21</v>
      </c>
      <c r="H671" s="1">
        <v>0</v>
      </c>
      <c r="I671" s="1">
        <v>0</v>
      </c>
      <c r="J671" s="1">
        <v>0</v>
      </c>
      <c r="K671" s="1">
        <v>0</v>
      </c>
    </row>
    <row r="672" spans="1:11" s="1" customFormat="1">
      <c r="A672" s="4">
        <v>45961</v>
      </c>
      <c r="B672" s="1" t="s">
        <v>21</v>
      </c>
      <c r="C672" s="1">
        <v>0</v>
      </c>
      <c r="D672" s="1">
        <v>0</v>
      </c>
      <c r="E672" s="1">
        <v>0</v>
      </c>
      <c r="F672" s="1">
        <v>0</v>
      </c>
      <c r="G672" s="1" t="s">
        <v>21</v>
      </c>
      <c r="H672" s="1">
        <v>0</v>
      </c>
      <c r="I672" s="1">
        <v>0</v>
      </c>
      <c r="J672" s="1">
        <v>0</v>
      </c>
      <c r="K672" s="1">
        <v>0</v>
      </c>
    </row>
    <row r="673" spans="1:11" s="1" customFormat="1">
      <c r="A673" s="4">
        <v>45964</v>
      </c>
      <c r="B673" s="1" t="s">
        <v>21</v>
      </c>
      <c r="C673" s="1">
        <v>0</v>
      </c>
      <c r="D673" s="1">
        <v>0</v>
      </c>
      <c r="E673" s="1">
        <v>0</v>
      </c>
      <c r="F673" s="1">
        <v>0</v>
      </c>
      <c r="G673" s="1" t="s">
        <v>21</v>
      </c>
      <c r="H673" s="1">
        <v>0</v>
      </c>
      <c r="I673" s="1">
        <v>0</v>
      </c>
      <c r="J673" s="1">
        <v>0</v>
      </c>
      <c r="K673" s="1">
        <v>0</v>
      </c>
    </row>
    <row r="674" spans="1:11" s="1" customFormat="1">
      <c r="A674" s="4">
        <v>45965</v>
      </c>
      <c r="B674" s="1" t="s">
        <v>21</v>
      </c>
      <c r="C674" s="1" t="s">
        <v>21</v>
      </c>
      <c r="D674" s="1" t="s">
        <v>21</v>
      </c>
      <c r="E674" s="1" t="s">
        <v>21</v>
      </c>
      <c r="F674" s="1" t="s">
        <v>21</v>
      </c>
      <c r="G674" s="1" t="s">
        <v>21</v>
      </c>
      <c r="H674" s="1">
        <v>0</v>
      </c>
      <c r="I674" s="1">
        <v>0</v>
      </c>
      <c r="J674" s="1">
        <v>0</v>
      </c>
      <c r="K674" s="1">
        <v>0</v>
      </c>
    </row>
    <row r="675" spans="1:11" s="1" customFormat="1">
      <c r="A675" s="4">
        <v>45966</v>
      </c>
      <c r="B675" s="1" t="s">
        <v>21</v>
      </c>
      <c r="C675" s="1" t="s">
        <v>21</v>
      </c>
      <c r="D675" s="1" t="s">
        <v>21</v>
      </c>
      <c r="E675" s="1" t="s">
        <v>21</v>
      </c>
      <c r="F675" s="1" t="s">
        <v>21</v>
      </c>
      <c r="G675" s="1" t="s">
        <v>21</v>
      </c>
      <c r="H675" s="1">
        <v>0</v>
      </c>
      <c r="I675" s="1">
        <v>0</v>
      </c>
      <c r="J675" s="1">
        <v>0</v>
      </c>
      <c r="K675" s="1">
        <v>0</v>
      </c>
    </row>
    <row r="676" spans="1:11" s="1" customFormat="1">
      <c r="A676" s="4">
        <v>45967</v>
      </c>
      <c r="B676" s="1" t="s">
        <v>21</v>
      </c>
      <c r="C676" s="1" t="s">
        <v>21</v>
      </c>
      <c r="D676" s="1" t="s">
        <v>21</v>
      </c>
      <c r="E676" s="1" t="s">
        <v>21</v>
      </c>
      <c r="F676" s="1" t="s">
        <v>21</v>
      </c>
      <c r="G676" s="1" t="s">
        <v>21</v>
      </c>
      <c r="H676" s="1">
        <v>0</v>
      </c>
      <c r="I676" s="1">
        <v>0</v>
      </c>
      <c r="J676" s="1">
        <v>0</v>
      </c>
      <c r="K676" s="1">
        <v>0</v>
      </c>
    </row>
    <row r="677" spans="1:11" s="1" customFormat="1">
      <c r="A677" s="4">
        <v>45968</v>
      </c>
      <c r="B677" s="1" t="s">
        <v>21</v>
      </c>
      <c r="C677" s="1" t="s">
        <v>21</v>
      </c>
      <c r="D677" s="1" t="s">
        <v>21</v>
      </c>
      <c r="E677" s="1" t="s">
        <v>21</v>
      </c>
      <c r="F677" s="1" t="s">
        <v>21</v>
      </c>
      <c r="G677" s="1" t="s">
        <v>21</v>
      </c>
      <c r="H677" s="1">
        <v>0</v>
      </c>
      <c r="I677" s="1">
        <v>0</v>
      </c>
      <c r="J677" s="1">
        <v>0</v>
      </c>
      <c r="K677" s="1">
        <v>0</v>
      </c>
    </row>
    <row r="678" spans="1:11" s="1" customFormat="1">
      <c r="A678" s="4">
        <v>45971</v>
      </c>
      <c r="B678" s="1" t="s">
        <v>21</v>
      </c>
      <c r="C678" s="1" t="s">
        <v>21</v>
      </c>
      <c r="D678" s="1" t="s">
        <v>21</v>
      </c>
      <c r="E678" s="1" t="s">
        <v>21</v>
      </c>
      <c r="F678" s="1" t="s">
        <v>21</v>
      </c>
      <c r="G678" s="1" t="s">
        <v>21</v>
      </c>
      <c r="H678" s="1">
        <v>0</v>
      </c>
      <c r="I678" s="1">
        <v>0</v>
      </c>
      <c r="J678" s="1">
        <v>0</v>
      </c>
      <c r="K678" s="1">
        <v>0</v>
      </c>
    </row>
    <row r="679" spans="1:11" s="1" customFormat="1">
      <c r="A679" s="4">
        <v>45972</v>
      </c>
      <c r="B679" s="1" t="s">
        <v>21</v>
      </c>
      <c r="C679" s="1" t="s">
        <v>21</v>
      </c>
      <c r="D679" s="1" t="s">
        <v>21</v>
      </c>
      <c r="E679" s="1" t="s">
        <v>21</v>
      </c>
      <c r="F679" s="1" t="s">
        <v>21</v>
      </c>
      <c r="G679" s="1" t="s">
        <v>21</v>
      </c>
      <c r="H679" s="1">
        <v>0</v>
      </c>
      <c r="I679" s="1">
        <v>0</v>
      </c>
      <c r="J679" s="1">
        <v>0</v>
      </c>
      <c r="K679" s="1">
        <v>0</v>
      </c>
    </row>
    <row r="680" spans="1:11" s="1" customFormat="1">
      <c r="A680" s="4">
        <v>45973</v>
      </c>
      <c r="B680" s="1" t="s">
        <v>21</v>
      </c>
      <c r="C680" s="1" t="s">
        <v>21</v>
      </c>
      <c r="D680" s="1" t="s">
        <v>21</v>
      </c>
      <c r="E680" s="1" t="s">
        <v>70</v>
      </c>
      <c r="F680" s="1" t="s">
        <v>70</v>
      </c>
      <c r="G680" s="1" t="s">
        <v>21</v>
      </c>
      <c r="H680" s="1" t="s">
        <v>21</v>
      </c>
      <c r="I680" s="1" t="s">
        <v>21</v>
      </c>
      <c r="J680" s="1" t="s">
        <v>21</v>
      </c>
      <c r="K680" s="1" t="s">
        <v>21</v>
      </c>
    </row>
    <row r="681" spans="1:11" s="1" customFormat="1">
      <c r="A681" s="4">
        <v>45974</v>
      </c>
      <c r="B681" s="1" t="s">
        <v>21</v>
      </c>
      <c r="C681" s="1" t="s">
        <v>21</v>
      </c>
      <c r="D681" s="1" t="s">
        <v>21</v>
      </c>
      <c r="E681" s="1" t="s">
        <v>21</v>
      </c>
      <c r="F681" s="1" t="s">
        <v>21</v>
      </c>
      <c r="G681" s="1" t="s">
        <v>21</v>
      </c>
      <c r="H681" s="1" t="s">
        <v>21</v>
      </c>
      <c r="I681" s="1" t="s">
        <v>21</v>
      </c>
      <c r="J681" s="1" t="s">
        <v>21</v>
      </c>
      <c r="K681" s="1" t="s">
        <v>21</v>
      </c>
    </row>
    <row r="682" spans="1:11" s="1" customFormat="1">
      <c r="A682" s="4">
        <v>45975</v>
      </c>
      <c r="B682" s="1" t="s">
        <v>21</v>
      </c>
      <c r="C682" s="1" t="s">
        <v>21</v>
      </c>
      <c r="D682" s="1" t="s">
        <v>21</v>
      </c>
      <c r="E682" s="1" t="s">
        <v>21</v>
      </c>
      <c r="F682" s="1" t="s">
        <v>21</v>
      </c>
      <c r="G682" s="1" t="s">
        <v>21</v>
      </c>
      <c r="H682" s="1" t="s">
        <v>21</v>
      </c>
      <c r="I682" s="1" t="s">
        <v>21</v>
      </c>
      <c r="J682" s="1" t="s">
        <v>21</v>
      </c>
      <c r="K682" s="1" t="s">
        <v>21</v>
      </c>
    </row>
    <row r="683" spans="1:11" s="1" customFormat="1">
      <c r="A683" s="4">
        <v>45978</v>
      </c>
      <c r="B683" s="1" t="s">
        <v>21</v>
      </c>
      <c r="C683" s="1" t="s">
        <v>41</v>
      </c>
      <c r="D683" s="1" t="s">
        <v>41</v>
      </c>
      <c r="E683" s="1" t="s">
        <v>41</v>
      </c>
      <c r="F683" s="1" t="s">
        <v>41</v>
      </c>
      <c r="G683" s="1" t="s">
        <v>21</v>
      </c>
      <c r="H683" s="1" t="s">
        <v>21</v>
      </c>
      <c r="I683" s="1" t="s">
        <v>21</v>
      </c>
      <c r="J683" s="1" t="s">
        <v>21</v>
      </c>
      <c r="K683" s="1" t="s">
        <v>21</v>
      </c>
    </row>
    <row r="684" spans="1:11" s="1" customFormat="1">
      <c r="A684" s="4">
        <v>45979</v>
      </c>
      <c r="B684" s="1" t="s">
        <v>21</v>
      </c>
      <c r="C684" s="1">
        <v>0</v>
      </c>
      <c r="D684" s="1">
        <v>0</v>
      </c>
      <c r="E684" s="1">
        <v>0</v>
      </c>
      <c r="F684" s="1">
        <v>0</v>
      </c>
      <c r="G684" s="1" t="s">
        <v>21</v>
      </c>
      <c r="H684" s="1" t="s">
        <v>21</v>
      </c>
      <c r="I684" s="1" t="s">
        <v>21</v>
      </c>
      <c r="J684" s="1" t="s">
        <v>21</v>
      </c>
      <c r="K684" s="1" t="s">
        <v>21</v>
      </c>
    </row>
    <row r="685" spans="1:11" s="1" customFormat="1">
      <c r="A685" s="4">
        <v>45980</v>
      </c>
      <c r="B685" s="1" t="s">
        <v>21</v>
      </c>
      <c r="C685" s="1">
        <v>0</v>
      </c>
      <c r="D685" s="1">
        <v>0</v>
      </c>
      <c r="E685" s="1">
        <v>0</v>
      </c>
      <c r="F685" s="1">
        <v>0</v>
      </c>
      <c r="G685" s="1" t="s">
        <v>21</v>
      </c>
      <c r="H685" s="1" t="s">
        <v>21</v>
      </c>
      <c r="I685" s="1" t="s">
        <v>21</v>
      </c>
      <c r="J685" s="1" t="s">
        <v>158</v>
      </c>
      <c r="K685" s="1" t="s">
        <v>158</v>
      </c>
    </row>
    <row r="686" spans="1:11" s="1" customFormat="1">
      <c r="A686" s="4">
        <v>45981</v>
      </c>
      <c r="B686" s="1" t="s">
        <v>21</v>
      </c>
      <c r="C686" s="1">
        <v>0</v>
      </c>
      <c r="D686" s="1">
        <v>0</v>
      </c>
      <c r="E686" s="1">
        <v>0</v>
      </c>
      <c r="F686" s="1">
        <v>0</v>
      </c>
      <c r="G686" s="1" t="s">
        <v>21</v>
      </c>
      <c r="H686" s="1">
        <v>0</v>
      </c>
      <c r="I686" s="1">
        <v>0</v>
      </c>
      <c r="J686" s="1">
        <v>0</v>
      </c>
      <c r="K686" s="1">
        <v>0</v>
      </c>
    </row>
    <row r="687" spans="1:11" s="1" customFormat="1">
      <c r="A687" s="4">
        <v>45982</v>
      </c>
      <c r="B687" s="1" t="s">
        <v>21</v>
      </c>
      <c r="C687" s="1">
        <v>0</v>
      </c>
      <c r="D687" s="1">
        <v>0</v>
      </c>
      <c r="E687" s="1">
        <v>0</v>
      </c>
      <c r="F687" s="1">
        <v>0</v>
      </c>
      <c r="G687" s="1" t="s">
        <v>21</v>
      </c>
      <c r="H687" s="1">
        <v>0</v>
      </c>
      <c r="I687" s="1">
        <v>0</v>
      </c>
      <c r="J687" s="1">
        <v>0</v>
      </c>
      <c r="K687" s="1">
        <v>0</v>
      </c>
    </row>
    <row r="688" spans="1:11" s="1" customFormat="1">
      <c r="A688" s="4">
        <v>45985</v>
      </c>
      <c r="B688" s="1" t="s">
        <v>21</v>
      </c>
      <c r="C688" s="1">
        <v>0</v>
      </c>
      <c r="D688" s="1">
        <v>0</v>
      </c>
      <c r="E688" s="1">
        <v>0</v>
      </c>
      <c r="F688" s="1">
        <v>0</v>
      </c>
      <c r="G688" s="1" t="s">
        <v>21</v>
      </c>
      <c r="H688" s="1">
        <v>0</v>
      </c>
      <c r="I688" s="1">
        <v>0</v>
      </c>
      <c r="J688" s="1">
        <v>0</v>
      </c>
      <c r="K688" s="1">
        <v>0</v>
      </c>
    </row>
    <row r="689" spans="1:11" s="1" customFormat="1">
      <c r="A689" s="4">
        <v>45986</v>
      </c>
      <c r="B689" s="1" t="s">
        <v>21</v>
      </c>
      <c r="C689" s="1">
        <v>0</v>
      </c>
      <c r="D689" s="1">
        <v>0</v>
      </c>
      <c r="E689" s="1">
        <v>0</v>
      </c>
      <c r="F689" s="1">
        <v>0</v>
      </c>
      <c r="G689" s="1" t="s">
        <v>21</v>
      </c>
      <c r="H689" s="1">
        <v>0</v>
      </c>
      <c r="I689" s="1">
        <v>0</v>
      </c>
      <c r="J689" s="1">
        <v>0</v>
      </c>
      <c r="K689" s="1">
        <v>0</v>
      </c>
    </row>
    <row r="690" spans="1:11" s="1" customFormat="1">
      <c r="A690" s="4">
        <v>45987</v>
      </c>
      <c r="B690" s="1" t="s">
        <v>21</v>
      </c>
      <c r="C690" s="1">
        <v>0</v>
      </c>
      <c r="D690" s="1">
        <v>0</v>
      </c>
      <c r="E690" s="1">
        <v>0</v>
      </c>
      <c r="F690" s="1">
        <v>0</v>
      </c>
      <c r="G690" s="1" t="s">
        <v>21</v>
      </c>
      <c r="H690" s="1">
        <v>0</v>
      </c>
      <c r="I690" s="1">
        <v>0</v>
      </c>
      <c r="J690" s="1">
        <v>0</v>
      </c>
      <c r="K690" s="1">
        <v>0</v>
      </c>
    </row>
    <row r="691" spans="1:11" s="1" customFormat="1">
      <c r="A691" s="4">
        <v>45988</v>
      </c>
      <c r="B691" s="1" t="s">
        <v>21</v>
      </c>
      <c r="C691" s="1">
        <v>0</v>
      </c>
      <c r="D691" s="1">
        <v>0</v>
      </c>
      <c r="E691" s="1">
        <v>0</v>
      </c>
      <c r="F691" s="1">
        <v>0</v>
      </c>
      <c r="G691" s="1" t="s">
        <v>21</v>
      </c>
      <c r="H691" s="1">
        <v>0</v>
      </c>
      <c r="I691" s="1">
        <v>0</v>
      </c>
      <c r="J691" s="1">
        <v>0</v>
      </c>
      <c r="K691" s="1">
        <v>0</v>
      </c>
    </row>
    <row r="692" spans="1:11" s="1" customFormat="1">
      <c r="A692" s="4">
        <v>45989</v>
      </c>
      <c r="B692" s="1" t="s">
        <v>21</v>
      </c>
      <c r="C692" s="1">
        <v>0</v>
      </c>
      <c r="D692" s="1">
        <v>0</v>
      </c>
      <c r="E692" s="1">
        <v>0</v>
      </c>
      <c r="F692" s="1">
        <v>0</v>
      </c>
      <c r="G692" s="1" t="s">
        <v>21</v>
      </c>
      <c r="H692" s="1">
        <v>0</v>
      </c>
      <c r="I692" s="1">
        <v>0</v>
      </c>
      <c r="J692" s="1">
        <v>0</v>
      </c>
      <c r="K692" s="1">
        <v>0</v>
      </c>
    </row>
    <row r="693" spans="1:11" s="1" customFormat="1">
      <c r="A693" s="4">
        <v>45992</v>
      </c>
      <c r="B693" s="1" t="s">
        <v>21</v>
      </c>
      <c r="C693" s="1">
        <v>0</v>
      </c>
      <c r="D693" s="1">
        <v>0</v>
      </c>
      <c r="E693" s="1">
        <v>0</v>
      </c>
      <c r="F693" s="1">
        <v>0</v>
      </c>
      <c r="G693" s="1" t="s">
        <v>21</v>
      </c>
      <c r="H693" s="1">
        <v>0</v>
      </c>
      <c r="I693" s="1">
        <v>0</v>
      </c>
      <c r="J693" s="1">
        <v>0</v>
      </c>
      <c r="K693" s="1">
        <v>0</v>
      </c>
    </row>
    <row r="694" spans="1:11" s="1" customFormat="1">
      <c r="A694" s="4">
        <v>45993</v>
      </c>
      <c r="B694" s="1" t="s">
        <v>21</v>
      </c>
      <c r="C694" s="1">
        <v>0</v>
      </c>
      <c r="D694" s="1">
        <v>0</v>
      </c>
      <c r="E694" s="1">
        <v>0</v>
      </c>
      <c r="F694" s="1">
        <v>0</v>
      </c>
      <c r="G694" s="1" t="s">
        <v>21</v>
      </c>
      <c r="H694" s="1">
        <v>0</v>
      </c>
      <c r="I694" s="1">
        <v>0</v>
      </c>
      <c r="J694" s="1">
        <v>0</v>
      </c>
      <c r="K694" s="1">
        <v>0</v>
      </c>
    </row>
    <row r="695" spans="1:11" s="1" customFormat="1">
      <c r="A695" s="4">
        <v>45994</v>
      </c>
      <c r="B695" s="1" t="s">
        <v>21</v>
      </c>
      <c r="C695" s="1" t="s">
        <v>21</v>
      </c>
      <c r="D695" s="1" t="s">
        <v>21</v>
      </c>
      <c r="E695" s="1" t="s">
        <v>21</v>
      </c>
      <c r="F695" s="1" t="s">
        <v>21</v>
      </c>
      <c r="G695" s="1" t="s">
        <v>21</v>
      </c>
      <c r="H695" s="1">
        <v>0</v>
      </c>
      <c r="I695" s="1">
        <v>0</v>
      </c>
      <c r="J695" s="1">
        <v>0</v>
      </c>
      <c r="K695" s="1">
        <v>0</v>
      </c>
    </row>
    <row r="696" spans="1:11" s="1" customFormat="1">
      <c r="A696" s="4">
        <v>45995</v>
      </c>
      <c r="B696" s="1" t="s">
        <v>21</v>
      </c>
      <c r="C696" s="1" t="s">
        <v>21</v>
      </c>
      <c r="D696" s="1" t="s">
        <v>21</v>
      </c>
      <c r="E696" s="1" t="s">
        <v>21</v>
      </c>
      <c r="F696" s="1" t="s">
        <v>21</v>
      </c>
      <c r="G696" s="1" t="s">
        <v>21</v>
      </c>
      <c r="H696" s="1">
        <v>0</v>
      </c>
      <c r="I696" s="1">
        <v>0</v>
      </c>
      <c r="J696" s="1">
        <v>0</v>
      </c>
      <c r="K696" s="1">
        <v>0</v>
      </c>
    </row>
    <row r="697" spans="1:11" s="1" customFormat="1">
      <c r="A697" s="4">
        <v>45996</v>
      </c>
      <c r="B697" s="1" t="s">
        <v>21</v>
      </c>
      <c r="C697" s="1" t="s">
        <v>21</v>
      </c>
      <c r="D697" s="1" t="s">
        <v>21</v>
      </c>
      <c r="E697" s="1" t="s">
        <v>21</v>
      </c>
      <c r="F697" s="1" t="s">
        <v>21</v>
      </c>
      <c r="G697" s="1" t="s">
        <v>21</v>
      </c>
      <c r="H697" s="1">
        <v>0</v>
      </c>
      <c r="I697" s="1">
        <v>0</v>
      </c>
      <c r="J697" s="1">
        <v>0</v>
      </c>
      <c r="K697" s="1">
        <v>0</v>
      </c>
    </row>
    <row r="698" spans="1:11" s="1" customFormat="1">
      <c r="A698" s="4">
        <v>45999</v>
      </c>
      <c r="B698" s="1" t="s">
        <v>21</v>
      </c>
      <c r="C698" s="1" t="s">
        <v>21</v>
      </c>
      <c r="D698" s="1" t="s">
        <v>21</v>
      </c>
      <c r="E698" s="1" t="s">
        <v>21</v>
      </c>
      <c r="F698" s="1" t="s">
        <v>21</v>
      </c>
      <c r="G698" s="1" t="s">
        <v>21</v>
      </c>
      <c r="H698" s="1">
        <v>0</v>
      </c>
      <c r="I698" s="1">
        <v>0</v>
      </c>
      <c r="J698" s="1">
        <v>0</v>
      </c>
      <c r="K698" s="1">
        <v>0</v>
      </c>
    </row>
    <row r="699" spans="1:11" s="1" customFormat="1">
      <c r="A699" s="4">
        <v>46000</v>
      </c>
      <c r="B699" s="1" t="s">
        <v>21</v>
      </c>
      <c r="C699" s="1" t="s">
        <v>21</v>
      </c>
      <c r="D699" s="1" t="s">
        <v>21</v>
      </c>
      <c r="E699" s="1" t="s">
        <v>21</v>
      </c>
      <c r="F699" s="1" t="s">
        <v>21</v>
      </c>
      <c r="G699" s="1" t="s">
        <v>21</v>
      </c>
      <c r="H699" s="1">
        <v>0</v>
      </c>
      <c r="I699" s="1">
        <v>0</v>
      </c>
      <c r="J699" s="1">
        <v>0</v>
      </c>
      <c r="K699" s="1">
        <v>0</v>
      </c>
    </row>
    <row r="700" spans="1:11" s="1" customFormat="1">
      <c r="A700" s="4">
        <v>46001</v>
      </c>
      <c r="B700" s="1" t="s">
        <v>21</v>
      </c>
      <c r="C700" s="1" t="s">
        <v>21</v>
      </c>
      <c r="D700" s="1" t="s">
        <v>21</v>
      </c>
      <c r="E700" s="1" t="s">
        <v>21</v>
      </c>
      <c r="F700" s="1" t="s">
        <v>21</v>
      </c>
      <c r="G700" s="1" t="s">
        <v>21</v>
      </c>
      <c r="H700" s="1">
        <v>0</v>
      </c>
      <c r="I700" s="1">
        <v>0</v>
      </c>
      <c r="J700" s="1">
        <v>0</v>
      </c>
      <c r="K700" s="1">
        <v>0</v>
      </c>
    </row>
    <row r="701" spans="1:11" s="1" customFormat="1">
      <c r="A701" s="4">
        <v>46002</v>
      </c>
      <c r="B701" s="1" t="s">
        <v>21</v>
      </c>
      <c r="C701" s="1" t="s">
        <v>21</v>
      </c>
      <c r="D701" s="1" t="s">
        <v>21</v>
      </c>
      <c r="E701" s="1" t="s">
        <v>21</v>
      </c>
      <c r="F701" s="1" t="s">
        <v>21</v>
      </c>
      <c r="G701" s="1" t="s">
        <v>21</v>
      </c>
      <c r="H701" s="1">
        <v>0</v>
      </c>
      <c r="I701" s="1">
        <v>0</v>
      </c>
      <c r="J701" s="1">
        <v>0</v>
      </c>
      <c r="K701" s="1">
        <v>0</v>
      </c>
    </row>
    <row r="702" spans="1:11" s="1" customFormat="1">
      <c r="A702" s="4">
        <v>46003</v>
      </c>
      <c r="B702" s="1" t="s">
        <v>21</v>
      </c>
      <c r="C702" s="1" t="s">
        <v>21</v>
      </c>
      <c r="D702" s="1" t="s">
        <v>21</v>
      </c>
      <c r="E702" s="1" t="s">
        <v>21</v>
      </c>
      <c r="F702" s="1" t="s">
        <v>21</v>
      </c>
      <c r="G702" s="1" t="s">
        <v>21</v>
      </c>
      <c r="H702" s="1">
        <v>0</v>
      </c>
      <c r="I702" s="1">
        <v>0</v>
      </c>
      <c r="J702" s="1">
        <v>0</v>
      </c>
      <c r="K702" s="1">
        <v>0</v>
      </c>
    </row>
    <row r="703" spans="1:11" s="1" customFormat="1">
      <c r="A703" s="4">
        <v>46006</v>
      </c>
      <c r="B703" s="1" t="s">
        <v>21</v>
      </c>
      <c r="C703" s="1" t="s">
        <v>21</v>
      </c>
      <c r="D703" s="1" t="s">
        <v>21</v>
      </c>
      <c r="E703" s="1" t="s">
        <v>21</v>
      </c>
      <c r="F703" s="1" t="s">
        <v>21</v>
      </c>
      <c r="G703" s="1" t="s">
        <v>21</v>
      </c>
      <c r="H703" s="1">
        <v>0</v>
      </c>
      <c r="I703" s="1">
        <v>0</v>
      </c>
      <c r="J703" s="1">
        <v>0</v>
      </c>
      <c r="K703" s="1">
        <v>0</v>
      </c>
    </row>
    <row r="704" spans="1:11" s="1" customFormat="1">
      <c r="A704" s="4">
        <v>46007</v>
      </c>
      <c r="B704" s="1" t="s">
        <v>21</v>
      </c>
      <c r="C704" s="1" t="s">
        <v>21</v>
      </c>
      <c r="D704" s="1" t="s">
        <v>21</v>
      </c>
      <c r="E704" s="1" t="s">
        <v>21</v>
      </c>
      <c r="F704" s="1" t="s">
        <v>21</v>
      </c>
      <c r="G704" s="1" t="s">
        <v>21</v>
      </c>
      <c r="H704" s="1" t="s">
        <v>21</v>
      </c>
      <c r="I704" s="1" t="s">
        <v>21</v>
      </c>
      <c r="J704" s="1" t="s">
        <v>21</v>
      </c>
      <c r="K704" s="1" t="s">
        <v>21</v>
      </c>
    </row>
    <row r="705" spans="1:11" s="1" customFormat="1">
      <c r="A705" s="4">
        <v>46008</v>
      </c>
      <c r="B705" s="1" t="s">
        <v>21</v>
      </c>
      <c r="C705" s="1">
        <v>0</v>
      </c>
      <c r="D705" s="1">
        <v>0</v>
      </c>
      <c r="E705" s="1">
        <v>0</v>
      </c>
      <c r="F705" s="1">
        <v>0</v>
      </c>
      <c r="G705" s="1" t="s">
        <v>21</v>
      </c>
      <c r="H705" s="1" t="s">
        <v>21</v>
      </c>
      <c r="I705" s="1" t="s">
        <v>21</v>
      </c>
      <c r="J705" s="1" t="s">
        <v>21</v>
      </c>
      <c r="K705" s="1" t="s">
        <v>21</v>
      </c>
    </row>
    <row r="706" spans="1:11" s="1" customFormat="1">
      <c r="A706" s="4">
        <v>46009</v>
      </c>
      <c r="B706" s="1" t="s">
        <v>21</v>
      </c>
      <c r="C706" s="1">
        <v>0</v>
      </c>
      <c r="D706" s="1">
        <v>0</v>
      </c>
      <c r="E706" s="1">
        <v>0</v>
      </c>
      <c r="F706" s="1">
        <v>0</v>
      </c>
      <c r="G706" s="1" t="s">
        <v>21</v>
      </c>
      <c r="H706" s="1" t="s">
        <v>121</v>
      </c>
      <c r="I706" s="1" t="s">
        <v>121</v>
      </c>
      <c r="J706" s="1" t="s">
        <v>121</v>
      </c>
      <c r="K706" s="1" t="s">
        <v>121</v>
      </c>
    </row>
    <row r="707" spans="1:11" s="1" customFormat="1">
      <c r="A707" s="4">
        <v>46010</v>
      </c>
      <c r="B707" s="1" t="s">
        <v>21</v>
      </c>
      <c r="C707" s="1">
        <v>0</v>
      </c>
      <c r="D707" s="1">
        <v>0</v>
      </c>
      <c r="E707" s="1">
        <v>0</v>
      </c>
      <c r="F707" s="1">
        <v>0</v>
      </c>
      <c r="G707" s="1" t="s">
        <v>21</v>
      </c>
      <c r="H707" s="1" t="s">
        <v>21</v>
      </c>
      <c r="I707" s="1" t="s">
        <v>21</v>
      </c>
      <c r="J707" s="1" t="s">
        <v>21</v>
      </c>
      <c r="K707" s="1" t="s">
        <v>21</v>
      </c>
    </row>
    <row r="708" spans="1:11" s="1" customFormat="1">
      <c r="A708" s="4">
        <v>46013</v>
      </c>
      <c r="B708" s="1" t="s">
        <v>21</v>
      </c>
      <c r="C708" s="1">
        <v>0</v>
      </c>
      <c r="D708" s="1">
        <v>0</v>
      </c>
      <c r="E708" s="1">
        <v>0</v>
      </c>
      <c r="F708" s="1">
        <v>0</v>
      </c>
      <c r="G708" s="1" t="s">
        <v>21</v>
      </c>
      <c r="H708" s="1" t="s">
        <v>21</v>
      </c>
      <c r="I708" s="1" t="s">
        <v>21</v>
      </c>
      <c r="J708" s="1" t="s">
        <v>159</v>
      </c>
      <c r="K708" s="1" t="s">
        <v>159</v>
      </c>
    </row>
    <row r="709" spans="1:11" s="1" customFormat="1">
      <c r="A709" s="4">
        <v>46014</v>
      </c>
      <c r="B709" s="1" t="s">
        <v>21</v>
      </c>
      <c r="C709" s="1">
        <v>0</v>
      </c>
      <c r="D709" s="1">
        <v>0</v>
      </c>
      <c r="E709" s="1">
        <v>0</v>
      </c>
      <c r="F709" s="1">
        <v>0</v>
      </c>
      <c r="G709" s="1" t="s">
        <v>21</v>
      </c>
      <c r="H709" s="1" t="s">
        <v>21</v>
      </c>
      <c r="I709" s="1" t="s">
        <v>21</v>
      </c>
      <c r="J709" s="1" t="s">
        <v>160</v>
      </c>
      <c r="K709" s="1" t="s">
        <v>160</v>
      </c>
    </row>
    <row r="710" spans="1:11" s="1" customFormat="1">
      <c r="A710" s="4">
        <v>46015</v>
      </c>
      <c r="B710" s="1" t="s">
        <v>21</v>
      </c>
      <c r="C710" s="1">
        <v>0</v>
      </c>
      <c r="D710" s="1">
        <v>0</v>
      </c>
      <c r="E710" s="1">
        <v>0</v>
      </c>
      <c r="F710" s="1">
        <v>0</v>
      </c>
      <c r="G710" s="1" t="s">
        <v>21</v>
      </c>
      <c r="H710" s="1">
        <v>0</v>
      </c>
      <c r="I710" s="1">
        <v>0</v>
      </c>
      <c r="J710" s="1">
        <v>0</v>
      </c>
      <c r="K710" s="1">
        <v>0</v>
      </c>
    </row>
    <row r="711" spans="1:11" s="1" customFormat="1">
      <c r="A711" s="4">
        <v>46017</v>
      </c>
      <c r="B711" s="1" t="s">
        <v>21</v>
      </c>
      <c r="C711" s="1">
        <v>0</v>
      </c>
      <c r="D711" s="1">
        <v>0</v>
      </c>
      <c r="E711" s="1">
        <v>0</v>
      </c>
      <c r="F711" s="1">
        <v>0</v>
      </c>
      <c r="G711" s="1" t="s">
        <v>21</v>
      </c>
      <c r="H711" s="1">
        <v>0</v>
      </c>
      <c r="I711" s="1">
        <v>0</v>
      </c>
      <c r="J711" s="1">
        <v>0</v>
      </c>
      <c r="K711" s="1">
        <v>0</v>
      </c>
    </row>
    <row r="712" spans="1:11" s="1" customFormat="1">
      <c r="A712" s="4">
        <v>46020</v>
      </c>
      <c r="B712" s="1" t="s">
        <v>21</v>
      </c>
      <c r="C712" s="1">
        <v>0</v>
      </c>
      <c r="D712" s="1">
        <v>0</v>
      </c>
      <c r="E712" s="1">
        <v>0</v>
      </c>
      <c r="F712" s="1">
        <v>0</v>
      </c>
      <c r="G712" s="1" t="s">
        <v>21</v>
      </c>
      <c r="H712" s="1">
        <v>0</v>
      </c>
      <c r="I712" s="1">
        <v>0</v>
      </c>
      <c r="J712" s="1">
        <v>0</v>
      </c>
      <c r="K712" s="1">
        <v>0</v>
      </c>
    </row>
    <row r="713" spans="1:11" s="1" customFormat="1">
      <c r="A713" s="4">
        <v>46021</v>
      </c>
      <c r="B713" s="1" t="s">
        <v>21</v>
      </c>
      <c r="C713" s="1">
        <v>0</v>
      </c>
      <c r="D713" s="1">
        <v>0</v>
      </c>
      <c r="E713" s="1">
        <v>0</v>
      </c>
      <c r="F713" s="1">
        <v>0</v>
      </c>
      <c r="G713" s="1" t="s">
        <v>21</v>
      </c>
      <c r="H713" s="1">
        <v>0</v>
      </c>
      <c r="I713" s="1">
        <v>0</v>
      </c>
      <c r="J713" s="1">
        <v>0</v>
      </c>
      <c r="K713" s="1">
        <v>0</v>
      </c>
    </row>
    <row r="714" spans="1:11" s="1" customFormat="1">
      <c r="A714" s="4">
        <v>46022</v>
      </c>
      <c r="B714" s="1" t="s">
        <v>21</v>
      </c>
      <c r="C714" s="1">
        <v>0</v>
      </c>
      <c r="D714" s="1">
        <v>0</v>
      </c>
      <c r="E714" s="1">
        <v>0</v>
      </c>
      <c r="F714" s="1">
        <v>0</v>
      </c>
      <c r="G714" s="1" t="s">
        <v>21</v>
      </c>
      <c r="H714" s="1">
        <v>0</v>
      </c>
      <c r="I714" s="1">
        <v>0</v>
      </c>
      <c r="J714" s="1">
        <v>0</v>
      </c>
      <c r="K714" s="1">
        <v>0</v>
      </c>
    </row>
    <row r="715" spans="1:11" s="1" customFormat="1">
      <c r="A715" s="4">
        <v>46023</v>
      </c>
      <c r="B715" s="1" t="s">
        <v>21</v>
      </c>
      <c r="C715" s="1" t="s">
        <v>21</v>
      </c>
      <c r="D715" s="1" t="s">
        <v>21</v>
      </c>
      <c r="E715" s="1" t="s">
        <v>21</v>
      </c>
      <c r="F715" s="1" t="s">
        <v>21</v>
      </c>
      <c r="G715" s="1" t="s">
        <v>21</v>
      </c>
      <c r="H715" s="1">
        <v>0</v>
      </c>
      <c r="I715" s="1">
        <v>0</v>
      </c>
      <c r="J715" s="1">
        <v>0</v>
      </c>
      <c r="K715" s="1">
        <v>0</v>
      </c>
    </row>
    <row r="716" spans="1:11" s="1" customFormat="1">
      <c r="A716" s="4">
        <v>46024</v>
      </c>
      <c r="B716" s="1" t="s">
        <v>21</v>
      </c>
      <c r="C716" s="1" t="s">
        <v>21</v>
      </c>
      <c r="D716" s="1" t="s">
        <v>21</v>
      </c>
      <c r="E716" s="1" t="s">
        <v>21</v>
      </c>
      <c r="F716" s="1" t="s">
        <v>21</v>
      </c>
      <c r="G716" s="1" t="s">
        <v>21</v>
      </c>
      <c r="H716" s="1">
        <v>0</v>
      </c>
      <c r="I716" s="1">
        <v>0</v>
      </c>
      <c r="J716" s="1">
        <v>0</v>
      </c>
      <c r="K716" s="1">
        <v>0</v>
      </c>
    </row>
    <row r="717" spans="1:11" s="1" customFormat="1">
      <c r="A717" s="4">
        <v>46027</v>
      </c>
      <c r="B717" s="1" t="s">
        <v>21</v>
      </c>
      <c r="C717" s="1" t="s">
        <v>21</v>
      </c>
      <c r="D717" s="1" t="s">
        <v>21</v>
      </c>
      <c r="E717" s="1" t="s">
        <v>21</v>
      </c>
      <c r="F717" s="1" t="s">
        <v>21</v>
      </c>
      <c r="G717" s="1" t="s">
        <v>21</v>
      </c>
      <c r="H717" s="1">
        <v>0</v>
      </c>
      <c r="I717" s="1">
        <v>0</v>
      </c>
      <c r="J717" s="1">
        <v>0</v>
      </c>
      <c r="K717" s="1">
        <v>0</v>
      </c>
    </row>
    <row r="718" spans="1:11" s="1" customFormat="1">
      <c r="A718" s="4">
        <v>46028</v>
      </c>
      <c r="B718" s="1" t="s">
        <v>21</v>
      </c>
      <c r="C718" s="1" t="s">
        <v>21</v>
      </c>
      <c r="D718" s="1" t="s">
        <v>21</v>
      </c>
      <c r="E718" s="1" t="s">
        <v>21</v>
      </c>
      <c r="F718" s="1" t="s">
        <v>21</v>
      </c>
      <c r="G718" s="1" t="s">
        <v>21</v>
      </c>
      <c r="H718" s="1">
        <v>0</v>
      </c>
      <c r="I718" s="1">
        <v>0</v>
      </c>
      <c r="J718" s="1">
        <v>0</v>
      </c>
      <c r="K718" s="1">
        <v>0</v>
      </c>
    </row>
    <row r="719" spans="1:11" s="1" customFormat="1">
      <c r="A719" s="4">
        <v>46029</v>
      </c>
      <c r="B719" s="1" t="s">
        <v>21</v>
      </c>
      <c r="C719" s="1" t="s">
        <v>21</v>
      </c>
      <c r="D719" s="1" t="s">
        <v>21</v>
      </c>
      <c r="E719" s="1" t="s">
        <v>21</v>
      </c>
      <c r="F719" s="1" t="s">
        <v>21</v>
      </c>
      <c r="G719" s="1" t="s">
        <v>21</v>
      </c>
      <c r="H719" s="1">
        <v>0</v>
      </c>
      <c r="I719" s="1">
        <v>0</v>
      </c>
      <c r="J719" s="1">
        <v>0</v>
      </c>
      <c r="K719" s="1">
        <v>0</v>
      </c>
    </row>
    <row r="720" spans="1:11" s="1" customFormat="1">
      <c r="A720" s="4">
        <v>46030</v>
      </c>
      <c r="B720" s="1" t="s">
        <v>21</v>
      </c>
      <c r="C720" s="1" t="s">
        <v>21</v>
      </c>
      <c r="D720" s="1" t="s">
        <v>21</v>
      </c>
      <c r="E720" s="1" t="s">
        <v>21</v>
      </c>
      <c r="F720" s="1" t="s">
        <v>21</v>
      </c>
      <c r="G720" s="1" t="s">
        <v>21</v>
      </c>
      <c r="H720" s="1">
        <v>0</v>
      </c>
      <c r="I720" s="1">
        <v>0</v>
      </c>
      <c r="J720" s="1">
        <v>0</v>
      </c>
      <c r="K720" s="1">
        <v>0</v>
      </c>
    </row>
    <row r="721" spans="1:11" s="1" customFormat="1">
      <c r="A721" s="4">
        <v>46031</v>
      </c>
      <c r="B721" s="1" t="s">
        <v>21</v>
      </c>
      <c r="C721" s="1" t="s">
        <v>21</v>
      </c>
      <c r="D721" s="1" t="s">
        <v>21</v>
      </c>
      <c r="E721" s="1" t="s">
        <v>21</v>
      </c>
      <c r="F721" s="1" t="s">
        <v>21</v>
      </c>
      <c r="G721" s="1" t="s">
        <v>21</v>
      </c>
      <c r="H721" s="1">
        <v>0</v>
      </c>
      <c r="I721" s="1">
        <v>0</v>
      </c>
      <c r="J721" s="1">
        <v>0</v>
      </c>
      <c r="K721" s="1">
        <v>0</v>
      </c>
    </row>
    <row r="722" spans="1:11" s="1" customFormat="1">
      <c r="A722" s="4">
        <v>46034</v>
      </c>
      <c r="B722" s="1" t="s">
        <v>21</v>
      </c>
      <c r="C722" s="1" t="s">
        <v>21</v>
      </c>
      <c r="D722" s="1" t="s">
        <v>21</v>
      </c>
      <c r="E722" s="1" t="s">
        <v>21</v>
      </c>
      <c r="F722" s="1" t="s">
        <v>21</v>
      </c>
      <c r="G722" s="1" t="s">
        <v>21</v>
      </c>
      <c r="H722" s="1">
        <v>0</v>
      </c>
      <c r="I722" s="1">
        <v>0</v>
      </c>
      <c r="J722" s="1">
        <v>0</v>
      </c>
      <c r="K722" s="1">
        <v>0</v>
      </c>
    </row>
    <row r="723" spans="1:11" s="1" customFormat="1"/>
    <row r="724" spans="1:11" s="1" customFormat="1"/>
    <row r="725" spans="1:11" s="1" customFormat="1"/>
    <row r="726" spans="1:11" s="1" customFormat="1"/>
    <row r="727" spans="1:11" s="1" customFormat="1"/>
    <row r="728" spans="1:11" s="1" customFormat="1"/>
    <row r="729" spans="1:11" s="1" customFormat="1"/>
    <row r="730" spans="1:11" s="1" customFormat="1"/>
    <row r="731" spans="1:11" s="1" customFormat="1"/>
    <row r="732" spans="1:11" s="1" customFormat="1"/>
    <row r="733" spans="1:11" s="1" customFormat="1"/>
    <row r="734" spans="1:11" s="1" customFormat="1"/>
    <row r="735" spans="1:11" s="1" customFormat="1"/>
    <row r="736" spans="1:11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000"/>
  <sheetViews>
    <sheetView workbookViewId="0"/>
  </sheetViews>
  <sheetFormatPr defaultRowHeight="15"/>
  <sheetData>
    <row r="1" spans="1:20" s="1" customFormat="1">
      <c r="A1" s="2" t="s">
        <v>8</v>
      </c>
      <c r="B1" s="2" t="s">
        <v>9</v>
      </c>
      <c r="C1" s="2" t="s">
        <v>10</v>
      </c>
      <c r="D1" s="2" t="s">
        <v>11</v>
      </c>
      <c r="E1" s="2" t="s">
        <v>0</v>
      </c>
      <c r="F1" s="2" t="s">
        <v>171</v>
      </c>
      <c r="G1" s="2" t="s">
        <v>1</v>
      </c>
      <c r="H1" s="2" t="s">
        <v>172</v>
      </c>
      <c r="I1" s="2" t="s">
        <v>2</v>
      </c>
      <c r="J1" s="2" t="s">
        <v>173</v>
      </c>
      <c r="K1" s="2" t="s">
        <v>3</v>
      </c>
      <c r="L1" s="2" t="s">
        <v>174</v>
      </c>
      <c r="M1" s="2" t="s">
        <v>4</v>
      </c>
      <c r="N1" s="2" t="s">
        <v>175</v>
      </c>
      <c r="O1" s="2" t="s">
        <v>5</v>
      </c>
      <c r="P1" s="2" t="s">
        <v>176</v>
      </c>
      <c r="Q1" s="2" t="s">
        <v>6</v>
      </c>
      <c r="R1" s="2" t="s">
        <v>177</v>
      </c>
      <c r="S1" s="2" t="s">
        <v>7</v>
      </c>
      <c r="T1" s="2" t="s">
        <v>178</v>
      </c>
    </row>
    <row r="2" spans="1:20" s="1" customFormat="1">
      <c r="A2" s="3">
        <v>44928</v>
      </c>
      <c r="B2" s="2" t="s">
        <v>12</v>
      </c>
      <c r="C2" s="2">
        <v>8</v>
      </c>
      <c r="D2" s="2">
        <v>12</v>
      </c>
      <c r="E2" s="1">
        <v>66831.350406668</v>
      </c>
      <c r="F2" s="1">
        <f>IF(E2 &lt; 0, E2, 0)</f>
        <v>0</v>
      </c>
      <c r="G2" s="1">
        <v>66831.350406668</v>
      </c>
      <c r="H2" s="1">
        <f>IF(G2 &lt; 0, G2, 0)</f>
        <v>0</v>
      </c>
      <c r="I2" s="1">
        <v>66831.350406668</v>
      </c>
      <c r="J2" s="1">
        <f>IF(I2 &lt; 0, I2, 0)</f>
        <v>0</v>
      </c>
      <c r="K2" s="1">
        <v>66831.350406668</v>
      </c>
      <c r="L2" s="1">
        <f>IF(K2 &lt; 0, K2, 0)</f>
        <v>0</v>
      </c>
      <c r="M2" s="1">
        <v>0</v>
      </c>
      <c r="N2" s="1">
        <f>IF(M2 &lt; 0, M2, 0)</f>
        <v>0</v>
      </c>
      <c r="O2" s="1">
        <v>0</v>
      </c>
      <c r="P2" s="1">
        <f>IF(O2 &lt; 0, O2, 0)</f>
        <v>0</v>
      </c>
      <c r="Q2" s="1">
        <v>0</v>
      </c>
      <c r="R2" s="1">
        <f>IF(Q2 &lt; 0, Q2, 0)</f>
        <v>0</v>
      </c>
      <c r="S2" s="1">
        <v>0</v>
      </c>
      <c r="T2" s="1">
        <f>IF(S2 &lt; 0, S2, 0)</f>
        <v>0</v>
      </c>
    </row>
    <row r="3" spans="1:20" s="1" customFormat="1">
      <c r="A3" s="3">
        <v>44929</v>
      </c>
      <c r="B3" s="2" t="s">
        <v>13</v>
      </c>
      <c r="C3" s="2">
        <v>7</v>
      </c>
      <c r="D3" s="2">
        <v>11</v>
      </c>
      <c r="E3" s="1">
        <v>10149.73369510601</v>
      </c>
      <c r="F3" s="1">
        <f>IF(E3 + F2 &lt; 0, E3 + F2, 0)</f>
        <v>0</v>
      </c>
      <c r="G3" s="1">
        <v>10149.73369510601</v>
      </c>
      <c r="H3" s="1">
        <f>IF(G3 + H2 &lt; 0, G3 + H2, 0)</f>
        <v>0</v>
      </c>
      <c r="I3" s="1">
        <v>10149.73369510601</v>
      </c>
      <c r="J3" s="1">
        <f>IF(I3 + J2 &lt; 0, I3 + J2, 0)</f>
        <v>0</v>
      </c>
      <c r="K3" s="1">
        <v>10149.73369510601</v>
      </c>
      <c r="L3" s="1">
        <f>IF(K3 + L2 &lt; 0, K3 + L2, 0)</f>
        <v>0</v>
      </c>
      <c r="M3" s="1">
        <v>0</v>
      </c>
      <c r="N3" s="1">
        <f>IF(M3 + N2 &lt; 0, M3 + N2, 0)</f>
        <v>0</v>
      </c>
      <c r="O3" s="1">
        <v>0</v>
      </c>
      <c r="P3" s="1">
        <f>IF(O3 + P2 &lt; 0, O3 + P2, 0)</f>
        <v>0</v>
      </c>
      <c r="Q3" s="1">
        <v>0</v>
      </c>
      <c r="R3" s="1">
        <f>IF(Q3 + R2 &lt; 0, Q3 + R2, 0)</f>
        <v>0</v>
      </c>
      <c r="S3" s="1">
        <v>0</v>
      </c>
      <c r="T3" s="1">
        <f>IF(S3 + T2 &lt; 0, S3 + T2, 0)</f>
        <v>0</v>
      </c>
    </row>
    <row r="4" spans="1:20" s="1" customFormat="1">
      <c r="A4" s="3">
        <v>44930</v>
      </c>
      <c r="B4" s="2" t="s">
        <v>14</v>
      </c>
      <c r="C4" s="2">
        <v>6</v>
      </c>
      <c r="D4" s="2">
        <v>10</v>
      </c>
      <c r="E4" s="1">
        <v>31445.55694618274</v>
      </c>
      <c r="F4" s="1">
        <f>IF(E4 + F3 &lt; 0, E4 + F3, 0)</f>
        <v>0</v>
      </c>
      <c r="G4" s="1">
        <v>31445.55694618274</v>
      </c>
      <c r="H4" s="1">
        <f>IF(G4 + H3 &lt; 0, G4 + H3, 0)</f>
        <v>0</v>
      </c>
      <c r="I4" s="1">
        <v>31445.55694618274</v>
      </c>
      <c r="J4" s="1">
        <f>IF(I4 + J3 &lt; 0, I4 + J3, 0)</f>
        <v>0</v>
      </c>
      <c r="K4" s="1">
        <v>31445.55694618274</v>
      </c>
      <c r="L4" s="1">
        <f>IF(K4 + L3 &lt; 0, K4 + L3, 0)</f>
        <v>0</v>
      </c>
      <c r="M4" s="1">
        <v>0</v>
      </c>
      <c r="N4" s="1">
        <f>IF(M4 + N3 &lt; 0, M4 + N3, 0)</f>
        <v>0</v>
      </c>
      <c r="O4" s="1">
        <v>0</v>
      </c>
      <c r="P4" s="1">
        <f>IF(O4 + P3 &lt; 0, O4 + P3, 0)</f>
        <v>0</v>
      </c>
      <c r="Q4" s="1">
        <v>0</v>
      </c>
      <c r="R4" s="1">
        <f>IF(Q4 + R3 &lt; 0, Q4 + R3, 0)</f>
        <v>0</v>
      </c>
      <c r="S4" s="1">
        <v>0</v>
      </c>
      <c r="T4" s="1">
        <f>IF(S4 + T3 &lt; 0, S4 + T3, 0)</f>
        <v>0</v>
      </c>
    </row>
    <row r="5" spans="1:20" s="1" customFormat="1">
      <c r="A5" s="3">
        <v>44932</v>
      </c>
      <c r="B5" s="2" t="s">
        <v>15</v>
      </c>
      <c r="C5" s="2">
        <v>5</v>
      </c>
      <c r="D5" s="2">
        <v>9</v>
      </c>
      <c r="E5" s="1">
        <v>108759.648178065</v>
      </c>
      <c r="F5" s="1">
        <f>IF(E5 + F4 &lt; 0, E5 + F4, 0)</f>
        <v>0</v>
      </c>
      <c r="G5" s="1">
        <v>108759.648178065</v>
      </c>
      <c r="H5" s="1">
        <f>IF(G5 + H4 &lt; 0, G5 + H4, 0)</f>
        <v>0</v>
      </c>
      <c r="I5" s="1">
        <v>108759.648178065</v>
      </c>
      <c r="J5" s="1">
        <f>IF(I5 + J4 &lt; 0, I5 + J4, 0)</f>
        <v>0</v>
      </c>
      <c r="K5" s="1">
        <v>108759.648178065</v>
      </c>
      <c r="L5" s="1">
        <f>IF(K5 + L4 &lt; 0, K5 + L4, 0)</f>
        <v>0</v>
      </c>
      <c r="M5" s="1">
        <v>0</v>
      </c>
      <c r="N5" s="1">
        <f>IF(M5 + N4 &lt; 0, M5 + N4, 0)</f>
        <v>0</v>
      </c>
      <c r="O5" s="1">
        <v>0</v>
      </c>
      <c r="P5" s="1">
        <f>IF(O5 + P4 &lt; 0, O5 + P4, 0)</f>
        <v>0</v>
      </c>
      <c r="Q5" s="1">
        <v>0</v>
      </c>
      <c r="R5" s="1">
        <f>IF(Q5 + R4 &lt; 0, Q5 + R4, 0)</f>
        <v>0</v>
      </c>
      <c r="S5" s="1">
        <v>0</v>
      </c>
      <c r="T5" s="1">
        <f>IF(S5 + T4 &lt; 0, S5 + T4, 0)</f>
        <v>0</v>
      </c>
    </row>
    <row r="6" spans="1:20" s="1" customFormat="1">
      <c r="A6" s="3">
        <v>44938</v>
      </c>
      <c r="B6" s="2" t="s">
        <v>16</v>
      </c>
      <c r="C6" s="2">
        <v>4</v>
      </c>
      <c r="D6" s="2">
        <v>8</v>
      </c>
      <c r="E6" s="1">
        <v>165217.6204025714</v>
      </c>
      <c r="F6" s="1">
        <f>IF(E6 + F5 &lt; 0, E6 + F5, 0)</f>
        <v>0</v>
      </c>
      <c r="G6" s="1">
        <v>165217.6204025714</v>
      </c>
      <c r="H6" s="1">
        <f>IF(G6 + H5 &lt; 0, G6 + H5, 0)</f>
        <v>0</v>
      </c>
      <c r="I6" s="1">
        <v>165217.6204025714</v>
      </c>
      <c r="J6" s="1">
        <f>IF(I6 + J5 &lt; 0, I6 + J5, 0)</f>
        <v>0</v>
      </c>
      <c r="K6" s="1">
        <v>165217.6204025714</v>
      </c>
      <c r="L6" s="1">
        <f>IF(K6 + L5 &lt; 0, K6 + L5, 0)</f>
        <v>0</v>
      </c>
      <c r="M6" s="1">
        <v>0</v>
      </c>
      <c r="N6" s="1">
        <f>IF(M6 + N5 &lt; 0, M6 + N5, 0)</f>
        <v>0</v>
      </c>
      <c r="O6" s="1">
        <v>0</v>
      </c>
      <c r="P6" s="1">
        <f>IF(O6 + P5 &lt; 0, O6 + P5, 0)</f>
        <v>0</v>
      </c>
      <c r="Q6" s="1">
        <v>0</v>
      </c>
      <c r="R6" s="1">
        <f>IF(Q6 + R5 &lt; 0, Q6 + R5, 0)</f>
        <v>0</v>
      </c>
      <c r="S6" s="1">
        <v>0</v>
      </c>
      <c r="T6" s="1">
        <f>IF(S6 + T5 &lt; 0, S6 + T5, 0)</f>
        <v>0</v>
      </c>
    </row>
    <row r="7" spans="1:20" s="1" customFormat="1">
      <c r="A7" s="3">
        <v>44939</v>
      </c>
      <c r="B7" s="2" t="s">
        <v>15</v>
      </c>
      <c r="C7" s="2">
        <v>3</v>
      </c>
      <c r="D7" s="2">
        <v>7</v>
      </c>
      <c r="E7" s="1">
        <v>139881.6795225297</v>
      </c>
      <c r="F7" s="1">
        <f>IF(E7 + F6 &lt; 0, E7 + F6, 0)</f>
        <v>0</v>
      </c>
      <c r="G7" s="1">
        <v>139881.6795225297</v>
      </c>
      <c r="H7" s="1">
        <f>IF(G7 + H6 &lt; 0, G7 + H6, 0)</f>
        <v>0</v>
      </c>
      <c r="I7" s="1">
        <v>139881.6795225297</v>
      </c>
      <c r="J7" s="1">
        <f>IF(I7 + J6 &lt; 0, I7 + J6, 0)</f>
        <v>0</v>
      </c>
      <c r="K7" s="1">
        <v>139881.6795225297</v>
      </c>
      <c r="L7" s="1">
        <f>IF(K7 + L6 &lt; 0, K7 + L6, 0)</f>
        <v>0</v>
      </c>
      <c r="M7" s="1">
        <v>0</v>
      </c>
      <c r="N7" s="1">
        <f>IF(M7 + N6 &lt; 0, M7 + N6, 0)</f>
        <v>0</v>
      </c>
      <c r="O7" s="1">
        <v>0</v>
      </c>
      <c r="P7" s="1">
        <f>IF(O7 + P6 &lt; 0, O7 + P6, 0)</f>
        <v>0</v>
      </c>
      <c r="Q7" s="1">
        <v>0</v>
      </c>
      <c r="R7" s="1">
        <f>IF(Q7 + R6 &lt; 0, Q7 + R6, 0)</f>
        <v>0</v>
      </c>
      <c r="S7" s="1">
        <v>0</v>
      </c>
      <c r="T7" s="1">
        <f>IF(S7 + T6 &lt; 0, S7 + T6, 0)</f>
        <v>0</v>
      </c>
    </row>
    <row r="8" spans="1:20" s="1" customFormat="1">
      <c r="A8" s="3">
        <v>44942</v>
      </c>
      <c r="B8" s="2" t="s">
        <v>12</v>
      </c>
      <c r="C8" s="2">
        <v>2</v>
      </c>
      <c r="D8" s="2">
        <v>6</v>
      </c>
      <c r="E8" s="1">
        <v>20363.49255476463</v>
      </c>
      <c r="F8" s="1">
        <f>IF(E8 + F7 &lt; 0, E8 + F7, 0)</f>
        <v>0</v>
      </c>
      <c r="G8" s="1">
        <v>100244.1624540046</v>
      </c>
      <c r="H8" s="1">
        <f>IF(G8 + H7 &lt; 0, G8 + H7, 0)</f>
        <v>0</v>
      </c>
      <c r="I8" s="1">
        <v>100244.1624540046</v>
      </c>
      <c r="J8" s="1">
        <f>IF(I8 + J7 &lt; 0, I8 + J7, 0)</f>
        <v>0</v>
      </c>
      <c r="K8" s="1">
        <v>100244.1624540046</v>
      </c>
      <c r="L8" s="1">
        <f>IF(K8 + L7 &lt; 0, K8 + L7, 0)</f>
        <v>0</v>
      </c>
      <c r="M8" s="1">
        <v>84224.59893048128</v>
      </c>
      <c r="N8" s="1">
        <f>IF(M8 + N7 &lt; 0, M8 + N7, 0)</f>
        <v>0</v>
      </c>
      <c r="O8" s="1">
        <v>84224.59893048128</v>
      </c>
      <c r="P8" s="1">
        <f>IF(O8 + P7 &lt; 0, O8 + P7, 0)</f>
        <v>0</v>
      </c>
      <c r="Q8" s="1">
        <v>84224.59893048128</v>
      </c>
      <c r="R8" s="1">
        <f>IF(Q8 + R7 &lt; 0, Q8 + R7, 0)</f>
        <v>0</v>
      </c>
      <c r="S8" s="1">
        <v>84224.59893048128</v>
      </c>
      <c r="T8" s="1">
        <f>IF(S8 + T7 &lt; 0, S8 + T7, 0)</f>
        <v>0</v>
      </c>
    </row>
    <row r="9" spans="1:20" s="1" customFormat="1">
      <c r="A9" s="3">
        <v>44943</v>
      </c>
      <c r="B9" s="2" t="s">
        <v>13</v>
      </c>
      <c r="C9" s="2">
        <v>1</v>
      </c>
      <c r="D9" s="2">
        <v>5</v>
      </c>
      <c r="E9" s="1">
        <v>195988.1091083545</v>
      </c>
      <c r="F9" s="1">
        <f>IF(E9 + F8 &lt; 0, E9 + F8, 0)</f>
        <v>0</v>
      </c>
      <c r="G9" s="1">
        <v>250473.7509423617</v>
      </c>
      <c r="H9" s="1">
        <f>IF(G9 + H8 &lt; 0, G9 + H8, 0)</f>
        <v>0</v>
      </c>
      <c r="I9" s="1">
        <v>248507.6416969365</v>
      </c>
      <c r="J9" s="1">
        <f>IF(I9 + J8 &lt; 0, I9 + J8, 0)</f>
        <v>0</v>
      </c>
      <c r="K9" s="1">
        <v>248507.6416969365</v>
      </c>
      <c r="L9" s="1">
        <f>IF(K9 + L8 &lt; 0, K9 + L8, 0)</f>
        <v>0</v>
      </c>
      <c r="M9" s="1">
        <v>-17276.70035509424</v>
      </c>
      <c r="N9" s="1">
        <f>IF(M9 + N8 &lt; 0, M9 + N8, 0)</f>
        <v>0</v>
      </c>
      <c r="O9" s="1">
        <v>-17276.70035509424</v>
      </c>
      <c r="P9" s="1">
        <f>IF(O9 + P8 &lt; 0, O9 + P8, 0)</f>
        <v>0</v>
      </c>
      <c r="Q9" s="1">
        <v>-17276.70035509424</v>
      </c>
      <c r="R9" s="1">
        <f>IF(Q9 + R8 &lt; 0, Q9 + R8, 0)</f>
        <v>0</v>
      </c>
      <c r="S9" s="1">
        <v>-17276.70035509424</v>
      </c>
      <c r="T9" s="1">
        <f>IF(S9 + T8 &lt; 0, S9 + T8, 0)</f>
        <v>0</v>
      </c>
    </row>
    <row r="10" spans="1:20" s="1" customFormat="1">
      <c r="A10" s="3">
        <v>44944</v>
      </c>
      <c r="B10" s="2" t="s">
        <v>14</v>
      </c>
      <c r="C10" s="2">
        <v>20</v>
      </c>
      <c r="D10" s="2">
        <v>4</v>
      </c>
      <c r="E10" s="1">
        <v>0</v>
      </c>
      <c r="F10" s="1">
        <f>IF(E10 + F9 &lt; 0, E10 + F9, 0)</f>
        <v>0</v>
      </c>
      <c r="G10" s="1">
        <v>0</v>
      </c>
      <c r="H10" s="1">
        <f>IF(G10 + H9 &lt; 0, G10 + H9, 0)</f>
        <v>0</v>
      </c>
      <c r="I10" s="1">
        <v>0</v>
      </c>
      <c r="J10" s="1">
        <f>IF(I10 + J9 &lt; 0, I10 + J9, 0)</f>
        <v>0</v>
      </c>
      <c r="K10" s="1">
        <v>0</v>
      </c>
      <c r="L10" s="1">
        <f>IF(K10 + L9 &lt; 0, K10 + L9, 0)</f>
        <v>0</v>
      </c>
      <c r="M10" s="1">
        <v>90329.99164578118</v>
      </c>
      <c r="N10" s="1">
        <f>IF(M10 + N9 &lt; 0, M10 + N9, 0)</f>
        <v>0</v>
      </c>
      <c r="O10" s="1">
        <v>90329.99164578118</v>
      </c>
      <c r="P10" s="1">
        <f>IF(O10 + P9 &lt; 0, O10 + P9, 0)</f>
        <v>0</v>
      </c>
      <c r="Q10" s="1">
        <v>90329.99164578118</v>
      </c>
      <c r="R10" s="1">
        <f>IF(Q10 + R9 &lt; 0, Q10 + R9, 0)</f>
        <v>0</v>
      </c>
      <c r="S10" s="1">
        <v>90329.99164578118</v>
      </c>
      <c r="T10" s="1">
        <f>IF(S10 + T9 &lt; 0, S10 + T9, 0)</f>
        <v>0</v>
      </c>
    </row>
    <row r="11" spans="1:20" s="1" customFormat="1">
      <c r="A11" s="3">
        <v>44945</v>
      </c>
      <c r="B11" s="2" t="s">
        <v>16</v>
      </c>
      <c r="C11" s="2">
        <v>19</v>
      </c>
      <c r="D11" s="2">
        <v>3</v>
      </c>
      <c r="E11" s="1">
        <v>0</v>
      </c>
      <c r="F11" s="1">
        <f>IF(E11 + F10 &lt; 0, E11 + F10, 0)</f>
        <v>0</v>
      </c>
      <c r="G11" s="1">
        <v>0</v>
      </c>
      <c r="H11" s="1">
        <f>IF(G11 + H10 &lt; 0, G11 + H10, 0)</f>
        <v>0</v>
      </c>
      <c r="I11" s="1">
        <v>0</v>
      </c>
      <c r="J11" s="1">
        <f>IF(I11 + J10 &lt; 0, I11 + J10, 0)</f>
        <v>0</v>
      </c>
      <c r="K11" s="1">
        <v>0</v>
      </c>
      <c r="L11" s="1">
        <f>IF(K11 + L10 &lt; 0, K11 + L10, 0)</f>
        <v>0</v>
      </c>
      <c r="M11" s="1">
        <v>55846.15384615383</v>
      </c>
      <c r="N11" s="1">
        <f>IF(M11 + N10 &lt; 0, M11 + N10, 0)</f>
        <v>0</v>
      </c>
      <c r="O11" s="1">
        <v>55846.15384615383</v>
      </c>
      <c r="P11" s="1">
        <f>IF(O11 + P10 &lt; 0, O11 + P10, 0)</f>
        <v>0</v>
      </c>
      <c r="Q11" s="1">
        <v>55846.15384615383</v>
      </c>
      <c r="R11" s="1">
        <f>IF(Q11 + R10 &lt; 0, Q11 + R10, 0)</f>
        <v>0</v>
      </c>
      <c r="S11" s="1">
        <v>55846.15384615383</v>
      </c>
      <c r="T11" s="1">
        <f>IF(S11 + T10 &lt; 0, S11 + T10, 0)</f>
        <v>0</v>
      </c>
    </row>
    <row r="12" spans="1:20" s="1" customFormat="1">
      <c r="A12" s="3">
        <v>44946</v>
      </c>
      <c r="B12" s="2" t="s">
        <v>15</v>
      </c>
      <c r="C12" s="2">
        <v>18</v>
      </c>
      <c r="D12" s="2">
        <v>2</v>
      </c>
      <c r="E12" s="1">
        <v>0</v>
      </c>
      <c r="F12" s="1">
        <f>IF(E12 + F11 &lt; 0, E12 + F11, 0)</f>
        <v>0</v>
      </c>
      <c r="G12" s="1">
        <v>0</v>
      </c>
      <c r="H12" s="1">
        <f>IF(G12 + H11 &lt; 0, G12 + H11, 0)</f>
        <v>0</v>
      </c>
      <c r="I12" s="1">
        <v>0</v>
      </c>
      <c r="J12" s="1">
        <f>IF(I12 + J11 &lt; 0, I12 + J11, 0)</f>
        <v>0</v>
      </c>
      <c r="K12" s="1">
        <v>0</v>
      </c>
      <c r="L12" s="1">
        <f>IF(K12 + L11 &lt; 0, K12 + L11, 0)</f>
        <v>0</v>
      </c>
      <c r="M12" s="1">
        <v>-131800.4769475357</v>
      </c>
      <c r="N12" s="1">
        <f>IF(M12 + N11 &lt; 0, M12 + N11, 0)</f>
        <v>0</v>
      </c>
      <c r="O12" s="1">
        <v>-138135.9300476947</v>
      </c>
      <c r="P12" s="1">
        <f>IF(O12 + P11 &lt; 0, O12 + P11, 0)</f>
        <v>0</v>
      </c>
      <c r="Q12" s="1">
        <v>-138135.9300476947</v>
      </c>
      <c r="R12" s="1">
        <f>IF(Q12 + R11 &lt; 0, Q12 + R11, 0)</f>
        <v>0</v>
      </c>
      <c r="S12" s="1">
        <v>-138135.9300476947</v>
      </c>
      <c r="T12" s="1">
        <f>IF(S12 + T11 &lt; 0, S12 + T11, 0)</f>
        <v>0</v>
      </c>
    </row>
    <row r="13" spans="1:20" s="1" customFormat="1">
      <c r="A13" s="3">
        <v>44949</v>
      </c>
      <c r="B13" s="2" t="s">
        <v>12</v>
      </c>
      <c r="C13" s="2">
        <v>17</v>
      </c>
      <c r="D13" s="2">
        <v>1</v>
      </c>
      <c r="E13" s="1">
        <v>0</v>
      </c>
      <c r="F13" s="1">
        <f>IF(E13 + F12 &lt; 0, E13 + F12, 0)</f>
        <v>0</v>
      </c>
      <c r="G13" s="1">
        <v>0</v>
      </c>
      <c r="H13" s="1">
        <f>IF(G13 + H12 &lt; 0, G13 + H12, 0)</f>
        <v>0</v>
      </c>
      <c r="I13" s="1">
        <v>0</v>
      </c>
      <c r="J13" s="1">
        <f>IF(I13 + J12 &lt; 0, I13 + J12, 0)</f>
        <v>0</v>
      </c>
      <c r="K13" s="1">
        <v>0</v>
      </c>
      <c r="L13" s="1">
        <f>IF(K13 + L12 &lt; 0, K13 + L12, 0)</f>
        <v>0</v>
      </c>
      <c r="M13" s="1">
        <v>-125813.7432188065</v>
      </c>
      <c r="N13" s="1">
        <f>IF(M13 + N12 &lt; 0, M13 + N12, 0)</f>
        <v>0</v>
      </c>
      <c r="O13" s="1">
        <v>152426.1603375527</v>
      </c>
      <c r="P13" s="1">
        <f>IF(O13 + P12 &lt; 0, O13 + P12, 0)</f>
        <v>0</v>
      </c>
      <c r="Q13" s="1">
        <v>68392.10367691379</v>
      </c>
      <c r="R13" s="1">
        <f>IF(Q13 + R12 &lt; 0, Q13 + R12, 0)</f>
        <v>0</v>
      </c>
      <c r="S13" s="1">
        <v>68392.10367691379</v>
      </c>
      <c r="T13" s="1">
        <f>IF(S13 + T12 &lt; 0, S13 + T12, 0)</f>
        <v>0</v>
      </c>
    </row>
    <row r="14" spans="1:20" s="1" customFormat="1">
      <c r="A14" s="3">
        <v>44950</v>
      </c>
      <c r="B14" s="2" t="s">
        <v>13</v>
      </c>
      <c r="C14" s="2">
        <v>16</v>
      </c>
      <c r="D14" s="2">
        <v>20</v>
      </c>
      <c r="E14" s="1">
        <v>0</v>
      </c>
      <c r="F14" s="1">
        <f>IF(E14 + F13 &lt; 0, E14 + F13, 0)</f>
        <v>0</v>
      </c>
      <c r="G14" s="1">
        <v>0</v>
      </c>
      <c r="H14" s="1">
        <f>IF(G14 + H13 &lt; 0, G14 + H13, 0)</f>
        <v>0</v>
      </c>
      <c r="I14" s="1">
        <v>0</v>
      </c>
      <c r="J14" s="1">
        <f>IF(I14 + J13 &lt; 0, I14 + J13, 0)</f>
        <v>0</v>
      </c>
      <c r="K14" s="1">
        <v>0</v>
      </c>
      <c r="L14" s="1">
        <f>IF(K14 + L13 &lt; 0, K14 + L13, 0)</f>
        <v>0</v>
      </c>
      <c r="M14" s="1">
        <v>0</v>
      </c>
      <c r="N14" s="1">
        <f>IF(M14 + N13 &lt; 0, M14 + N13, 0)</f>
        <v>0</v>
      </c>
      <c r="O14" s="1">
        <v>0</v>
      </c>
      <c r="P14" s="1">
        <f>IF(O14 + P13 &lt; 0, O14 + P13, 0)</f>
        <v>0</v>
      </c>
      <c r="Q14" s="1">
        <v>0</v>
      </c>
      <c r="R14" s="1">
        <f>IF(Q14 + R13 &lt; 0, Q14 + R13, 0)</f>
        <v>0</v>
      </c>
      <c r="S14" s="1">
        <v>0</v>
      </c>
      <c r="T14" s="1">
        <f>IF(S14 + T13 &lt; 0, S14 + T13, 0)</f>
        <v>0</v>
      </c>
    </row>
    <row r="15" spans="1:20" s="1" customFormat="1">
      <c r="A15" s="3">
        <v>44951</v>
      </c>
      <c r="B15" s="2" t="s">
        <v>14</v>
      </c>
      <c r="C15" s="2">
        <v>15</v>
      </c>
      <c r="D15" s="2">
        <v>19</v>
      </c>
      <c r="E15" s="1">
        <v>0</v>
      </c>
      <c r="F15" s="1">
        <f>IF(E15 + F14 &lt; 0, E15 + F14, 0)</f>
        <v>0</v>
      </c>
      <c r="G15" s="1">
        <v>0</v>
      </c>
      <c r="H15" s="1">
        <f>IF(G15 + H14 &lt; 0, G15 + H14, 0)</f>
        <v>0</v>
      </c>
      <c r="I15" s="1">
        <v>0</v>
      </c>
      <c r="J15" s="1">
        <f>IF(I15 + J14 &lt; 0, I15 + J14, 0)</f>
        <v>0</v>
      </c>
      <c r="K15" s="1">
        <v>0</v>
      </c>
      <c r="L15" s="1">
        <f>IF(K15 + L14 &lt; 0, K15 + L14, 0)</f>
        <v>0</v>
      </c>
      <c r="M15" s="1">
        <v>0</v>
      </c>
      <c r="N15" s="1">
        <f>IF(M15 + N14 &lt; 0, M15 + N14, 0)</f>
        <v>0</v>
      </c>
      <c r="O15" s="1">
        <v>0</v>
      </c>
      <c r="P15" s="1">
        <f>IF(O15 + P14 &lt; 0, O15 + P14, 0)</f>
        <v>0</v>
      </c>
      <c r="Q15" s="1">
        <v>0</v>
      </c>
      <c r="R15" s="1">
        <f>IF(Q15 + R14 &lt; 0, Q15 + R14, 0)</f>
        <v>0</v>
      </c>
      <c r="S15" s="1">
        <v>0</v>
      </c>
      <c r="T15" s="1">
        <f>IF(S15 + T14 &lt; 0, S15 + T14, 0)</f>
        <v>0</v>
      </c>
    </row>
    <row r="16" spans="1:20" s="1" customFormat="1">
      <c r="A16" s="3">
        <v>44953</v>
      </c>
      <c r="B16" s="2" t="s">
        <v>15</v>
      </c>
      <c r="C16" s="2">
        <v>14</v>
      </c>
      <c r="D16" s="2">
        <v>18</v>
      </c>
      <c r="E16" s="1">
        <v>0</v>
      </c>
      <c r="F16" s="1">
        <f>IF(E16 + F15 &lt; 0, E16 + F15, 0)</f>
        <v>0</v>
      </c>
      <c r="G16" s="1">
        <v>0</v>
      </c>
      <c r="H16" s="1">
        <f>IF(G16 + H15 &lt; 0, G16 + H15, 0)</f>
        <v>0</v>
      </c>
      <c r="I16" s="1">
        <v>0</v>
      </c>
      <c r="J16" s="1">
        <f>IF(I16 + J15 &lt; 0, I16 + J15, 0)</f>
        <v>0</v>
      </c>
      <c r="K16" s="1">
        <v>0</v>
      </c>
      <c r="L16" s="1">
        <f>IF(K16 + L15 &lt; 0, K16 + L15, 0)</f>
        <v>0</v>
      </c>
      <c r="M16" s="1">
        <v>0</v>
      </c>
      <c r="N16" s="1">
        <f>IF(M16 + N15 &lt; 0, M16 + N15, 0)</f>
        <v>0</v>
      </c>
      <c r="O16" s="1">
        <v>0</v>
      </c>
      <c r="P16" s="1">
        <f>IF(O16 + P15 &lt; 0, O16 + P15, 0)</f>
        <v>0</v>
      </c>
      <c r="Q16" s="1">
        <v>0</v>
      </c>
      <c r="R16" s="1">
        <f>IF(Q16 + R15 &lt; 0, Q16 + R15, 0)</f>
        <v>0</v>
      </c>
      <c r="S16" s="1">
        <v>0</v>
      </c>
      <c r="T16" s="1">
        <f>IF(S16 + T15 &lt; 0, S16 + T15, 0)</f>
        <v>0</v>
      </c>
    </row>
    <row r="17" spans="1:20" s="1" customFormat="1">
      <c r="A17" s="3">
        <v>44956</v>
      </c>
      <c r="B17" s="2" t="s">
        <v>12</v>
      </c>
      <c r="C17" s="2">
        <v>0</v>
      </c>
      <c r="D17" s="2">
        <v>0</v>
      </c>
      <c r="E17" s="1">
        <v>0</v>
      </c>
      <c r="F17" s="1">
        <f>IF(E17 + F16 &lt; 0, E17 + F16, 0)</f>
        <v>0</v>
      </c>
      <c r="G17" s="1">
        <v>0</v>
      </c>
      <c r="H17" s="1">
        <f>IF(G17 + H16 &lt; 0, G17 + H16, 0)</f>
        <v>0</v>
      </c>
      <c r="I17" s="1">
        <v>0</v>
      </c>
      <c r="J17" s="1">
        <f>IF(I17 + J16 &lt; 0, I17 + J16, 0)</f>
        <v>0</v>
      </c>
      <c r="K17" s="1">
        <v>0</v>
      </c>
      <c r="L17" s="1">
        <f>IF(K17 + L16 &lt; 0, K17 + L16, 0)</f>
        <v>0</v>
      </c>
      <c r="M17" s="1">
        <v>0</v>
      </c>
      <c r="N17" s="1">
        <f>IF(M17 + N16 &lt; 0, M17 + N16, 0)</f>
        <v>0</v>
      </c>
      <c r="O17" s="1">
        <v>0</v>
      </c>
      <c r="P17" s="1">
        <f>IF(O17 + P16 &lt; 0, O17 + P16, 0)</f>
        <v>0</v>
      </c>
      <c r="Q17" s="1">
        <v>0</v>
      </c>
      <c r="R17" s="1">
        <f>IF(Q17 + R16 &lt; 0, Q17 + R16, 0)</f>
        <v>0</v>
      </c>
      <c r="S17" s="1">
        <v>0</v>
      </c>
      <c r="T17" s="1">
        <f>IF(S17 + T16 &lt; 0, S17 + T16, 0)</f>
        <v>0</v>
      </c>
    </row>
    <row r="18" spans="1:20" s="1" customFormat="1">
      <c r="A18" s="3">
        <v>44957</v>
      </c>
      <c r="B18" s="2" t="s">
        <v>13</v>
      </c>
      <c r="C18" s="2">
        <v>12</v>
      </c>
      <c r="D18" s="2">
        <v>16</v>
      </c>
      <c r="E18" s="1">
        <v>0</v>
      </c>
      <c r="F18" s="1">
        <f>IF(E18 + F17 &lt; 0, E18 + F17, 0)</f>
        <v>0</v>
      </c>
      <c r="G18" s="1">
        <v>0</v>
      </c>
      <c r="H18" s="1">
        <f>IF(G18 + H17 &lt; 0, G18 + H17, 0)</f>
        <v>0</v>
      </c>
      <c r="I18" s="1">
        <v>0</v>
      </c>
      <c r="J18" s="1">
        <f>IF(I18 + J17 &lt; 0, I18 + J17, 0)</f>
        <v>0</v>
      </c>
      <c r="K18" s="1">
        <v>0</v>
      </c>
      <c r="L18" s="1">
        <f>IF(K18 + L17 &lt; 0, K18 + L17, 0)</f>
        <v>0</v>
      </c>
      <c r="M18" s="1">
        <v>0</v>
      </c>
      <c r="N18" s="1">
        <f>IF(M18 + N17 &lt; 0, M18 + N17, 0)</f>
        <v>0</v>
      </c>
      <c r="O18" s="1">
        <v>0</v>
      </c>
      <c r="P18" s="1">
        <f>IF(O18 + P17 &lt; 0, O18 + P17, 0)</f>
        <v>0</v>
      </c>
      <c r="Q18" s="1">
        <v>0</v>
      </c>
      <c r="R18" s="1">
        <f>IF(Q18 + R17 &lt; 0, Q18 + R17, 0)</f>
        <v>0</v>
      </c>
      <c r="S18" s="1">
        <v>0</v>
      </c>
      <c r="T18" s="1">
        <f>IF(S18 + T17 &lt; 0, S18 + T17, 0)</f>
        <v>0</v>
      </c>
    </row>
    <row r="19" spans="1:20" s="1" customFormat="1">
      <c r="A19" s="3">
        <v>44958</v>
      </c>
      <c r="B19" s="2" t="s">
        <v>14</v>
      </c>
      <c r="C19" s="2">
        <v>11</v>
      </c>
      <c r="D19" s="2">
        <v>15</v>
      </c>
      <c r="E19" s="1">
        <v>0</v>
      </c>
      <c r="F19" s="1">
        <f>IF(E19 + F18 &lt; 0, E19 + F18, 0)</f>
        <v>0</v>
      </c>
      <c r="G19" s="1">
        <v>0</v>
      </c>
      <c r="H19" s="1">
        <f>IF(G19 + H18 &lt; 0, G19 + H18, 0)</f>
        <v>0</v>
      </c>
      <c r="I19" s="1">
        <v>0</v>
      </c>
      <c r="J19" s="1">
        <f>IF(I19 + J18 &lt; 0, I19 + J18, 0)</f>
        <v>0</v>
      </c>
      <c r="K19" s="1">
        <v>0</v>
      </c>
      <c r="L19" s="1">
        <f>IF(K19 + L18 &lt; 0, K19 + L18, 0)</f>
        <v>0</v>
      </c>
      <c r="M19" s="1">
        <v>0</v>
      </c>
      <c r="N19" s="1">
        <f>IF(M19 + N18 &lt; 0, M19 + N18, 0)</f>
        <v>0</v>
      </c>
      <c r="O19" s="1">
        <v>0</v>
      </c>
      <c r="P19" s="1">
        <f>IF(O19 + P18 &lt; 0, O19 + P18, 0)</f>
        <v>0</v>
      </c>
      <c r="Q19" s="1">
        <v>0</v>
      </c>
      <c r="R19" s="1">
        <f>IF(Q19 + R18 &lt; 0, Q19 + R18, 0)</f>
        <v>0</v>
      </c>
      <c r="S19" s="1">
        <v>0</v>
      </c>
      <c r="T19" s="1">
        <f>IF(S19 + T18 &lt; 0, S19 + T18, 0)</f>
        <v>0</v>
      </c>
    </row>
    <row r="20" spans="1:20" s="1" customFormat="1">
      <c r="A20" s="3">
        <v>44959</v>
      </c>
      <c r="B20" s="2" t="s">
        <v>16</v>
      </c>
      <c r="C20" s="2">
        <v>10</v>
      </c>
      <c r="D20" s="2">
        <v>14</v>
      </c>
      <c r="E20" s="1">
        <v>-588.3179375504885</v>
      </c>
      <c r="F20" s="1">
        <f>IF(E20 + F19 &lt; 0, E20 + F19, 0)</f>
        <v>0</v>
      </c>
      <c r="G20" s="1">
        <v>-588.3179375504885</v>
      </c>
      <c r="H20" s="1">
        <f>IF(G20 + H19 &lt; 0, G20 + H19, 0)</f>
        <v>0</v>
      </c>
      <c r="I20" s="1">
        <v>-588.3179375504885</v>
      </c>
      <c r="J20" s="1">
        <f>IF(I20 + J19 &lt; 0, I20 + J19, 0)</f>
        <v>0</v>
      </c>
      <c r="K20" s="1">
        <v>-588.3179375504885</v>
      </c>
      <c r="L20" s="1">
        <f>IF(K20 + L19 &lt; 0, K20 + L19, 0)</f>
        <v>0</v>
      </c>
      <c r="M20" s="1">
        <v>0</v>
      </c>
      <c r="N20" s="1">
        <f>IF(M20 + N19 &lt; 0, M20 + N19, 0)</f>
        <v>0</v>
      </c>
      <c r="O20" s="1">
        <v>0</v>
      </c>
      <c r="P20" s="1">
        <f>IF(O20 + P19 &lt; 0, O20 + P19, 0)</f>
        <v>0</v>
      </c>
      <c r="Q20" s="1">
        <v>0</v>
      </c>
      <c r="R20" s="1">
        <f>IF(Q20 + R19 &lt; 0, Q20 + R19, 0)</f>
        <v>0</v>
      </c>
      <c r="S20" s="1">
        <v>0</v>
      </c>
      <c r="T20" s="1">
        <f>IF(S20 + T19 &lt; 0, S20 + T19, 0)</f>
        <v>0</v>
      </c>
    </row>
    <row r="21" spans="1:20" s="1" customFormat="1">
      <c r="A21" s="3">
        <v>44960</v>
      </c>
      <c r="B21" s="2" t="s">
        <v>15</v>
      </c>
      <c r="C21" s="2">
        <v>9</v>
      </c>
      <c r="D21" s="2">
        <v>13</v>
      </c>
      <c r="E21" s="1">
        <v>-311042.77600284</v>
      </c>
      <c r="F21" s="1">
        <f>IF(E21 + F20 &lt; 0, E21 + F20, 0)</f>
        <v>0</v>
      </c>
      <c r="G21" s="1">
        <v>13214.41249556266</v>
      </c>
      <c r="H21" s="1">
        <f>IF(G21 + H20 &lt; 0, G21 + H20, 0)</f>
        <v>0</v>
      </c>
      <c r="I21" s="1">
        <v>13214.41249556266</v>
      </c>
      <c r="J21" s="1">
        <f>IF(I21 + J20 &lt; 0, I21 + J20, 0)</f>
        <v>0</v>
      </c>
      <c r="K21" s="1">
        <v>13214.41249556266</v>
      </c>
      <c r="L21" s="1">
        <f>IF(K21 + L20 &lt; 0, K21 + L20, 0)</f>
        <v>0</v>
      </c>
      <c r="M21" s="1">
        <v>0</v>
      </c>
      <c r="N21" s="1">
        <f>IF(M21 + N20 &lt; 0, M21 + N20, 0)</f>
        <v>0</v>
      </c>
      <c r="O21" s="1">
        <v>0</v>
      </c>
      <c r="P21" s="1">
        <f>IF(O21 + P20 &lt; 0, O21 + P20, 0)</f>
        <v>0</v>
      </c>
      <c r="Q21" s="1">
        <v>0</v>
      </c>
      <c r="R21" s="1">
        <f>IF(Q21 + R20 &lt; 0, Q21 + R20, 0)</f>
        <v>0</v>
      </c>
      <c r="S21" s="1">
        <v>0</v>
      </c>
      <c r="T21" s="1">
        <f>IF(S21 + T20 &lt; 0, S21 + T20, 0)</f>
        <v>0</v>
      </c>
    </row>
    <row r="22" spans="1:20" s="1" customFormat="1">
      <c r="A22" s="3">
        <v>44963</v>
      </c>
      <c r="B22" s="2" t="s">
        <v>12</v>
      </c>
      <c r="C22" s="2">
        <v>8</v>
      </c>
      <c r="D22" s="2">
        <v>12</v>
      </c>
      <c r="E22" s="1">
        <v>69996.3510308338</v>
      </c>
      <c r="F22" s="1">
        <f>IF(E22 + F21 &lt; 0, E22 + F21, 0)</f>
        <v>0</v>
      </c>
      <c r="G22" s="1">
        <v>69996.3510308338</v>
      </c>
      <c r="H22" s="1">
        <f>IF(G22 + H21 &lt; 0, G22 + H21, 0)</f>
        <v>0</v>
      </c>
      <c r="I22" s="1">
        <v>69996.3510308338</v>
      </c>
      <c r="J22" s="1">
        <f>IF(I22 + J21 &lt; 0, I22 + J21, 0)</f>
        <v>0</v>
      </c>
      <c r="K22" s="1">
        <v>69996.3510308338</v>
      </c>
      <c r="L22" s="1">
        <f>IF(K22 + L21 &lt; 0, K22 + L21, 0)</f>
        <v>0</v>
      </c>
      <c r="M22" s="1">
        <v>0</v>
      </c>
      <c r="N22" s="1">
        <f>IF(M22 + N21 &lt; 0, M22 + N21, 0)</f>
        <v>0</v>
      </c>
      <c r="O22" s="1">
        <v>0</v>
      </c>
      <c r="P22" s="1">
        <f>IF(O22 + P21 &lt; 0, O22 + P21, 0)</f>
        <v>0</v>
      </c>
      <c r="Q22" s="1">
        <v>0</v>
      </c>
      <c r="R22" s="1">
        <f>IF(Q22 + R21 &lt; 0, Q22 + R21, 0)</f>
        <v>0</v>
      </c>
      <c r="S22" s="1">
        <v>0</v>
      </c>
      <c r="T22" s="1">
        <f>IF(S22 + T21 &lt; 0, S22 + T21, 0)</f>
        <v>0</v>
      </c>
    </row>
    <row r="23" spans="1:20" s="1" customFormat="1">
      <c r="A23" s="3">
        <v>44964</v>
      </c>
      <c r="B23" s="2" t="s">
        <v>13</v>
      </c>
      <c r="C23" s="2">
        <v>7</v>
      </c>
      <c r="D23" s="2">
        <v>11</v>
      </c>
      <c r="E23" s="1">
        <v>349768.1040040111</v>
      </c>
      <c r="F23" s="1">
        <f>IF(E23 + F22 &lt; 0, E23 + F22, 0)</f>
        <v>0</v>
      </c>
      <c r="G23" s="1">
        <v>349768.1040040111</v>
      </c>
      <c r="H23" s="1">
        <f>IF(G23 + H22 &lt; 0, G23 + H22, 0)</f>
        <v>0</v>
      </c>
      <c r="I23" s="1">
        <v>349768.1040040111</v>
      </c>
      <c r="J23" s="1">
        <f>IF(I23 + J22 &lt; 0, I23 + J22, 0)</f>
        <v>0</v>
      </c>
      <c r="K23" s="1">
        <v>349768.1040040111</v>
      </c>
      <c r="L23" s="1">
        <f>IF(K23 + L22 &lt; 0, K23 + L22, 0)</f>
        <v>0</v>
      </c>
      <c r="M23" s="1">
        <v>0</v>
      </c>
      <c r="N23" s="1">
        <f>IF(M23 + N22 &lt; 0, M23 + N22, 0)</f>
        <v>0</v>
      </c>
      <c r="O23" s="1">
        <v>0</v>
      </c>
      <c r="P23" s="1">
        <f>IF(O23 + P22 &lt; 0, O23 + P22, 0)</f>
        <v>0</v>
      </c>
      <c r="Q23" s="1">
        <v>0</v>
      </c>
      <c r="R23" s="1">
        <f>IF(Q23 + R22 &lt; 0, Q23 + R22, 0)</f>
        <v>0</v>
      </c>
      <c r="S23" s="1">
        <v>0</v>
      </c>
      <c r="T23" s="1">
        <f>IF(S23 + T22 &lt; 0, S23 + T22, 0)</f>
        <v>0</v>
      </c>
    </row>
    <row r="24" spans="1:20" s="1" customFormat="1">
      <c r="A24" s="3">
        <v>44965</v>
      </c>
      <c r="B24" s="2" t="s">
        <v>14</v>
      </c>
      <c r="C24" s="2">
        <v>6</v>
      </c>
      <c r="D24" s="2">
        <v>10</v>
      </c>
      <c r="E24" s="1">
        <v>70709.884065035</v>
      </c>
      <c r="F24" s="1">
        <f>IF(E24 + F23 &lt; 0, E24 + F23, 0)</f>
        <v>0</v>
      </c>
      <c r="G24" s="1">
        <v>70709.884065035</v>
      </c>
      <c r="H24" s="1">
        <f>IF(G24 + H23 &lt; 0, G24 + H23, 0)</f>
        <v>0</v>
      </c>
      <c r="I24" s="1">
        <v>70709.884065035</v>
      </c>
      <c r="J24" s="1">
        <f>IF(I24 + J23 &lt; 0, I24 + J23, 0)</f>
        <v>0</v>
      </c>
      <c r="K24" s="1">
        <v>70709.884065035</v>
      </c>
      <c r="L24" s="1">
        <f>IF(K24 + L23 &lt; 0, K24 + L23, 0)</f>
        <v>0</v>
      </c>
      <c r="M24" s="1">
        <v>0</v>
      </c>
      <c r="N24" s="1">
        <f>IF(M24 + N23 &lt; 0, M24 + N23, 0)</f>
        <v>0</v>
      </c>
      <c r="O24" s="1">
        <v>0</v>
      </c>
      <c r="P24" s="1">
        <f>IF(O24 + P23 &lt; 0, O24 + P23, 0)</f>
        <v>0</v>
      </c>
      <c r="Q24" s="1">
        <v>0</v>
      </c>
      <c r="R24" s="1">
        <f>IF(Q24 + R23 &lt; 0, Q24 + R23, 0)</f>
        <v>0</v>
      </c>
      <c r="S24" s="1">
        <v>0</v>
      </c>
      <c r="T24" s="1">
        <f>IF(S24 + T23 &lt; 0, S24 + T23, 0)</f>
        <v>0</v>
      </c>
    </row>
    <row r="25" spans="1:20" s="1" customFormat="1">
      <c r="A25" s="3">
        <v>44966</v>
      </c>
      <c r="B25" s="2" t="s">
        <v>16</v>
      </c>
      <c r="C25" s="2">
        <v>5</v>
      </c>
      <c r="D25" s="2">
        <v>9</v>
      </c>
      <c r="E25" s="1">
        <v>-18240.36911255186</v>
      </c>
      <c r="F25" s="1">
        <f>IF(E25 + F24 &lt; 0, E25 + F24, 0)</f>
        <v>0</v>
      </c>
      <c r="G25" s="1">
        <v>37923.22733353916</v>
      </c>
      <c r="H25" s="1">
        <f>IF(G25 + H24 &lt; 0, G25 + H24, 0)</f>
        <v>0</v>
      </c>
      <c r="I25" s="1">
        <v>37923.22733353916</v>
      </c>
      <c r="J25" s="1">
        <f>IF(I25 + J24 &lt; 0, I25 + J24, 0)</f>
        <v>0</v>
      </c>
      <c r="K25" s="1">
        <v>37923.22733353916</v>
      </c>
      <c r="L25" s="1">
        <f>IF(K25 + L24 &lt; 0, K25 + L24, 0)</f>
        <v>0</v>
      </c>
      <c r="M25" s="1">
        <v>0</v>
      </c>
      <c r="N25" s="1">
        <f>IF(M25 + N24 &lt; 0, M25 + N24, 0)</f>
        <v>0</v>
      </c>
      <c r="O25" s="1">
        <v>0</v>
      </c>
      <c r="P25" s="1">
        <f>IF(O25 + P24 &lt; 0, O25 + P24, 0)</f>
        <v>0</v>
      </c>
      <c r="Q25" s="1">
        <v>0</v>
      </c>
      <c r="R25" s="1">
        <f>IF(Q25 + R24 &lt; 0, Q25 + R24, 0)</f>
        <v>0</v>
      </c>
      <c r="S25" s="1">
        <v>0</v>
      </c>
      <c r="T25" s="1">
        <f>IF(S25 + T24 &lt; 0, S25 + T24, 0)</f>
        <v>0</v>
      </c>
    </row>
    <row r="26" spans="1:20" s="1" customFormat="1">
      <c r="A26" s="3">
        <v>44967</v>
      </c>
      <c r="B26" s="2" t="s">
        <v>15</v>
      </c>
      <c r="C26" s="2">
        <v>4</v>
      </c>
      <c r="D26" s="2">
        <v>8</v>
      </c>
      <c r="E26" s="1">
        <v>191762.690750545</v>
      </c>
      <c r="F26" s="1">
        <f>IF(E26 + F25 &lt; 0, E26 + F25, 0)</f>
        <v>0</v>
      </c>
      <c r="G26" s="1">
        <v>191762.690750545</v>
      </c>
      <c r="H26" s="1">
        <f>IF(G26 + H25 &lt; 0, G26 + H25, 0)</f>
        <v>0</v>
      </c>
      <c r="I26" s="1">
        <v>191762.690750545</v>
      </c>
      <c r="J26" s="1">
        <f>IF(I26 + J25 &lt; 0, I26 + J25, 0)</f>
        <v>0</v>
      </c>
      <c r="K26" s="1">
        <v>191762.690750545</v>
      </c>
      <c r="L26" s="1">
        <f>IF(K26 + L25 &lt; 0, K26 + L25, 0)</f>
        <v>0</v>
      </c>
      <c r="M26" s="1">
        <v>0</v>
      </c>
      <c r="N26" s="1">
        <f>IF(M26 + N25 &lt; 0, M26 + N25, 0)</f>
        <v>0</v>
      </c>
      <c r="O26" s="1">
        <v>0</v>
      </c>
      <c r="P26" s="1">
        <f>IF(O26 + P25 &lt; 0, O26 + P25, 0)</f>
        <v>0</v>
      </c>
      <c r="Q26" s="1">
        <v>0</v>
      </c>
      <c r="R26" s="1">
        <f>IF(Q26 + R25 &lt; 0, Q26 + R25, 0)</f>
        <v>0</v>
      </c>
      <c r="S26" s="1">
        <v>0</v>
      </c>
      <c r="T26" s="1">
        <f>IF(S26 + T25 &lt; 0, S26 + T25, 0)</f>
        <v>0</v>
      </c>
    </row>
    <row r="27" spans="1:20" s="1" customFormat="1">
      <c r="A27" s="3">
        <v>44970</v>
      </c>
      <c r="B27" s="2" t="s">
        <v>12</v>
      </c>
      <c r="C27" s="2">
        <v>3</v>
      </c>
      <c r="D27" s="2">
        <v>7</v>
      </c>
      <c r="E27" s="1">
        <v>87674.96772440035</v>
      </c>
      <c r="F27" s="1">
        <f>IF(E27 + F26 &lt; 0, E27 + F26, 0)</f>
        <v>0</v>
      </c>
      <c r="G27" s="1">
        <v>54639.19277026566</v>
      </c>
      <c r="H27" s="1">
        <f>IF(G27 + H26 &lt; 0, G27 + H26, 0)</f>
        <v>0</v>
      </c>
      <c r="I27" s="1">
        <v>54639.19277026566</v>
      </c>
      <c r="J27" s="1">
        <f>IF(I27 + J26 &lt; 0, I27 + J26, 0)</f>
        <v>0</v>
      </c>
      <c r="K27" s="1">
        <v>54639.19277026566</v>
      </c>
      <c r="L27" s="1">
        <f>IF(K27 + L26 &lt; 0, K27 + L26, 0)</f>
        <v>0</v>
      </c>
      <c r="M27" s="1">
        <v>0</v>
      </c>
      <c r="N27" s="1">
        <f>IF(M27 + N26 &lt; 0, M27 + N26, 0)</f>
        <v>0</v>
      </c>
      <c r="O27" s="1">
        <v>0</v>
      </c>
      <c r="P27" s="1">
        <f>IF(O27 + P26 &lt; 0, O27 + P26, 0)</f>
        <v>0</v>
      </c>
      <c r="Q27" s="1">
        <v>0</v>
      </c>
      <c r="R27" s="1">
        <f>IF(Q27 + R26 &lt; 0, Q27 + R26, 0)</f>
        <v>0</v>
      </c>
      <c r="S27" s="1">
        <v>0</v>
      </c>
      <c r="T27" s="1">
        <f>IF(S27 + T26 &lt; 0, S27 + T26, 0)</f>
        <v>0</v>
      </c>
    </row>
    <row r="28" spans="1:20" s="1" customFormat="1">
      <c r="A28" s="3">
        <v>44971</v>
      </c>
      <c r="B28" s="2" t="s">
        <v>13</v>
      </c>
      <c r="C28" s="2">
        <v>2</v>
      </c>
      <c r="D28" s="2">
        <v>6</v>
      </c>
      <c r="E28" s="1">
        <v>-161139.9667311675</v>
      </c>
      <c r="F28" s="1">
        <f>IF(E28 + F27 &lt; 0, E28 + F27, 0)</f>
        <v>0</v>
      </c>
      <c r="G28" s="1">
        <v>230284.8219438503</v>
      </c>
      <c r="H28" s="1">
        <f>IF(G28 + H27 &lt; 0, G28 + H27, 0)</f>
        <v>0</v>
      </c>
      <c r="I28" s="1">
        <v>230284.8219438503</v>
      </c>
      <c r="J28" s="1">
        <f>IF(I28 + J27 &lt; 0, I28 + J27, 0)</f>
        <v>0</v>
      </c>
      <c r="K28" s="1">
        <v>230284.8219438503</v>
      </c>
      <c r="L28" s="1">
        <f>IF(K28 + L27 &lt; 0, K28 + L27, 0)</f>
        <v>0</v>
      </c>
      <c r="M28" s="1">
        <v>9583.676834295136</v>
      </c>
      <c r="N28" s="1">
        <f>IF(M28 + N27 &lt; 0, M28 + N27, 0)</f>
        <v>0</v>
      </c>
      <c r="O28" s="1">
        <v>9583.676834295136</v>
      </c>
      <c r="P28" s="1">
        <f>IF(O28 + P27 &lt; 0, O28 + P27, 0)</f>
        <v>0</v>
      </c>
      <c r="Q28" s="1">
        <v>9583.676834295136</v>
      </c>
      <c r="R28" s="1">
        <f>IF(Q28 + R27 &lt; 0, Q28 + R27, 0)</f>
        <v>0</v>
      </c>
      <c r="S28" s="1">
        <v>9583.676834295136</v>
      </c>
      <c r="T28" s="1">
        <f>IF(S28 + T27 &lt; 0, S28 + T27, 0)</f>
        <v>0</v>
      </c>
    </row>
    <row r="29" spans="1:20" s="1" customFormat="1">
      <c r="A29" s="3">
        <v>44972</v>
      </c>
      <c r="B29" s="2" t="s">
        <v>14</v>
      </c>
      <c r="C29" s="2">
        <v>1</v>
      </c>
      <c r="D29" s="2">
        <v>5</v>
      </c>
      <c r="E29" s="1">
        <v>2035.398230088503</v>
      </c>
      <c r="F29" s="1">
        <f>IF(E29 + F28 &lt; 0, E29 + F28, 0)</f>
        <v>0</v>
      </c>
      <c r="G29" s="1">
        <v>36502.72294077605</v>
      </c>
      <c r="H29" s="1">
        <f>IF(G29 + H28 &lt; 0, G29 + H28, 0)</f>
        <v>0</v>
      </c>
      <c r="I29" s="1">
        <v>267684.6494213751</v>
      </c>
      <c r="J29" s="1">
        <f>IF(I29 + J28 &lt; 0, I29 + J28, 0)</f>
        <v>0</v>
      </c>
      <c r="K29" s="1">
        <v>267684.6494213751</v>
      </c>
      <c r="L29" s="1">
        <f>IF(K29 + L28 &lt; 0, K29 + L28, 0)</f>
        <v>0</v>
      </c>
      <c r="M29" s="1">
        <v>44576.66796722591</v>
      </c>
      <c r="N29" s="1">
        <f>IF(M29 + N28 &lt; 0, M29 + N28, 0)</f>
        <v>0</v>
      </c>
      <c r="O29" s="1">
        <v>44576.66796722591</v>
      </c>
      <c r="P29" s="1">
        <f>IF(O29 + P28 &lt; 0, O29 + P28, 0)</f>
        <v>0</v>
      </c>
      <c r="Q29" s="1">
        <v>44576.66796722591</v>
      </c>
      <c r="R29" s="1">
        <f>IF(Q29 + R28 &lt; 0, Q29 + R28, 0)</f>
        <v>0</v>
      </c>
      <c r="S29" s="1">
        <v>44576.66796722591</v>
      </c>
      <c r="T29" s="1">
        <f>IF(S29 + T28 &lt; 0, S29 + T28, 0)</f>
        <v>0</v>
      </c>
    </row>
    <row r="30" spans="1:20" s="1" customFormat="1">
      <c r="A30" s="3">
        <v>44973</v>
      </c>
      <c r="B30" s="2" t="s">
        <v>16</v>
      </c>
      <c r="C30" s="2">
        <v>20</v>
      </c>
      <c r="D30" s="2">
        <v>4</v>
      </c>
      <c r="E30" s="1">
        <v>0</v>
      </c>
      <c r="F30" s="1">
        <f>IF(E30 + F29 &lt; 0, E30 + F29, 0)</f>
        <v>0</v>
      </c>
      <c r="G30" s="1">
        <v>0</v>
      </c>
      <c r="H30" s="1">
        <f>IF(G30 + H29 &lt; 0, G30 + H29, 0)</f>
        <v>0</v>
      </c>
      <c r="I30" s="1">
        <v>0</v>
      </c>
      <c r="J30" s="1">
        <f>IF(I30 + J29 &lt; 0, I30 + J29, 0)</f>
        <v>0</v>
      </c>
      <c r="K30" s="1">
        <v>0</v>
      </c>
      <c r="L30" s="1">
        <f>IF(K30 + L29 &lt; 0, K30 + L29, 0)</f>
        <v>0</v>
      </c>
      <c r="M30" s="1">
        <v>106508.5158150851</v>
      </c>
      <c r="N30" s="1">
        <f>IF(M30 + N29 &lt; 0, M30 + N29, 0)</f>
        <v>0</v>
      </c>
      <c r="O30" s="1">
        <v>106508.5158150851</v>
      </c>
      <c r="P30" s="1">
        <f>IF(O30 + P29 &lt; 0, O30 + P29, 0)</f>
        <v>0</v>
      </c>
      <c r="Q30" s="1">
        <v>106508.5158150851</v>
      </c>
      <c r="R30" s="1">
        <f>IF(Q30 + R29 &lt; 0, Q30 + R29, 0)</f>
        <v>0</v>
      </c>
      <c r="S30" s="1">
        <v>106508.5158150851</v>
      </c>
      <c r="T30" s="1">
        <f>IF(S30 + T29 &lt; 0, S30 + T29, 0)</f>
        <v>0</v>
      </c>
    </row>
    <row r="31" spans="1:20" s="1" customFormat="1">
      <c r="A31" s="3">
        <v>44974</v>
      </c>
      <c r="B31" s="2" t="s">
        <v>15</v>
      </c>
      <c r="C31" s="2">
        <v>19</v>
      </c>
      <c r="D31" s="2">
        <v>3</v>
      </c>
      <c r="E31" s="1">
        <v>0</v>
      </c>
      <c r="F31" s="1">
        <f>IF(E31 + F30 &lt; 0, E31 + F30, 0)</f>
        <v>0</v>
      </c>
      <c r="G31" s="1">
        <v>0</v>
      </c>
      <c r="H31" s="1">
        <f>IF(G31 + H30 &lt; 0, G31 + H30, 0)</f>
        <v>0</v>
      </c>
      <c r="I31" s="1">
        <v>0</v>
      </c>
      <c r="J31" s="1">
        <f>IF(I31 + J30 &lt; 0, I31 + J30, 0)</f>
        <v>0</v>
      </c>
      <c r="K31" s="1">
        <v>0</v>
      </c>
      <c r="L31" s="1">
        <f>IF(K31 + L30 &lt; 0, K31 + L30, 0)</f>
        <v>0</v>
      </c>
      <c r="M31" s="1">
        <v>81390.27431421448</v>
      </c>
      <c r="N31" s="1">
        <f>IF(M31 + N30 &lt; 0, M31 + N30, 0)</f>
        <v>0</v>
      </c>
      <c r="O31" s="1">
        <v>81390.27431421448</v>
      </c>
      <c r="P31" s="1">
        <f>IF(O31 + P30 &lt; 0, O31 + P30, 0)</f>
        <v>0</v>
      </c>
      <c r="Q31" s="1">
        <v>81390.27431421448</v>
      </c>
      <c r="R31" s="1">
        <f>IF(Q31 + R30 &lt; 0, Q31 + R30, 0)</f>
        <v>0</v>
      </c>
      <c r="S31" s="1">
        <v>81390.27431421448</v>
      </c>
      <c r="T31" s="1">
        <f>IF(S31 + T30 &lt; 0, S31 + T30, 0)</f>
        <v>0</v>
      </c>
    </row>
    <row r="32" spans="1:20" s="1" customFormat="1">
      <c r="A32" s="3">
        <v>44977</v>
      </c>
      <c r="B32" s="2" t="s">
        <v>12</v>
      </c>
      <c r="C32" s="2">
        <v>18</v>
      </c>
      <c r="D32" s="2">
        <v>2</v>
      </c>
      <c r="E32" s="1">
        <v>0</v>
      </c>
      <c r="F32" s="1">
        <f>IF(E32 + F31 &lt; 0, E32 + F31, 0)</f>
        <v>0</v>
      </c>
      <c r="G32" s="1">
        <v>0</v>
      </c>
      <c r="H32" s="1">
        <f>IF(G32 + H31 &lt; 0, G32 + H31, 0)</f>
        <v>0</v>
      </c>
      <c r="I32" s="1">
        <v>0</v>
      </c>
      <c r="J32" s="1">
        <f>IF(I32 + J31 &lt; 0, I32 + J31, 0)</f>
        <v>0</v>
      </c>
      <c r="K32" s="1">
        <v>0</v>
      </c>
      <c r="L32" s="1">
        <f>IF(K32 + L31 &lt; 0, K32 + L31, 0)</f>
        <v>0</v>
      </c>
      <c r="M32" s="1">
        <v>84840.78590785908</v>
      </c>
      <c r="N32" s="1">
        <f>IF(M32 + N31 &lt; 0, M32 + N31, 0)</f>
        <v>0</v>
      </c>
      <c r="O32" s="1">
        <v>84840.78590785908</v>
      </c>
      <c r="P32" s="1">
        <f>IF(O32 + P31 &lt; 0, O32 + P31, 0)</f>
        <v>0</v>
      </c>
      <c r="Q32" s="1">
        <v>84840.78590785908</v>
      </c>
      <c r="R32" s="1">
        <f>IF(Q32 + R31 &lt; 0, Q32 + R31, 0)</f>
        <v>0</v>
      </c>
      <c r="S32" s="1">
        <v>84840.78590785908</v>
      </c>
      <c r="T32" s="1">
        <f>IF(S32 + T31 &lt; 0, S32 + T31, 0)</f>
        <v>0</v>
      </c>
    </row>
    <row r="33" spans="1:20" s="1" customFormat="1">
      <c r="A33" s="3">
        <v>44978</v>
      </c>
      <c r="B33" s="2" t="s">
        <v>13</v>
      </c>
      <c r="C33" s="2">
        <v>17</v>
      </c>
      <c r="D33" s="2">
        <v>1</v>
      </c>
      <c r="E33" s="1">
        <v>0</v>
      </c>
      <c r="F33" s="1">
        <f>IF(E33 + F32 &lt; 0, E33 + F32, 0)</f>
        <v>0</v>
      </c>
      <c r="G33" s="1">
        <v>0</v>
      </c>
      <c r="H33" s="1">
        <f>IF(G33 + H32 &lt; 0, G33 + H32, 0)</f>
        <v>0</v>
      </c>
      <c r="I33" s="1">
        <v>0</v>
      </c>
      <c r="J33" s="1">
        <f>IF(I33 + J32 &lt; 0, I33 + J32, 0)</f>
        <v>0</v>
      </c>
      <c r="K33" s="1">
        <v>0</v>
      </c>
      <c r="L33" s="1">
        <f>IF(K33 + L32 &lt; 0, K33 + L32, 0)</f>
        <v>0</v>
      </c>
      <c r="M33" s="1">
        <v>36547.61904761905</v>
      </c>
      <c r="N33" s="1">
        <f>IF(M33 + N32 &lt; 0, M33 + N32, 0)</f>
        <v>0</v>
      </c>
      <c r="O33" s="1">
        <v>-4268.70748299319</v>
      </c>
      <c r="P33" s="1">
        <f>IF(O33 + P32 &lt; 0, O33 + P32, 0)</f>
        <v>0</v>
      </c>
      <c r="Q33" s="1">
        <v>-114285.7142857143</v>
      </c>
      <c r="R33" s="1">
        <f>IF(Q33 + R32 &lt; 0, Q33 + R32, 0)</f>
        <v>0</v>
      </c>
      <c r="S33" s="1">
        <v>-119937.641723356</v>
      </c>
      <c r="T33" s="1">
        <f>IF(S33 + T32 &lt; 0, S33 + T32, 0)</f>
        <v>0</v>
      </c>
    </row>
    <row r="34" spans="1:20" s="1" customFormat="1">
      <c r="A34" s="3">
        <v>44979</v>
      </c>
      <c r="B34" s="2" t="s">
        <v>14</v>
      </c>
      <c r="C34" s="2">
        <v>16</v>
      </c>
      <c r="D34" s="2">
        <v>22</v>
      </c>
      <c r="E34" s="1">
        <v>0</v>
      </c>
      <c r="F34" s="1">
        <f>IF(E34 + F33 &lt; 0, E34 + F33, 0)</f>
        <v>0</v>
      </c>
      <c r="G34" s="1">
        <v>0</v>
      </c>
      <c r="H34" s="1">
        <f>IF(G34 + H33 &lt; 0, G34 + H33, 0)</f>
        <v>0</v>
      </c>
      <c r="I34" s="1">
        <v>0</v>
      </c>
      <c r="J34" s="1">
        <f>IF(I34 + J33 &lt; 0, I34 + J33, 0)</f>
        <v>0</v>
      </c>
      <c r="K34" s="1">
        <v>0</v>
      </c>
      <c r="L34" s="1">
        <f>IF(K34 + L33 &lt; 0, K34 + L33, 0)</f>
        <v>0</v>
      </c>
      <c r="M34" s="1">
        <v>0</v>
      </c>
      <c r="N34" s="1">
        <f>IF(M34 + N33 &lt; 0, M34 + N33, 0)</f>
        <v>0</v>
      </c>
      <c r="O34" s="1">
        <v>0</v>
      </c>
      <c r="P34" s="1">
        <f>IF(O34 + P33 &lt; 0, O34 + P33, 0)</f>
        <v>0</v>
      </c>
      <c r="Q34" s="1">
        <v>0</v>
      </c>
      <c r="R34" s="1">
        <f>IF(Q34 + R33 &lt; 0, Q34 + R33, 0)</f>
        <v>0</v>
      </c>
      <c r="S34" s="1">
        <v>0</v>
      </c>
      <c r="T34" s="1">
        <f>IF(S34 + T33 &lt; 0, S34 + T33, 0)</f>
        <v>0</v>
      </c>
    </row>
    <row r="35" spans="1:20" s="1" customFormat="1">
      <c r="A35" s="3">
        <v>44980</v>
      </c>
      <c r="B35" s="2" t="s">
        <v>16</v>
      </c>
      <c r="C35" s="2">
        <v>15</v>
      </c>
      <c r="D35" s="2">
        <v>21</v>
      </c>
      <c r="E35" s="1">
        <v>0</v>
      </c>
      <c r="F35" s="1">
        <f>IF(E35 + F34 &lt; 0, E35 + F34, 0)</f>
        <v>0</v>
      </c>
      <c r="G35" s="1">
        <v>0</v>
      </c>
      <c r="H35" s="1">
        <f>IF(G35 + H34 &lt; 0, G35 + H34, 0)</f>
        <v>0</v>
      </c>
      <c r="I35" s="1">
        <v>0</v>
      </c>
      <c r="J35" s="1">
        <f>IF(I35 + J34 &lt; 0, I35 + J34, 0)</f>
        <v>0</v>
      </c>
      <c r="K35" s="1">
        <v>0</v>
      </c>
      <c r="L35" s="1">
        <f>IF(K35 + L34 &lt; 0, K35 + L34, 0)</f>
        <v>0</v>
      </c>
      <c r="M35" s="1">
        <v>0</v>
      </c>
      <c r="N35" s="1">
        <f>IF(M35 + N34 &lt; 0, M35 + N34, 0)</f>
        <v>0</v>
      </c>
      <c r="O35" s="1">
        <v>0</v>
      </c>
      <c r="P35" s="1">
        <f>IF(O35 + P34 &lt; 0, O35 + P34, 0)</f>
        <v>0</v>
      </c>
      <c r="Q35" s="1">
        <v>0</v>
      </c>
      <c r="R35" s="1">
        <f>IF(Q35 + R34 &lt; 0, Q35 + R34, 0)</f>
        <v>0</v>
      </c>
      <c r="S35" s="1">
        <v>0</v>
      </c>
      <c r="T35" s="1">
        <f>IF(S35 + T34 &lt; 0, S35 + T34, 0)</f>
        <v>0</v>
      </c>
    </row>
    <row r="36" spans="1:20" s="1" customFormat="1">
      <c r="A36" s="3">
        <v>44981</v>
      </c>
      <c r="B36" s="2" t="s">
        <v>15</v>
      </c>
      <c r="C36" s="2">
        <v>14</v>
      </c>
      <c r="D36" s="2">
        <v>20</v>
      </c>
      <c r="E36" s="1">
        <v>0</v>
      </c>
      <c r="F36" s="1">
        <f>IF(E36 + F35 &lt; 0, E36 + F35, 0)</f>
        <v>0</v>
      </c>
      <c r="G36" s="1">
        <v>0</v>
      </c>
      <c r="H36" s="1">
        <f>IF(G36 + H35 &lt; 0, G36 + H35, 0)</f>
        <v>0</v>
      </c>
      <c r="I36" s="1">
        <v>0</v>
      </c>
      <c r="J36" s="1">
        <f>IF(I36 + J35 &lt; 0, I36 + J35, 0)</f>
        <v>0</v>
      </c>
      <c r="K36" s="1">
        <v>0</v>
      </c>
      <c r="L36" s="1">
        <f>IF(K36 + L35 &lt; 0, K36 + L35, 0)</f>
        <v>0</v>
      </c>
      <c r="M36" s="1">
        <v>0</v>
      </c>
      <c r="N36" s="1">
        <f>IF(M36 + N35 &lt; 0, M36 + N35, 0)</f>
        <v>0</v>
      </c>
      <c r="O36" s="1">
        <v>0</v>
      </c>
      <c r="P36" s="1">
        <f>IF(O36 + P35 &lt; 0, O36 + P35, 0)</f>
        <v>0</v>
      </c>
      <c r="Q36" s="1">
        <v>0</v>
      </c>
      <c r="R36" s="1">
        <f>IF(Q36 + R35 &lt; 0, Q36 + R35, 0)</f>
        <v>0</v>
      </c>
      <c r="S36" s="1">
        <v>0</v>
      </c>
      <c r="T36" s="1">
        <f>IF(S36 + T35 &lt; 0, S36 + T35, 0)</f>
        <v>0</v>
      </c>
    </row>
    <row r="37" spans="1:20" s="1" customFormat="1">
      <c r="A37" s="3">
        <v>44984</v>
      </c>
      <c r="B37" s="2" t="s">
        <v>12</v>
      </c>
      <c r="C37" s="2">
        <v>13</v>
      </c>
      <c r="D37" s="2">
        <v>19</v>
      </c>
      <c r="E37" s="1">
        <v>0</v>
      </c>
      <c r="F37" s="1">
        <f>IF(E37 + F36 &lt; 0, E37 + F36, 0)</f>
        <v>0</v>
      </c>
      <c r="G37" s="1">
        <v>0</v>
      </c>
      <c r="H37" s="1">
        <f>IF(G37 + H36 &lt; 0, G37 + H36, 0)</f>
        <v>0</v>
      </c>
      <c r="I37" s="1">
        <v>0</v>
      </c>
      <c r="J37" s="1">
        <f>IF(I37 + J36 &lt; 0, I37 + J36, 0)</f>
        <v>0</v>
      </c>
      <c r="K37" s="1">
        <v>0</v>
      </c>
      <c r="L37" s="1">
        <f>IF(K37 + L36 &lt; 0, K37 + L36, 0)</f>
        <v>0</v>
      </c>
      <c r="M37" s="1">
        <v>0</v>
      </c>
      <c r="N37" s="1">
        <f>IF(M37 + N36 &lt; 0, M37 + N36, 0)</f>
        <v>0</v>
      </c>
      <c r="O37" s="1">
        <v>0</v>
      </c>
      <c r="P37" s="1">
        <f>IF(O37 + P36 &lt; 0, O37 + P36, 0)</f>
        <v>0</v>
      </c>
      <c r="Q37" s="1">
        <v>0</v>
      </c>
      <c r="R37" s="1">
        <f>IF(Q37 + R36 &lt; 0, Q37 + R36, 0)</f>
        <v>0</v>
      </c>
      <c r="S37" s="1">
        <v>0</v>
      </c>
      <c r="T37" s="1">
        <f>IF(S37 + T36 &lt; 0, S37 + T36, 0)</f>
        <v>0</v>
      </c>
    </row>
    <row r="38" spans="1:20" s="1" customFormat="1">
      <c r="A38" s="3">
        <v>44985</v>
      </c>
      <c r="B38" s="2" t="s">
        <v>13</v>
      </c>
      <c r="C38" s="2">
        <v>12</v>
      </c>
      <c r="D38" s="2">
        <v>18</v>
      </c>
      <c r="E38" s="1">
        <v>0</v>
      </c>
      <c r="F38" s="1">
        <f>IF(E38 + F37 &lt; 0, E38 + F37, 0)</f>
        <v>0</v>
      </c>
      <c r="G38" s="1">
        <v>0</v>
      </c>
      <c r="H38" s="1">
        <f>IF(G38 + H37 &lt; 0, G38 + H37, 0)</f>
        <v>0</v>
      </c>
      <c r="I38" s="1">
        <v>0</v>
      </c>
      <c r="J38" s="1">
        <f>IF(I38 + J37 &lt; 0, I38 + J37, 0)</f>
        <v>0</v>
      </c>
      <c r="K38" s="1">
        <v>0</v>
      </c>
      <c r="L38" s="1">
        <f>IF(K38 + L37 &lt; 0, K38 + L37, 0)</f>
        <v>0</v>
      </c>
      <c r="M38" s="1">
        <v>0</v>
      </c>
      <c r="N38" s="1">
        <f>IF(M38 + N37 &lt; 0, M38 + N37, 0)</f>
        <v>0</v>
      </c>
      <c r="O38" s="1">
        <v>0</v>
      </c>
      <c r="P38" s="1">
        <f>IF(O38 + P37 &lt; 0, O38 + P37, 0)</f>
        <v>0</v>
      </c>
      <c r="Q38" s="1">
        <v>0</v>
      </c>
      <c r="R38" s="1">
        <f>IF(Q38 + R37 &lt; 0, Q38 + R37, 0)</f>
        <v>0</v>
      </c>
      <c r="S38" s="1">
        <v>0</v>
      </c>
      <c r="T38" s="1">
        <f>IF(S38 + T37 &lt; 0, S38 + T37, 0)</f>
        <v>0</v>
      </c>
    </row>
    <row r="39" spans="1:20" s="1" customFormat="1">
      <c r="A39" s="3">
        <v>44986</v>
      </c>
      <c r="B39" s="2" t="s">
        <v>14</v>
      </c>
      <c r="C39" s="2">
        <v>11</v>
      </c>
      <c r="D39" s="2">
        <v>17</v>
      </c>
      <c r="E39" s="1">
        <v>0</v>
      </c>
      <c r="F39" s="1">
        <f>IF(E39 + F38 &lt; 0, E39 + F38, 0)</f>
        <v>0</v>
      </c>
      <c r="G39" s="1">
        <v>0</v>
      </c>
      <c r="H39" s="1">
        <f>IF(G39 + H38 &lt; 0, G39 + H38, 0)</f>
        <v>0</v>
      </c>
      <c r="I39" s="1">
        <v>0</v>
      </c>
      <c r="J39" s="1">
        <f>IF(I39 + J38 &lt; 0, I39 + J38, 0)</f>
        <v>0</v>
      </c>
      <c r="K39" s="1">
        <v>0</v>
      </c>
      <c r="L39" s="1">
        <f>IF(K39 + L38 &lt; 0, K39 + L38, 0)</f>
        <v>0</v>
      </c>
      <c r="M39" s="1">
        <v>0</v>
      </c>
      <c r="N39" s="1">
        <f>IF(M39 + N38 &lt; 0, M39 + N38, 0)</f>
        <v>0</v>
      </c>
      <c r="O39" s="1">
        <v>0</v>
      </c>
      <c r="P39" s="1">
        <f>IF(O39 + P38 &lt; 0, O39 + P38, 0)</f>
        <v>0</v>
      </c>
      <c r="Q39" s="1">
        <v>0</v>
      </c>
      <c r="R39" s="1">
        <f>IF(Q39 + R38 &lt; 0, Q39 + R38, 0)</f>
        <v>0</v>
      </c>
      <c r="S39" s="1">
        <v>0</v>
      </c>
      <c r="T39" s="1">
        <f>IF(S39 + T38 &lt; 0, S39 + T38, 0)</f>
        <v>0</v>
      </c>
    </row>
    <row r="40" spans="1:20" s="1" customFormat="1">
      <c r="A40" s="3">
        <v>44987</v>
      </c>
      <c r="B40" s="2" t="s">
        <v>16</v>
      </c>
      <c r="C40" s="2">
        <v>10</v>
      </c>
      <c r="D40" s="2">
        <v>16</v>
      </c>
      <c r="E40" s="1">
        <v>93922.93857221915</v>
      </c>
      <c r="F40" s="1">
        <f>IF(E40 + F39 &lt; 0, E40 + F39, 0)</f>
        <v>0</v>
      </c>
      <c r="G40" s="1">
        <v>93922.93857221915</v>
      </c>
      <c r="H40" s="1">
        <f>IF(G40 + H39 &lt; 0, G40 + H39, 0)</f>
        <v>0</v>
      </c>
      <c r="I40" s="1">
        <v>93922.93857221915</v>
      </c>
      <c r="J40" s="1">
        <f>IF(I40 + J39 &lt; 0, I40 + J39, 0)</f>
        <v>0</v>
      </c>
      <c r="K40" s="1">
        <v>93922.93857221915</v>
      </c>
      <c r="L40" s="1">
        <f>IF(K40 + L39 &lt; 0, K40 + L39, 0)</f>
        <v>0</v>
      </c>
      <c r="M40" s="1">
        <v>0</v>
      </c>
      <c r="N40" s="1">
        <f>IF(M40 + N39 &lt; 0, M40 + N39, 0)</f>
        <v>0</v>
      </c>
      <c r="O40" s="1">
        <v>0</v>
      </c>
      <c r="P40" s="1">
        <f>IF(O40 + P39 &lt; 0, O40 + P39, 0)</f>
        <v>0</v>
      </c>
      <c r="Q40" s="1">
        <v>0</v>
      </c>
      <c r="R40" s="1">
        <f>IF(Q40 + R39 &lt; 0, Q40 + R39, 0)</f>
        <v>0</v>
      </c>
      <c r="S40" s="1">
        <v>0</v>
      </c>
      <c r="T40" s="1">
        <f>IF(S40 + T39 &lt; 0, S40 + T39, 0)</f>
        <v>0</v>
      </c>
    </row>
    <row r="41" spans="1:20" s="1" customFormat="1">
      <c r="A41" s="3">
        <v>44991</v>
      </c>
      <c r="B41" s="2" t="s">
        <v>12</v>
      </c>
      <c r="C41" s="2">
        <v>9</v>
      </c>
      <c r="D41" s="2">
        <v>15</v>
      </c>
      <c r="E41" s="1">
        <v>-11453.75583630872</v>
      </c>
      <c r="F41" s="1">
        <f>IF(E41 + F40 &lt; 0, E41 + F40, 0)</f>
        <v>0</v>
      </c>
      <c r="G41" s="1">
        <v>3561.864872287832</v>
      </c>
      <c r="H41" s="1">
        <f>IF(G41 + H40 &lt; 0, G41 + H40, 0)</f>
        <v>0</v>
      </c>
      <c r="I41" s="1">
        <v>3561.864872287832</v>
      </c>
      <c r="J41" s="1">
        <f>IF(I41 + J40 &lt; 0, I41 + J40, 0)</f>
        <v>0</v>
      </c>
      <c r="K41" s="1">
        <v>3561.864872287832</v>
      </c>
      <c r="L41" s="1">
        <f>IF(K41 + L40 &lt; 0, K41 + L40, 0)</f>
        <v>0</v>
      </c>
      <c r="M41" s="1">
        <v>0</v>
      </c>
      <c r="N41" s="1">
        <f>IF(M41 + N40 &lt; 0, M41 + N40, 0)</f>
        <v>0</v>
      </c>
      <c r="O41" s="1">
        <v>0</v>
      </c>
      <c r="P41" s="1">
        <f>IF(O41 + P40 &lt; 0, O41 + P40, 0)</f>
        <v>0</v>
      </c>
      <c r="Q41" s="1">
        <v>0</v>
      </c>
      <c r="R41" s="1">
        <f>IF(Q41 + R40 &lt; 0, Q41 + R40, 0)</f>
        <v>0</v>
      </c>
      <c r="S41" s="1">
        <v>0</v>
      </c>
      <c r="T41" s="1">
        <f>IF(S41 + T40 &lt; 0, S41 + T40, 0)</f>
        <v>0</v>
      </c>
    </row>
    <row r="42" spans="1:20" s="1" customFormat="1">
      <c r="A42" s="3">
        <v>44992</v>
      </c>
      <c r="B42" s="2" t="s">
        <v>13</v>
      </c>
      <c r="C42" s="2">
        <v>8</v>
      </c>
      <c r="D42" s="2">
        <v>14</v>
      </c>
      <c r="E42" s="1">
        <v>-28031.97447472939</v>
      </c>
      <c r="F42" s="1">
        <f>IF(E42 + F41 &lt; 0, E42 + F41, 0)</f>
        <v>0</v>
      </c>
      <c r="G42" s="1">
        <v>-26161.70530531892</v>
      </c>
      <c r="H42" s="1">
        <f>IF(G42 + H41 &lt; 0, G42 + H41, 0)</f>
        <v>0</v>
      </c>
      <c r="I42" s="1">
        <v>-26161.70530531892</v>
      </c>
      <c r="J42" s="1">
        <f>IF(I42 + J41 &lt; 0, I42 + J41, 0)</f>
        <v>0</v>
      </c>
      <c r="K42" s="1">
        <v>-26161.70530531892</v>
      </c>
      <c r="L42" s="1">
        <f>IF(K42 + L41 &lt; 0, K42 + L41, 0)</f>
        <v>0</v>
      </c>
      <c r="M42" s="1">
        <v>0</v>
      </c>
      <c r="N42" s="1">
        <f>IF(M42 + N41 &lt; 0, M42 + N41, 0)</f>
        <v>0</v>
      </c>
      <c r="O42" s="1">
        <v>0</v>
      </c>
      <c r="P42" s="1">
        <f>IF(O42 + P41 &lt; 0, O42 + P41, 0)</f>
        <v>0</v>
      </c>
      <c r="Q42" s="1">
        <v>0</v>
      </c>
      <c r="R42" s="1">
        <f>IF(Q42 + R41 &lt; 0, Q42 + R41, 0)</f>
        <v>0</v>
      </c>
      <c r="S42" s="1">
        <v>0</v>
      </c>
      <c r="T42" s="1">
        <f>IF(S42 + T41 &lt; 0, S42 + T41, 0)</f>
        <v>0</v>
      </c>
    </row>
    <row r="43" spans="1:20" s="1" customFormat="1">
      <c r="A43" s="3">
        <v>44993</v>
      </c>
      <c r="B43" s="2" t="s">
        <v>14</v>
      </c>
      <c r="C43" s="2">
        <v>7</v>
      </c>
      <c r="D43" s="2">
        <v>13</v>
      </c>
      <c r="E43" s="1">
        <v>-140022.5694444444</v>
      </c>
      <c r="F43" s="1">
        <f>IF(E43 + F42 &lt; 0, E43 + F42, 0)</f>
        <v>0</v>
      </c>
      <c r="G43" s="1">
        <v>12751.73611111111</v>
      </c>
      <c r="H43" s="1">
        <f>IF(G43 + H42 &lt; 0, G43 + H42, 0)</f>
        <v>0</v>
      </c>
      <c r="I43" s="1">
        <v>12751.73611111111</v>
      </c>
      <c r="J43" s="1">
        <f>IF(I43 + J42 &lt; 0, I43 + J42, 0)</f>
        <v>0</v>
      </c>
      <c r="K43" s="1">
        <v>12751.73611111111</v>
      </c>
      <c r="L43" s="1">
        <f>IF(K43 + L42 &lt; 0, K43 + L42, 0)</f>
        <v>0</v>
      </c>
      <c r="M43" s="1">
        <v>0</v>
      </c>
      <c r="N43" s="1">
        <f>IF(M43 + N42 &lt; 0, M43 + N42, 0)</f>
        <v>0</v>
      </c>
      <c r="O43" s="1">
        <v>0</v>
      </c>
      <c r="P43" s="1">
        <f>IF(O43 + P42 &lt; 0, O43 + P42, 0)</f>
        <v>0</v>
      </c>
      <c r="Q43" s="1">
        <v>0</v>
      </c>
      <c r="R43" s="1">
        <f>IF(Q43 + R42 &lt; 0, Q43 + R42, 0)</f>
        <v>0</v>
      </c>
      <c r="S43" s="1">
        <v>0</v>
      </c>
      <c r="T43" s="1">
        <f>IF(S43 + T42 &lt; 0, S43 + T42, 0)</f>
        <v>0</v>
      </c>
    </row>
    <row r="44" spans="1:20" s="1" customFormat="1">
      <c r="A44" s="3">
        <v>44994</v>
      </c>
      <c r="B44" s="2" t="s">
        <v>16</v>
      </c>
      <c r="C44" s="2">
        <v>6</v>
      </c>
      <c r="D44" s="2">
        <v>12</v>
      </c>
      <c r="E44" s="1">
        <v>83065.37102473498</v>
      </c>
      <c r="F44" s="1">
        <f>IF(E44 + F43 &lt; 0, E44 + F43, 0)</f>
        <v>0</v>
      </c>
      <c r="G44" s="1">
        <v>83065.37102473498</v>
      </c>
      <c r="H44" s="1">
        <f>IF(G44 + H43 &lt; 0, G44 + H43, 0)</f>
        <v>0</v>
      </c>
      <c r="I44" s="1">
        <v>83065.37102473498</v>
      </c>
      <c r="J44" s="1">
        <f>IF(I44 + J43 &lt; 0, I44 + J43, 0)</f>
        <v>0</v>
      </c>
      <c r="K44" s="1">
        <v>83065.37102473498</v>
      </c>
      <c r="L44" s="1">
        <f>IF(K44 + L43 &lt; 0, K44 + L43, 0)</f>
        <v>0</v>
      </c>
      <c r="M44" s="1">
        <v>0</v>
      </c>
      <c r="N44" s="1">
        <f>IF(M44 + N43 &lt; 0, M44 + N43, 0)</f>
        <v>0</v>
      </c>
      <c r="O44" s="1">
        <v>0</v>
      </c>
      <c r="P44" s="1">
        <f>IF(O44 + P43 &lt; 0, O44 + P43, 0)</f>
        <v>0</v>
      </c>
      <c r="Q44" s="1">
        <v>0</v>
      </c>
      <c r="R44" s="1">
        <f>IF(Q44 + R43 &lt; 0, Q44 + R43, 0)</f>
        <v>0</v>
      </c>
      <c r="S44" s="1">
        <v>0</v>
      </c>
      <c r="T44" s="1">
        <f>IF(S44 + T43 &lt; 0, S44 + T43, 0)</f>
        <v>0</v>
      </c>
    </row>
    <row r="45" spans="1:20" s="1" customFormat="1">
      <c r="A45" s="3">
        <v>44995</v>
      </c>
      <c r="B45" s="2" t="s">
        <v>15</v>
      </c>
      <c r="C45" s="2">
        <v>5</v>
      </c>
      <c r="D45" s="2">
        <v>11</v>
      </c>
      <c r="E45" s="1">
        <v>59197.69026612153</v>
      </c>
      <c r="F45" s="1">
        <f>IF(E45 + F44 &lt; 0, E45 + F44, 0)</f>
        <v>0</v>
      </c>
      <c r="G45" s="1">
        <v>62863.13750806973</v>
      </c>
      <c r="H45" s="1">
        <f>IF(G45 + H44 &lt; 0, G45 + H44, 0)</f>
        <v>0</v>
      </c>
      <c r="I45" s="1">
        <v>62863.13750806973</v>
      </c>
      <c r="J45" s="1">
        <f>IF(I45 + J44 &lt; 0, I45 + J44, 0)</f>
        <v>0</v>
      </c>
      <c r="K45" s="1">
        <v>62863.13750806973</v>
      </c>
      <c r="L45" s="1">
        <f>IF(K45 + L44 &lt; 0, K45 + L44, 0)</f>
        <v>0</v>
      </c>
      <c r="M45" s="1">
        <v>0</v>
      </c>
      <c r="N45" s="1">
        <f>IF(M45 + N44 &lt; 0, M45 + N44, 0)</f>
        <v>0</v>
      </c>
      <c r="O45" s="1">
        <v>0</v>
      </c>
      <c r="P45" s="1">
        <f>IF(O45 + P44 &lt; 0, O45 + P44, 0)</f>
        <v>0</v>
      </c>
      <c r="Q45" s="1">
        <v>0</v>
      </c>
      <c r="R45" s="1">
        <f>IF(Q45 + R44 &lt; 0, Q45 + R44, 0)</f>
        <v>0</v>
      </c>
      <c r="S45" s="1">
        <v>0</v>
      </c>
      <c r="T45" s="1">
        <f>IF(S45 + T44 &lt; 0, S45 + T44, 0)</f>
        <v>0</v>
      </c>
    </row>
    <row r="46" spans="1:20" s="1" customFormat="1">
      <c r="A46" s="3">
        <v>44998</v>
      </c>
      <c r="B46" s="2" t="s">
        <v>12</v>
      </c>
      <c r="C46" s="2">
        <v>4</v>
      </c>
      <c r="D46" s="2">
        <v>10</v>
      </c>
      <c r="E46" s="1">
        <v>-346170.4080192009</v>
      </c>
      <c r="F46" s="1">
        <f>IF(E46 + F45 &lt; 0, E46 + F45, 0)</f>
        <v>0</v>
      </c>
      <c r="G46" s="1">
        <v>-312012.0358605111</v>
      </c>
      <c r="H46" s="1">
        <f>IF(G46 + H45 &lt; 0, G46 + H45, 0)</f>
        <v>0</v>
      </c>
      <c r="I46" s="1">
        <v>-389056.543837357</v>
      </c>
      <c r="J46" s="1">
        <f>IF(I46 + J45 &lt; 0, I46 + J45, 0)</f>
        <v>0</v>
      </c>
      <c r="K46" s="1">
        <v>-389056.543837357</v>
      </c>
      <c r="L46" s="1">
        <f>IF(K46 + L45 &lt; 0, K46 + L45, 0)</f>
        <v>0</v>
      </c>
      <c r="M46" s="1">
        <v>0</v>
      </c>
      <c r="N46" s="1">
        <f>IF(M46 + N45 &lt; 0, M46 + N45, 0)</f>
        <v>0</v>
      </c>
      <c r="O46" s="1">
        <v>0</v>
      </c>
      <c r="P46" s="1">
        <f>IF(O46 + P45 &lt; 0, O46 + P45, 0)</f>
        <v>0</v>
      </c>
      <c r="Q46" s="1">
        <v>0</v>
      </c>
      <c r="R46" s="1">
        <f>IF(Q46 + R45 &lt; 0, Q46 + R45, 0)</f>
        <v>0</v>
      </c>
      <c r="S46" s="1">
        <v>0</v>
      </c>
      <c r="T46" s="1">
        <f>IF(S46 + T45 &lt; 0, S46 + T45, 0)</f>
        <v>0</v>
      </c>
    </row>
    <row r="47" spans="1:20" s="1" customFormat="1">
      <c r="A47" s="3">
        <v>44999</v>
      </c>
      <c r="B47" s="2" t="s">
        <v>13</v>
      </c>
      <c r="C47" s="2">
        <v>3</v>
      </c>
      <c r="D47" s="2">
        <v>9</v>
      </c>
      <c r="E47" s="1">
        <v>268372.0548544751</v>
      </c>
      <c r="F47" s="1">
        <f>IF(E47 + F46 &lt; 0, E47 + F46, 0)</f>
        <v>0</v>
      </c>
      <c r="G47" s="1">
        <v>268372.0548544751</v>
      </c>
      <c r="H47" s="1">
        <f>IF(G47 + H46 &lt; 0, G47 + H46, 0)</f>
        <v>0</v>
      </c>
      <c r="I47" s="1">
        <v>268372.0548544751</v>
      </c>
      <c r="J47" s="1">
        <f>IF(I47 + J46 &lt; 0, I47 + J46, 0)</f>
        <v>0</v>
      </c>
      <c r="K47" s="1">
        <v>268372.0548544751</v>
      </c>
      <c r="L47" s="1">
        <f>IF(K47 + L46 &lt; 0, K47 + L46, 0)</f>
        <v>0</v>
      </c>
      <c r="M47" s="1">
        <v>0</v>
      </c>
      <c r="N47" s="1">
        <f>IF(M47 + N46 &lt; 0, M47 + N46, 0)</f>
        <v>0</v>
      </c>
      <c r="O47" s="1">
        <v>0</v>
      </c>
      <c r="P47" s="1">
        <f>IF(O47 + P46 &lt; 0, O47 + P46, 0)</f>
        <v>0</v>
      </c>
      <c r="Q47" s="1">
        <v>0</v>
      </c>
      <c r="R47" s="1">
        <f>IF(Q47 + R46 &lt; 0, Q47 + R46, 0)</f>
        <v>0</v>
      </c>
      <c r="S47" s="1">
        <v>0</v>
      </c>
      <c r="T47" s="1">
        <f>IF(S47 + T46 &lt; 0, S47 + T46, 0)</f>
        <v>0</v>
      </c>
    </row>
    <row r="48" spans="1:20" s="1" customFormat="1">
      <c r="A48" s="3">
        <v>45000</v>
      </c>
      <c r="B48" s="2" t="s">
        <v>14</v>
      </c>
      <c r="C48" s="2">
        <v>2</v>
      </c>
      <c r="D48" s="2">
        <v>8</v>
      </c>
      <c r="E48" s="1">
        <v>250047.4683544304</v>
      </c>
      <c r="F48" s="1">
        <f>IF(E48 + F47 &lt; 0, E48 + F47, 0)</f>
        <v>0</v>
      </c>
      <c r="G48" s="1">
        <v>91270.47654504846</v>
      </c>
      <c r="H48" s="1">
        <f>IF(G48 + H47 &lt; 0, G48 + H47, 0)</f>
        <v>0</v>
      </c>
      <c r="I48" s="1">
        <v>-322925.3536857781</v>
      </c>
      <c r="J48" s="1">
        <f>IF(I48 + J47 &lt; 0, I48 + J47, 0)</f>
        <v>0</v>
      </c>
      <c r="K48" s="1">
        <v>-329623.9761727474</v>
      </c>
      <c r="L48" s="1">
        <f>IF(K48 + L47 &lt; 0, K48 + L47, 0)</f>
        <v>0</v>
      </c>
      <c r="M48" s="1">
        <v>0</v>
      </c>
      <c r="N48" s="1">
        <f>IF(M48 + N47 &lt; 0, M48 + N47, 0)</f>
        <v>0</v>
      </c>
      <c r="O48" s="1">
        <v>0</v>
      </c>
      <c r="P48" s="1">
        <f>IF(O48 + P47 &lt; 0, O48 + P47, 0)</f>
        <v>0</v>
      </c>
      <c r="Q48" s="1">
        <v>0</v>
      </c>
      <c r="R48" s="1">
        <f>IF(Q48 + R47 &lt; 0, Q48 + R47, 0)</f>
        <v>0</v>
      </c>
      <c r="S48" s="1">
        <v>0</v>
      </c>
      <c r="T48" s="1">
        <f>IF(S48 + T47 &lt; 0, S48 + T47, 0)</f>
        <v>0</v>
      </c>
    </row>
    <row r="49" spans="1:20" s="1" customFormat="1">
      <c r="A49" s="3">
        <v>45001</v>
      </c>
      <c r="B49" s="2" t="s">
        <v>16</v>
      </c>
      <c r="C49" s="2">
        <v>1</v>
      </c>
      <c r="D49" s="2">
        <v>7</v>
      </c>
      <c r="E49" s="1">
        <v>-129863.0541871921</v>
      </c>
      <c r="F49" s="1">
        <f>IF(E49 + F48 &lt; 0, E49 + F48, 0)</f>
        <v>0</v>
      </c>
      <c r="G49" s="1">
        <v>-45628.57142857141</v>
      </c>
      <c r="H49" s="1">
        <f>IF(G49 + H48 &lt; 0, G49 + H48, 0)</f>
        <v>0</v>
      </c>
      <c r="I49" s="1">
        <v>265810.8374384237</v>
      </c>
      <c r="J49" s="1">
        <f>IF(I49 + J48 &lt; 0, I49 + J48, 0)</f>
        <v>0</v>
      </c>
      <c r="K49" s="1">
        <v>233491.6256157636</v>
      </c>
      <c r="L49" s="1">
        <f>IF(K49 + L48 &lt; 0, K49 + L48, 0)</f>
        <v>0</v>
      </c>
      <c r="M49" s="1">
        <v>0</v>
      </c>
      <c r="N49" s="1">
        <f>IF(M49 + N48 &lt; 0, M49 + N48, 0)</f>
        <v>0</v>
      </c>
      <c r="O49" s="1">
        <v>0</v>
      </c>
      <c r="P49" s="1">
        <f>IF(O49 + P48 &lt; 0, O49 + P48, 0)</f>
        <v>0</v>
      </c>
      <c r="Q49" s="1">
        <v>0</v>
      </c>
      <c r="R49" s="1">
        <f>IF(Q49 + R48 &lt; 0, Q49 + R48, 0)</f>
        <v>0</v>
      </c>
      <c r="S49" s="1">
        <v>0</v>
      </c>
      <c r="T49" s="1">
        <f>IF(S49 + T48 &lt; 0, S49 + T48, 0)</f>
        <v>0</v>
      </c>
    </row>
    <row r="50" spans="1:20" s="1" customFormat="1">
      <c r="A50" s="3">
        <v>45002</v>
      </c>
      <c r="B50" s="2" t="s">
        <v>15</v>
      </c>
      <c r="C50" s="2">
        <v>21</v>
      </c>
      <c r="D50" s="2">
        <v>6</v>
      </c>
      <c r="E50" s="1">
        <v>0</v>
      </c>
      <c r="F50" s="1">
        <f>IF(E50 + F49 &lt; 0, E50 + F49, 0)</f>
        <v>0</v>
      </c>
      <c r="G50" s="1">
        <v>0</v>
      </c>
      <c r="H50" s="1">
        <f>IF(G50 + H49 &lt; 0, G50 + H49, 0)</f>
        <v>0</v>
      </c>
      <c r="I50" s="1">
        <v>0</v>
      </c>
      <c r="J50" s="1">
        <f>IF(I50 + J49 &lt; 0, I50 + J49, 0)</f>
        <v>0</v>
      </c>
      <c r="K50" s="1">
        <v>0</v>
      </c>
      <c r="L50" s="1">
        <f>IF(K50 + L49 &lt; 0, K50 + L49, 0)</f>
        <v>0</v>
      </c>
      <c r="M50" s="1">
        <v>93528.29812674371</v>
      </c>
      <c r="N50" s="1">
        <f>IF(M50 + N49 &lt; 0, M50 + N49, 0)</f>
        <v>0</v>
      </c>
      <c r="O50" s="1">
        <v>93528.29812674371</v>
      </c>
      <c r="P50" s="1">
        <f>IF(O50 + P49 &lt; 0, O50 + P49, 0)</f>
        <v>0</v>
      </c>
      <c r="Q50" s="1">
        <v>93528.29812674371</v>
      </c>
      <c r="R50" s="1">
        <f>IF(Q50 + R49 &lt; 0, Q50 + R49, 0)</f>
        <v>0</v>
      </c>
      <c r="S50" s="1">
        <v>93528.29812674371</v>
      </c>
      <c r="T50" s="1">
        <f>IF(S50 + T49 &lt; 0, S50 + T49, 0)</f>
        <v>0</v>
      </c>
    </row>
    <row r="51" spans="1:20" s="1" customFormat="1">
      <c r="A51" s="3">
        <v>45005</v>
      </c>
      <c r="B51" s="2" t="s">
        <v>12</v>
      </c>
      <c r="C51" s="2">
        <v>20</v>
      </c>
      <c r="D51" s="2">
        <v>5</v>
      </c>
      <c r="E51" s="1">
        <v>0</v>
      </c>
      <c r="F51" s="1">
        <f>IF(E51 + F50 &lt; 0, E51 + F50, 0)</f>
        <v>0</v>
      </c>
      <c r="G51" s="1">
        <v>0</v>
      </c>
      <c r="H51" s="1">
        <f>IF(G51 + H50 &lt; 0, G51 + H50, 0)</f>
        <v>0</v>
      </c>
      <c r="I51" s="1">
        <v>0</v>
      </c>
      <c r="J51" s="1">
        <f>IF(I51 + J50 &lt; 0, I51 + J50, 0)</f>
        <v>0</v>
      </c>
      <c r="K51" s="1">
        <v>0</v>
      </c>
      <c r="L51" s="1">
        <f>IF(K51 + L50 &lt; 0, K51 + L50, 0)</f>
        <v>0</v>
      </c>
      <c r="M51" s="1">
        <v>-97594.31962696058</v>
      </c>
      <c r="N51" s="1">
        <f>IF(M51 + N50 &lt; 0, M51 + N50, 0)</f>
        <v>0</v>
      </c>
      <c r="O51" s="1">
        <v>-118810.936837643</v>
      </c>
      <c r="P51" s="1">
        <f>IF(O51 + P50 &lt; 0, O51 + P50, 0)</f>
        <v>0</v>
      </c>
      <c r="Q51" s="1">
        <v>-118810.936837643</v>
      </c>
      <c r="R51" s="1">
        <f>IF(Q51 + R50 &lt; 0, Q51 + R50, 0)</f>
        <v>0</v>
      </c>
      <c r="S51" s="1">
        <v>-118810.936837643</v>
      </c>
      <c r="T51" s="1">
        <f>IF(S51 + T50 &lt; 0, S51 + T50, 0)</f>
        <v>0</v>
      </c>
    </row>
    <row r="52" spans="1:20" s="1" customFormat="1">
      <c r="A52" s="3">
        <v>45006</v>
      </c>
      <c r="B52" s="2" t="s">
        <v>13</v>
      </c>
      <c r="C52" s="2">
        <v>19</v>
      </c>
      <c r="D52" s="2">
        <v>4</v>
      </c>
      <c r="E52" s="1">
        <v>0</v>
      </c>
      <c r="F52" s="1">
        <f>IF(E52 + F51 &lt; 0, E52 + F51, 0)</f>
        <v>0</v>
      </c>
      <c r="G52" s="1">
        <v>0</v>
      </c>
      <c r="H52" s="1">
        <f>IF(G52 + H51 &lt; 0, G52 + H51, 0)</f>
        <v>0</v>
      </c>
      <c r="I52" s="1">
        <v>0</v>
      </c>
      <c r="J52" s="1">
        <f>IF(I52 + J51 &lt; 0, I52 + J51, 0)</f>
        <v>0</v>
      </c>
      <c r="K52" s="1">
        <v>0</v>
      </c>
      <c r="L52" s="1">
        <f>IF(K52 + L51 &lt; 0, K52 + L51, 0)</f>
        <v>0</v>
      </c>
      <c r="M52" s="1">
        <v>112197.5806451613</v>
      </c>
      <c r="N52" s="1">
        <f>IF(M52 + N51 &lt; 0, M52 + N51, 0)</f>
        <v>0</v>
      </c>
      <c r="O52" s="1">
        <v>112197.5806451613</v>
      </c>
      <c r="P52" s="1">
        <f>IF(O52 + P51 &lt; 0, O52 + P51, 0)</f>
        <v>0</v>
      </c>
      <c r="Q52" s="1">
        <v>112197.5806451613</v>
      </c>
      <c r="R52" s="1">
        <f>IF(Q52 + R51 &lt; 0, Q52 + R51, 0)</f>
        <v>0</v>
      </c>
      <c r="S52" s="1">
        <v>112197.5806451613</v>
      </c>
      <c r="T52" s="1">
        <f>IF(S52 + T51 &lt; 0, S52 + T51, 0)</f>
        <v>0</v>
      </c>
    </row>
    <row r="53" spans="1:20" s="1" customFormat="1">
      <c r="A53" s="3">
        <v>45007</v>
      </c>
      <c r="B53" s="2" t="s">
        <v>14</v>
      </c>
      <c r="C53" s="2">
        <v>18</v>
      </c>
      <c r="D53" s="2">
        <v>3</v>
      </c>
      <c r="E53" s="1">
        <v>0</v>
      </c>
      <c r="F53" s="1">
        <f>IF(E53 + F52 &lt; 0, E53 + F52, 0)</f>
        <v>0</v>
      </c>
      <c r="G53" s="1">
        <v>0</v>
      </c>
      <c r="H53" s="1">
        <f>IF(G53 + H52 &lt; 0, G53 + H52, 0)</f>
        <v>0</v>
      </c>
      <c r="I53" s="1">
        <v>0</v>
      </c>
      <c r="J53" s="1">
        <f>IF(I53 + J52 &lt; 0, I53 + J52, 0)</f>
        <v>0</v>
      </c>
      <c r="K53" s="1">
        <v>0</v>
      </c>
      <c r="L53" s="1">
        <f>IF(K53 + L52 &lt; 0, K53 + L52, 0)</f>
        <v>0</v>
      </c>
      <c r="M53" s="1">
        <v>74342.3936869794</v>
      </c>
      <c r="N53" s="1">
        <f>IF(M53 + N52 &lt; 0, M53 + N52, 0)</f>
        <v>0</v>
      </c>
      <c r="O53" s="1">
        <v>74342.3936869794</v>
      </c>
      <c r="P53" s="1">
        <f>IF(O53 + P52 &lt; 0, O53 + P52, 0)</f>
        <v>0</v>
      </c>
      <c r="Q53" s="1">
        <v>74342.3936869794</v>
      </c>
      <c r="R53" s="1">
        <f>IF(Q53 + R52 &lt; 0, Q53 + R52, 0)</f>
        <v>0</v>
      </c>
      <c r="S53" s="1">
        <v>74342.3936869794</v>
      </c>
      <c r="T53" s="1">
        <f>IF(S53 + T52 &lt; 0, S53 + T52, 0)</f>
        <v>0</v>
      </c>
    </row>
    <row r="54" spans="1:20" s="1" customFormat="1">
      <c r="A54" s="3">
        <v>45008</v>
      </c>
      <c r="B54" s="2" t="s">
        <v>16</v>
      </c>
      <c r="C54" s="2">
        <v>17</v>
      </c>
      <c r="D54" s="2">
        <v>2</v>
      </c>
      <c r="E54" s="1">
        <v>0</v>
      </c>
      <c r="F54" s="1">
        <f>IF(E54 + F53 &lt; 0, E54 + F53, 0)</f>
        <v>0</v>
      </c>
      <c r="G54" s="1">
        <v>0</v>
      </c>
      <c r="H54" s="1">
        <f>IF(G54 + H53 &lt; 0, G54 + H53, 0)</f>
        <v>0</v>
      </c>
      <c r="I54" s="1">
        <v>0</v>
      </c>
      <c r="J54" s="1">
        <f>IF(I54 + J53 &lt; 0, I54 + J53, 0)</f>
        <v>0</v>
      </c>
      <c r="K54" s="1">
        <v>0</v>
      </c>
      <c r="L54" s="1">
        <f>IF(K54 + L53 &lt; 0, K54 + L53, 0)</f>
        <v>0</v>
      </c>
      <c r="M54" s="1">
        <v>93082.19178082187</v>
      </c>
      <c r="N54" s="1">
        <f>IF(M54 + N53 &lt; 0, M54 + N53, 0)</f>
        <v>0</v>
      </c>
      <c r="O54" s="1">
        <v>93082.19178082187</v>
      </c>
      <c r="P54" s="1">
        <f>IF(O54 + P53 &lt; 0, O54 + P53, 0)</f>
        <v>0</v>
      </c>
      <c r="Q54" s="1">
        <v>93082.19178082187</v>
      </c>
      <c r="R54" s="1">
        <f>IF(Q54 + R53 &lt; 0, Q54 + R53, 0)</f>
        <v>0</v>
      </c>
      <c r="S54" s="1">
        <v>93082.19178082187</v>
      </c>
      <c r="T54" s="1">
        <f>IF(S54 + T53 &lt; 0, S54 + T53, 0)</f>
        <v>0</v>
      </c>
    </row>
    <row r="55" spans="1:20" s="1" customFormat="1">
      <c r="A55" s="3">
        <v>45009</v>
      </c>
      <c r="B55" s="2" t="s">
        <v>15</v>
      </c>
      <c r="C55" s="2">
        <v>16</v>
      </c>
      <c r="D55" s="2">
        <v>1</v>
      </c>
      <c r="E55" s="1">
        <v>0</v>
      </c>
      <c r="F55" s="1">
        <f>IF(E55 + F54 &lt; 0, E55 + F54, 0)</f>
        <v>0</v>
      </c>
      <c r="G55" s="1">
        <v>0</v>
      </c>
      <c r="H55" s="1">
        <f>IF(G55 + H54 &lt; 0, G55 + H54, 0)</f>
        <v>0</v>
      </c>
      <c r="I55" s="1">
        <v>0</v>
      </c>
      <c r="J55" s="1">
        <f>IF(I55 + J54 &lt; 0, I55 + J54, 0)</f>
        <v>0</v>
      </c>
      <c r="K55" s="1">
        <v>0</v>
      </c>
      <c r="L55" s="1">
        <f>IF(K55 + L54 &lt; 0, K55 + L54, 0)</f>
        <v>0</v>
      </c>
      <c r="M55" s="1">
        <v>107078.313253012</v>
      </c>
      <c r="N55" s="1">
        <f>IF(M55 + N54 &lt; 0, M55 + N54, 0)</f>
        <v>0</v>
      </c>
      <c r="O55" s="1">
        <v>107078.313253012</v>
      </c>
      <c r="P55" s="1">
        <f>IF(O55 + P54 &lt; 0, O55 + P54, 0)</f>
        <v>0</v>
      </c>
      <c r="Q55" s="1">
        <v>107078.313253012</v>
      </c>
      <c r="R55" s="1">
        <f>IF(Q55 + R54 &lt; 0, Q55 + R54, 0)</f>
        <v>0</v>
      </c>
      <c r="S55" s="1">
        <v>107078.313253012</v>
      </c>
      <c r="T55" s="1">
        <f>IF(S55 + T54 &lt; 0, S55 + T54, 0)</f>
        <v>0</v>
      </c>
    </row>
    <row r="56" spans="1:20" s="1" customFormat="1">
      <c r="A56" s="3">
        <v>45012</v>
      </c>
      <c r="B56" s="2" t="s">
        <v>12</v>
      </c>
      <c r="C56" s="2">
        <v>15</v>
      </c>
      <c r="D56" s="2">
        <v>19</v>
      </c>
      <c r="E56" s="1">
        <v>0</v>
      </c>
      <c r="F56" s="1">
        <f>IF(E56 + F55 &lt; 0, E56 + F55, 0)</f>
        <v>0</v>
      </c>
      <c r="G56" s="1">
        <v>0</v>
      </c>
      <c r="H56" s="1">
        <f>IF(G56 + H55 &lt; 0, G56 + H55, 0)</f>
        <v>0</v>
      </c>
      <c r="I56" s="1">
        <v>0</v>
      </c>
      <c r="J56" s="1">
        <f>IF(I56 + J55 &lt; 0, I56 + J55, 0)</f>
        <v>0</v>
      </c>
      <c r="K56" s="1">
        <v>0</v>
      </c>
      <c r="L56" s="1">
        <f>IF(K56 + L55 &lt; 0, K56 + L55, 0)</f>
        <v>0</v>
      </c>
      <c r="M56" s="1">
        <v>0</v>
      </c>
      <c r="N56" s="1">
        <f>IF(M56 + N55 &lt; 0, M56 + N55, 0)</f>
        <v>0</v>
      </c>
      <c r="O56" s="1">
        <v>0</v>
      </c>
      <c r="P56" s="1">
        <f>IF(O56 + P55 &lt; 0, O56 + P55, 0)</f>
        <v>0</v>
      </c>
      <c r="Q56" s="1">
        <v>0</v>
      </c>
      <c r="R56" s="1">
        <f>IF(Q56 + R55 &lt; 0, Q56 + R55, 0)</f>
        <v>0</v>
      </c>
      <c r="S56" s="1">
        <v>0</v>
      </c>
      <c r="T56" s="1">
        <f>IF(S56 + T55 &lt; 0, S56 + T55, 0)</f>
        <v>0</v>
      </c>
    </row>
    <row r="57" spans="1:20" s="1" customFormat="1">
      <c r="A57" s="3">
        <v>45013</v>
      </c>
      <c r="B57" s="2" t="s">
        <v>13</v>
      </c>
      <c r="C57" s="2">
        <v>14</v>
      </c>
      <c r="D57" s="2">
        <v>18</v>
      </c>
      <c r="E57" s="1">
        <v>0</v>
      </c>
      <c r="F57" s="1">
        <f>IF(E57 + F56 &lt; 0, E57 + F56, 0)</f>
        <v>0</v>
      </c>
      <c r="G57" s="1">
        <v>0</v>
      </c>
      <c r="H57" s="1">
        <f>IF(G57 + H56 &lt; 0, G57 + H56, 0)</f>
        <v>0</v>
      </c>
      <c r="I57" s="1">
        <v>0</v>
      </c>
      <c r="J57" s="1">
        <f>IF(I57 + J56 &lt; 0, I57 + J56, 0)</f>
        <v>0</v>
      </c>
      <c r="K57" s="1">
        <v>0</v>
      </c>
      <c r="L57" s="1">
        <f>IF(K57 + L56 &lt; 0, K57 + L56, 0)</f>
        <v>0</v>
      </c>
      <c r="M57" s="1">
        <v>0</v>
      </c>
      <c r="N57" s="1">
        <f>IF(M57 + N56 &lt; 0, M57 + N56, 0)</f>
        <v>0</v>
      </c>
      <c r="O57" s="1">
        <v>0</v>
      </c>
      <c r="P57" s="1">
        <f>IF(O57 + P56 &lt; 0, O57 + P56, 0)</f>
        <v>0</v>
      </c>
      <c r="Q57" s="1">
        <v>0</v>
      </c>
      <c r="R57" s="1">
        <f>IF(Q57 + R56 &lt; 0, Q57 + R56, 0)</f>
        <v>0</v>
      </c>
      <c r="S57" s="1">
        <v>0</v>
      </c>
      <c r="T57" s="1">
        <f>IF(S57 + T56 &lt; 0, S57 + T56, 0)</f>
        <v>0</v>
      </c>
    </row>
    <row r="58" spans="1:20" s="1" customFormat="1">
      <c r="A58" s="3">
        <v>45014</v>
      </c>
      <c r="B58" s="2" t="s">
        <v>14</v>
      </c>
      <c r="C58" s="2">
        <v>13</v>
      </c>
      <c r="D58" s="2">
        <v>17</v>
      </c>
      <c r="E58" s="1">
        <v>0</v>
      </c>
      <c r="F58" s="1">
        <f>IF(E58 + F57 &lt; 0, E58 + F57, 0)</f>
        <v>0</v>
      </c>
      <c r="G58" s="1">
        <v>0</v>
      </c>
      <c r="H58" s="1">
        <f>IF(G58 + H57 &lt; 0, G58 + H57, 0)</f>
        <v>0</v>
      </c>
      <c r="I58" s="1">
        <v>0</v>
      </c>
      <c r="J58" s="1">
        <f>IF(I58 + J57 &lt; 0, I58 + J57, 0)</f>
        <v>0</v>
      </c>
      <c r="K58" s="1">
        <v>0</v>
      </c>
      <c r="L58" s="1">
        <f>IF(K58 + L57 &lt; 0, K58 + L57, 0)</f>
        <v>0</v>
      </c>
      <c r="M58" s="1">
        <v>0</v>
      </c>
      <c r="N58" s="1">
        <f>IF(M58 + N57 &lt; 0, M58 + N57, 0)</f>
        <v>0</v>
      </c>
      <c r="O58" s="1">
        <v>0</v>
      </c>
      <c r="P58" s="1">
        <f>IF(O58 + P57 &lt; 0, O58 + P57, 0)</f>
        <v>0</v>
      </c>
      <c r="Q58" s="1">
        <v>0</v>
      </c>
      <c r="R58" s="1">
        <f>IF(Q58 + R57 &lt; 0, Q58 + R57, 0)</f>
        <v>0</v>
      </c>
      <c r="S58" s="1">
        <v>0</v>
      </c>
      <c r="T58" s="1">
        <f>IF(S58 + T57 &lt; 0, S58 + T57, 0)</f>
        <v>0</v>
      </c>
    </row>
    <row r="59" spans="1:20" s="1" customFormat="1">
      <c r="A59" s="3">
        <v>45015</v>
      </c>
      <c r="B59" s="2" t="s">
        <v>16</v>
      </c>
      <c r="C59" s="2">
        <v>12</v>
      </c>
      <c r="D59" s="2">
        <v>16</v>
      </c>
      <c r="E59" s="1">
        <v>0</v>
      </c>
      <c r="F59" s="1">
        <f>IF(E59 + F58 &lt; 0, E59 + F58, 0)</f>
        <v>0</v>
      </c>
      <c r="G59" s="1">
        <v>0</v>
      </c>
      <c r="H59" s="1">
        <f>IF(G59 + H58 &lt; 0, G59 + H58, 0)</f>
        <v>0</v>
      </c>
      <c r="I59" s="1">
        <v>0</v>
      </c>
      <c r="J59" s="1">
        <f>IF(I59 + J58 &lt; 0, I59 + J58, 0)</f>
        <v>0</v>
      </c>
      <c r="K59" s="1">
        <v>0</v>
      </c>
      <c r="L59" s="1">
        <f>IF(K59 + L58 &lt; 0, K59 + L58, 0)</f>
        <v>0</v>
      </c>
      <c r="M59" s="1">
        <v>0</v>
      </c>
      <c r="N59" s="1">
        <f>IF(M59 + N58 &lt; 0, M59 + N58, 0)</f>
        <v>0</v>
      </c>
      <c r="O59" s="1">
        <v>0</v>
      </c>
      <c r="P59" s="1">
        <f>IF(O59 + P58 &lt; 0, O59 + P58, 0)</f>
        <v>0</v>
      </c>
      <c r="Q59" s="1">
        <v>0</v>
      </c>
      <c r="R59" s="1">
        <f>IF(Q59 + R58 &lt; 0, Q59 + R58, 0)</f>
        <v>0</v>
      </c>
      <c r="S59" s="1">
        <v>0</v>
      </c>
      <c r="T59" s="1">
        <f>IF(S59 + T58 &lt; 0, S59 + T58, 0)</f>
        <v>0</v>
      </c>
    </row>
    <row r="60" spans="1:20" s="1" customFormat="1">
      <c r="A60" s="3">
        <v>45016</v>
      </c>
      <c r="B60" s="2" t="s">
        <v>15</v>
      </c>
      <c r="C60" s="2">
        <v>11</v>
      </c>
      <c r="D60" s="2">
        <v>15</v>
      </c>
      <c r="E60" s="1">
        <v>0</v>
      </c>
      <c r="F60" s="1">
        <f>IF(E60 + F59 &lt; 0, E60 + F59, 0)</f>
        <v>0</v>
      </c>
      <c r="G60" s="1">
        <v>0</v>
      </c>
      <c r="H60" s="1">
        <f>IF(G60 + H59 &lt; 0, G60 + H59, 0)</f>
        <v>0</v>
      </c>
      <c r="I60" s="1">
        <v>0</v>
      </c>
      <c r="J60" s="1">
        <f>IF(I60 + J59 &lt; 0, I60 + J59, 0)</f>
        <v>0</v>
      </c>
      <c r="K60" s="1">
        <v>0</v>
      </c>
      <c r="L60" s="1">
        <f>IF(K60 + L59 &lt; 0, K60 + L59, 0)</f>
        <v>0</v>
      </c>
      <c r="M60" s="1">
        <v>0</v>
      </c>
      <c r="N60" s="1">
        <f>IF(M60 + N59 &lt; 0, M60 + N59, 0)</f>
        <v>0</v>
      </c>
      <c r="O60" s="1">
        <v>0</v>
      </c>
      <c r="P60" s="1">
        <f>IF(O60 + P59 &lt; 0, O60 + P59, 0)</f>
        <v>0</v>
      </c>
      <c r="Q60" s="1">
        <v>0</v>
      </c>
      <c r="R60" s="1">
        <f>IF(Q60 + R59 &lt; 0, Q60 + R59, 0)</f>
        <v>0</v>
      </c>
      <c r="S60" s="1">
        <v>0</v>
      </c>
      <c r="T60" s="1">
        <f>IF(S60 + T59 &lt; 0, S60 + T59, 0)</f>
        <v>0</v>
      </c>
    </row>
    <row r="61" spans="1:20" s="1" customFormat="1">
      <c r="A61" s="3">
        <v>45019</v>
      </c>
      <c r="B61" s="2" t="s">
        <v>12</v>
      </c>
      <c r="C61" s="2">
        <v>10</v>
      </c>
      <c r="D61" s="2">
        <v>14</v>
      </c>
      <c r="E61" s="1">
        <v>72687.29917131744</v>
      </c>
      <c r="F61" s="1">
        <f>IF(E61 + F60 &lt; 0, E61 + F60, 0)</f>
        <v>0</v>
      </c>
      <c r="G61" s="1">
        <v>72687.29917131744</v>
      </c>
      <c r="H61" s="1">
        <f>IF(G61 + H60 &lt; 0, G61 + H60, 0)</f>
        <v>0</v>
      </c>
      <c r="I61" s="1">
        <v>72687.29917131744</v>
      </c>
      <c r="J61" s="1">
        <f>IF(I61 + J60 &lt; 0, I61 + J60, 0)</f>
        <v>0</v>
      </c>
      <c r="K61" s="1">
        <v>72687.29917131744</v>
      </c>
      <c r="L61" s="1">
        <f>IF(K61 + L60 &lt; 0, K61 + L60, 0)</f>
        <v>0</v>
      </c>
      <c r="M61" s="1">
        <v>0</v>
      </c>
      <c r="N61" s="1">
        <f>IF(M61 + N60 &lt; 0, M61 + N60, 0)</f>
        <v>0</v>
      </c>
      <c r="O61" s="1">
        <v>0</v>
      </c>
      <c r="P61" s="1">
        <f>IF(O61 + P60 &lt; 0, O61 + P60, 0)</f>
        <v>0</v>
      </c>
      <c r="Q61" s="1">
        <v>0</v>
      </c>
      <c r="R61" s="1">
        <f>IF(Q61 + R60 &lt; 0, Q61 + R60, 0)</f>
        <v>0</v>
      </c>
      <c r="S61" s="1">
        <v>0</v>
      </c>
      <c r="T61" s="1">
        <f>IF(S61 + T60 &lt; 0, S61 + T60, 0)</f>
        <v>0</v>
      </c>
    </row>
    <row r="62" spans="1:20" s="1" customFormat="1">
      <c r="A62" s="3">
        <v>45020</v>
      </c>
      <c r="B62" s="2" t="s">
        <v>13</v>
      </c>
      <c r="C62" s="2">
        <v>9</v>
      </c>
      <c r="D62" s="2">
        <v>13</v>
      </c>
      <c r="E62" s="1">
        <v>11414.3837899087</v>
      </c>
      <c r="F62" s="1">
        <f>IF(E62 + F61 &lt; 0, E62 + F61, 0)</f>
        <v>0</v>
      </c>
      <c r="G62" s="1">
        <v>47073.91854962341</v>
      </c>
      <c r="H62" s="1">
        <f>IF(G62 + H61 &lt; 0, G62 + H61, 0)</f>
        <v>0</v>
      </c>
      <c r="I62" s="1">
        <v>47073.91854962341</v>
      </c>
      <c r="J62" s="1">
        <f>IF(I62 + J61 &lt; 0, I62 + J61, 0)</f>
        <v>0</v>
      </c>
      <c r="K62" s="1">
        <v>47073.91854962341</v>
      </c>
      <c r="L62" s="1">
        <f>IF(K62 + L61 &lt; 0, K62 + L61, 0)</f>
        <v>0</v>
      </c>
      <c r="M62" s="1">
        <v>0</v>
      </c>
      <c r="N62" s="1">
        <f>IF(M62 + N61 &lt; 0, M62 + N61, 0)</f>
        <v>0</v>
      </c>
      <c r="O62" s="1">
        <v>0</v>
      </c>
      <c r="P62" s="1">
        <f>IF(O62 + P61 &lt; 0, O62 + P61, 0)</f>
        <v>0</v>
      </c>
      <c r="Q62" s="1">
        <v>0</v>
      </c>
      <c r="R62" s="1">
        <f>IF(Q62 + R61 &lt; 0, Q62 + R61, 0)</f>
        <v>0</v>
      </c>
      <c r="S62" s="1">
        <v>0</v>
      </c>
      <c r="T62" s="1">
        <f>IF(S62 + T61 &lt; 0, S62 + T61, 0)</f>
        <v>0</v>
      </c>
    </row>
    <row r="63" spans="1:20" s="1" customFormat="1">
      <c r="A63" s="3">
        <v>45021</v>
      </c>
      <c r="B63" s="2" t="s">
        <v>14</v>
      </c>
      <c r="C63" s="2">
        <v>8</v>
      </c>
      <c r="D63" s="2">
        <v>12</v>
      </c>
      <c r="E63" s="1">
        <v>49924.92492492493</v>
      </c>
      <c r="F63" s="1">
        <f>IF(E63 + F62 &lt; 0, E63 + F62, 0)</f>
        <v>0</v>
      </c>
      <c r="G63" s="1">
        <v>49924.92492492493</v>
      </c>
      <c r="H63" s="1">
        <f>IF(G63 + H62 &lt; 0, G63 + H62, 0)</f>
        <v>0</v>
      </c>
      <c r="I63" s="1">
        <v>49924.92492492493</v>
      </c>
      <c r="J63" s="1">
        <f>IF(I63 + J62 &lt; 0, I63 + J62, 0)</f>
        <v>0</v>
      </c>
      <c r="K63" s="1">
        <v>49924.92492492493</v>
      </c>
      <c r="L63" s="1">
        <f>IF(K63 + L62 &lt; 0, K63 + L62, 0)</f>
        <v>0</v>
      </c>
      <c r="M63" s="1">
        <v>0</v>
      </c>
      <c r="N63" s="1">
        <f>IF(M63 + N62 &lt; 0, M63 + N62, 0)</f>
        <v>0</v>
      </c>
      <c r="O63" s="1">
        <v>0</v>
      </c>
      <c r="P63" s="1">
        <f>IF(O63 + P62 &lt; 0, O63 + P62, 0)</f>
        <v>0</v>
      </c>
      <c r="Q63" s="1">
        <v>0</v>
      </c>
      <c r="R63" s="1">
        <f>IF(Q63 + R62 &lt; 0, Q63 + R62, 0)</f>
        <v>0</v>
      </c>
      <c r="S63" s="1">
        <v>0</v>
      </c>
      <c r="T63" s="1">
        <f>IF(S63 + T62 &lt; 0, S63 + T62, 0)</f>
        <v>0</v>
      </c>
    </row>
    <row r="64" spans="1:20" s="1" customFormat="1">
      <c r="A64" s="3">
        <v>45022</v>
      </c>
      <c r="B64" s="2" t="s">
        <v>16</v>
      </c>
      <c r="C64" s="2">
        <v>7</v>
      </c>
      <c r="D64" s="2">
        <v>11</v>
      </c>
      <c r="E64" s="1">
        <v>94236.57518911768</v>
      </c>
      <c r="F64" s="1">
        <f>IF(E64 + F63 &lt; 0, E64 + F63, 0)</f>
        <v>0</v>
      </c>
      <c r="G64" s="1">
        <v>94236.57518911768</v>
      </c>
      <c r="H64" s="1">
        <f>IF(G64 + H63 &lt; 0, G64 + H63, 0)</f>
        <v>0</v>
      </c>
      <c r="I64" s="1">
        <v>94236.57518911768</v>
      </c>
      <c r="J64" s="1">
        <f>IF(I64 + J63 &lt; 0, I64 + J63, 0)</f>
        <v>0</v>
      </c>
      <c r="K64" s="1">
        <v>94236.57518911768</v>
      </c>
      <c r="L64" s="1">
        <f>IF(K64 + L63 &lt; 0, K64 + L63, 0)</f>
        <v>0</v>
      </c>
      <c r="M64" s="1">
        <v>0</v>
      </c>
      <c r="N64" s="1">
        <f>IF(M64 + N63 &lt; 0, M64 + N63, 0)</f>
        <v>0</v>
      </c>
      <c r="O64" s="1">
        <v>0</v>
      </c>
      <c r="P64" s="1">
        <f>IF(O64 + P63 &lt; 0, O64 + P63, 0)</f>
        <v>0</v>
      </c>
      <c r="Q64" s="1">
        <v>0</v>
      </c>
      <c r="R64" s="1">
        <f>IF(Q64 + R63 &lt; 0, Q64 + R63, 0)</f>
        <v>0</v>
      </c>
      <c r="S64" s="1">
        <v>0</v>
      </c>
      <c r="T64" s="1">
        <f>IF(S64 + T63 &lt; 0, S64 + T63, 0)</f>
        <v>0</v>
      </c>
    </row>
    <row r="65" spans="1:20" s="1" customFormat="1">
      <c r="A65" s="3">
        <v>45026</v>
      </c>
      <c r="B65" s="2" t="s">
        <v>12</v>
      </c>
      <c r="C65" s="2">
        <v>6</v>
      </c>
      <c r="D65" s="2">
        <v>10</v>
      </c>
      <c r="E65" s="1">
        <v>98768.24048798571</v>
      </c>
      <c r="F65" s="1">
        <f>IF(E65 + F64 &lt; 0, E65 + F64, 0)</f>
        <v>0</v>
      </c>
      <c r="G65" s="1">
        <v>98768.24048798571</v>
      </c>
      <c r="H65" s="1">
        <f>IF(G65 + H64 &lt; 0, G65 + H64, 0)</f>
        <v>0</v>
      </c>
      <c r="I65" s="1">
        <v>98768.24048798571</v>
      </c>
      <c r="J65" s="1">
        <f>IF(I65 + J64 &lt; 0, I65 + J64, 0)</f>
        <v>0</v>
      </c>
      <c r="K65" s="1">
        <v>98768.24048798571</v>
      </c>
      <c r="L65" s="1">
        <f>IF(K65 + L64 &lt; 0, K65 + L64, 0)</f>
        <v>0</v>
      </c>
      <c r="M65" s="1">
        <v>0</v>
      </c>
      <c r="N65" s="1">
        <f>IF(M65 + N64 &lt; 0, M65 + N64, 0)</f>
        <v>0</v>
      </c>
      <c r="O65" s="1">
        <v>0</v>
      </c>
      <c r="P65" s="1">
        <f>IF(O65 + P64 &lt; 0, O65 + P64, 0)</f>
        <v>0</v>
      </c>
      <c r="Q65" s="1">
        <v>0</v>
      </c>
      <c r="R65" s="1">
        <f>IF(Q65 + R64 &lt; 0, Q65 + R64, 0)</f>
        <v>0</v>
      </c>
      <c r="S65" s="1">
        <v>0</v>
      </c>
      <c r="T65" s="1">
        <f>IF(S65 + T64 &lt; 0, S65 + T64, 0)</f>
        <v>0</v>
      </c>
    </row>
    <row r="66" spans="1:20" s="1" customFormat="1">
      <c r="A66" s="3">
        <v>45027</v>
      </c>
      <c r="B66" s="2" t="s">
        <v>13</v>
      </c>
      <c r="C66" s="2">
        <v>5</v>
      </c>
      <c r="D66" s="2">
        <v>9</v>
      </c>
      <c r="E66" s="1">
        <v>71933.64385041177</v>
      </c>
      <c r="F66" s="1">
        <f>IF(E66 + F65 &lt; 0, E66 + F65, 0)</f>
        <v>0</v>
      </c>
      <c r="G66" s="1">
        <v>17753.47644120425</v>
      </c>
      <c r="H66" s="1">
        <f>IF(G66 + H65 &lt; 0, G66 + H65, 0)</f>
        <v>0</v>
      </c>
      <c r="I66" s="1">
        <v>17753.47644120425</v>
      </c>
      <c r="J66" s="1">
        <f>IF(I66 + J65 &lt; 0, I66 + J65, 0)</f>
        <v>0</v>
      </c>
      <c r="K66" s="1">
        <v>17753.47644120425</v>
      </c>
      <c r="L66" s="1">
        <f>IF(K66 + L65 &lt; 0, K66 + L65, 0)</f>
        <v>0</v>
      </c>
      <c r="M66" s="1">
        <v>0</v>
      </c>
      <c r="N66" s="1">
        <f>IF(M66 + N65 &lt; 0, M66 + N65, 0)</f>
        <v>0</v>
      </c>
      <c r="O66" s="1">
        <v>0</v>
      </c>
      <c r="P66" s="1">
        <f>IF(O66 + P65 &lt; 0, O66 + P65, 0)</f>
        <v>0</v>
      </c>
      <c r="Q66" s="1">
        <v>0</v>
      </c>
      <c r="R66" s="1">
        <f>IF(Q66 + R65 &lt; 0, Q66 + R65, 0)</f>
        <v>0</v>
      </c>
      <c r="S66" s="1">
        <v>0</v>
      </c>
      <c r="T66" s="1">
        <f>IF(S66 + T65 &lt; 0, S66 + T65, 0)</f>
        <v>0</v>
      </c>
    </row>
    <row r="67" spans="1:20" s="1" customFormat="1">
      <c r="A67" s="3">
        <v>45028</v>
      </c>
      <c r="B67" s="2" t="s">
        <v>14</v>
      </c>
      <c r="C67" s="2">
        <v>4</v>
      </c>
      <c r="D67" s="2">
        <v>8</v>
      </c>
      <c r="E67" s="1">
        <v>92801.70837903416</v>
      </c>
      <c r="F67" s="1">
        <f>IF(E67 + F66 &lt; 0, E67 + F66, 0)</f>
        <v>0</v>
      </c>
      <c r="G67" s="1">
        <v>16934.2240834912</v>
      </c>
      <c r="H67" s="1">
        <f>IF(G67 + H66 &lt; 0, G67 + H66, 0)</f>
        <v>0</v>
      </c>
      <c r="I67" s="1">
        <v>16934.2240834912</v>
      </c>
      <c r="J67" s="1">
        <f>IF(I67 + J66 &lt; 0, I67 + J66, 0)</f>
        <v>0</v>
      </c>
      <c r="K67" s="1">
        <v>16934.2240834912</v>
      </c>
      <c r="L67" s="1">
        <f>IF(K67 + L66 &lt; 0, K67 + L66, 0)</f>
        <v>0</v>
      </c>
      <c r="M67" s="1">
        <v>0</v>
      </c>
      <c r="N67" s="1">
        <f>IF(M67 + N66 &lt; 0, M67 + N66, 0)</f>
        <v>0</v>
      </c>
      <c r="O67" s="1">
        <v>0</v>
      </c>
      <c r="P67" s="1">
        <f>IF(O67 + P66 &lt; 0, O67 + P66, 0)</f>
        <v>0</v>
      </c>
      <c r="Q67" s="1">
        <v>0</v>
      </c>
      <c r="R67" s="1">
        <f>IF(Q67 + R66 &lt; 0, Q67 + R66, 0)</f>
        <v>0</v>
      </c>
      <c r="S67" s="1">
        <v>0</v>
      </c>
      <c r="T67" s="1">
        <f>IF(S67 + T66 &lt; 0, S67 + T66, 0)</f>
        <v>0</v>
      </c>
    </row>
    <row r="68" spans="1:20" s="1" customFormat="1">
      <c r="A68" s="3">
        <v>45029</v>
      </c>
      <c r="B68" s="2" t="s">
        <v>16</v>
      </c>
      <c r="C68" s="2">
        <v>3</v>
      </c>
      <c r="D68" s="2">
        <v>7</v>
      </c>
      <c r="E68" s="1">
        <v>163426.0619714631</v>
      </c>
      <c r="F68" s="1">
        <f>IF(E68 + F67 &lt; 0, E68 + F67, 0)</f>
        <v>0</v>
      </c>
      <c r="G68" s="1">
        <v>163426.0619714631</v>
      </c>
      <c r="H68" s="1">
        <f>IF(G68 + H67 &lt; 0, G68 + H67, 0)</f>
        <v>0</v>
      </c>
      <c r="I68" s="1">
        <v>163426.0619714631</v>
      </c>
      <c r="J68" s="1">
        <f>IF(I68 + J67 &lt; 0, I68 + J67, 0)</f>
        <v>0</v>
      </c>
      <c r="K68" s="1">
        <v>163426.0619714631</v>
      </c>
      <c r="L68" s="1">
        <f>IF(K68 + L67 &lt; 0, K68 + L67, 0)</f>
        <v>0</v>
      </c>
      <c r="M68" s="1">
        <v>0</v>
      </c>
      <c r="N68" s="1">
        <f>IF(M68 + N67 &lt; 0, M68 + N67, 0)</f>
        <v>0</v>
      </c>
      <c r="O68" s="1">
        <v>0</v>
      </c>
      <c r="P68" s="1">
        <f>IF(O68 + P67 &lt; 0, O68 + P67, 0)</f>
        <v>0</v>
      </c>
      <c r="Q68" s="1">
        <v>0</v>
      </c>
      <c r="R68" s="1">
        <f>IF(Q68 + R67 &lt; 0, Q68 + R67, 0)</f>
        <v>0</v>
      </c>
      <c r="S68" s="1">
        <v>0</v>
      </c>
      <c r="T68" s="1">
        <f>IF(S68 + T67 &lt; 0, S68 + T67, 0)</f>
        <v>0</v>
      </c>
    </row>
    <row r="69" spans="1:20" s="1" customFormat="1">
      <c r="A69" s="3">
        <v>45030</v>
      </c>
      <c r="B69" s="2" t="s">
        <v>15</v>
      </c>
      <c r="C69" s="2">
        <v>2</v>
      </c>
      <c r="D69" s="2">
        <v>6</v>
      </c>
      <c r="E69" s="1">
        <v>110755.7468421226</v>
      </c>
      <c r="F69" s="1">
        <f>IF(E69 + F68 &lt; 0, E69 + F68, 0)</f>
        <v>0</v>
      </c>
      <c r="G69" s="1">
        <v>184954.3220870024</v>
      </c>
      <c r="H69" s="1">
        <f>IF(G69 + H68 &lt; 0, G69 + H68, 0)</f>
        <v>0</v>
      </c>
      <c r="I69" s="1">
        <v>184954.3220870024</v>
      </c>
      <c r="J69" s="1">
        <f>IF(I69 + J68 &lt; 0, I69 + J68, 0)</f>
        <v>0</v>
      </c>
      <c r="K69" s="1">
        <v>184954.3220870024</v>
      </c>
      <c r="L69" s="1">
        <f>IF(K69 + L68 &lt; 0, K69 + L68, 0)</f>
        <v>0</v>
      </c>
      <c r="M69" s="1">
        <v>-21426.79282868527</v>
      </c>
      <c r="N69" s="1">
        <f>IF(M69 + N68 &lt; 0, M69 + N68, 0)</f>
        <v>0</v>
      </c>
      <c r="O69" s="1">
        <v>-18301.79282868527</v>
      </c>
      <c r="P69" s="1">
        <f>IF(O69 + P68 &lt; 0, O69 + P68, 0)</f>
        <v>0</v>
      </c>
      <c r="Q69" s="1">
        <v>-18301.79282868527</v>
      </c>
      <c r="R69" s="1">
        <f>IF(Q69 + R68 &lt; 0, Q69 + R68, 0)</f>
        <v>0</v>
      </c>
      <c r="S69" s="1">
        <v>-18301.79282868527</v>
      </c>
      <c r="T69" s="1">
        <f>IF(S69 + T68 &lt; 0, S69 + T68, 0)</f>
        <v>0</v>
      </c>
    </row>
    <row r="70" spans="1:20" s="1" customFormat="1">
      <c r="A70" s="3">
        <v>45033</v>
      </c>
      <c r="B70" s="2" t="s">
        <v>12</v>
      </c>
      <c r="C70" s="2">
        <v>1</v>
      </c>
      <c r="D70" s="2">
        <v>5</v>
      </c>
      <c r="E70" s="1">
        <v>23629.19132149902</v>
      </c>
      <c r="F70" s="1">
        <f>IF(E70 + F69 &lt; 0, E70 + F69, 0)</f>
        <v>0</v>
      </c>
      <c r="G70" s="1">
        <v>-15571.99211045365</v>
      </c>
      <c r="H70" s="1">
        <f>IF(G70 + H69 &lt; 0, G70 + H69, 0)</f>
        <v>0</v>
      </c>
      <c r="I70" s="1">
        <v>-162919.1321499014</v>
      </c>
      <c r="J70" s="1">
        <f>IF(I70 + J69 &lt; 0, I70 + J69, 0)</f>
        <v>0</v>
      </c>
      <c r="K70" s="1">
        <v>-244197.8961209731</v>
      </c>
      <c r="L70" s="1">
        <f>IF(K70 + L69 &lt; 0, K70 + L69, 0)</f>
        <v>0</v>
      </c>
      <c r="M70" s="1">
        <v>9976.635514018712</v>
      </c>
      <c r="N70" s="1">
        <f>IF(M70 + N69 &lt; 0, M70 + N69, 0)</f>
        <v>0</v>
      </c>
      <c r="O70" s="1">
        <v>-120870.3271028038</v>
      </c>
      <c r="P70" s="1">
        <f>IF(O70 + P69 &lt; 0, O70 + P69, 0)</f>
        <v>0</v>
      </c>
      <c r="Q70" s="1">
        <v>-127797.8971962617</v>
      </c>
      <c r="R70" s="1">
        <f>IF(Q70 + R69 &lt; 0, Q70 + R69, 0)</f>
        <v>0</v>
      </c>
      <c r="S70" s="1">
        <v>-127797.8971962617</v>
      </c>
      <c r="T70" s="1">
        <f>IF(S70 + T69 &lt; 0, S70 + T69, 0)</f>
        <v>0</v>
      </c>
    </row>
    <row r="71" spans="1:20" s="1" customFormat="1">
      <c r="A71" s="3">
        <v>45034</v>
      </c>
      <c r="B71" s="2" t="s">
        <v>13</v>
      </c>
      <c r="C71" s="2">
        <v>22</v>
      </c>
      <c r="D71" s="2">
        <v>4</v>
      </c>
      <c r="E71" s="1">
        <v>0</v>
      </c>
      <c r="F71" s="1">
        <f>IF(E71 + F70 &lt; 0, E71 + F70, 0)</f>
        <v>0</v>
      </c>
      <c r="G71" s="1">
        <v>0</v>
      </c>
      <c r="H71" s="1">
        <f>IF(G71 + H70 &lt; 0, G71 + H70, 0)</f>
        <v>0</v>
      </c>
      <c r="I71" s="1">
        <v>0</v>
      </c>
      <c r="J71" s="1">
        <f>IF(I71 + J70 &lt; 0, I71 + J70, 0)</f>
        <v>0</v>
      </c>
      <c r="K71" s="1">
        <v>0</v>
      </c>
      <c r="L71" s="1">
        <f>IF(K71 + L70 &lt; 0, K71 + L70, 0)</f>
        <v>0</v>
      </c>
      <c r="M71" s="1">
        <v>-36640.41703637977</v>
      </c>
      <c r="N71" s="1">
        <f>IF(M71 + N70 &lt; 0, M71 + N70, 0)</f>
        <v>0</v>
      </c>
      <c r="O71" s="1">
        <v>30944.98669032832</v>
      </c>
      <c r="P71" s="1">
        <f>IF(O71 + P70 &lt; 0, O71 + P70, 0)</f>
        <v>0</v>
      </c>
      <c r="Q71" s="1">
        <v>30944.98669032832</v>
      </c>
      <c r="R71" s="1">
        <f>IF(Q71 + R70 &lt; 0, Q71 + R70, 0)</f>
        <v>0</v>
      </c>
      <c r="S71" s="1">
        <v>30944.98669032832</v>
      </c>
      <c r="T71" s="1">
        <f>IF(S71 + T70 &lt; 0, S71 + T70, 0)</f>
        <v>0</v>
      </c>
    </row>
    <row r="72" spans="1:20" s="1" customFormat="1">
      <c r="A72" s="3">
        <v>45035</v>
      </c>
      <c r="B72" s="2" t="s">
        <v>14</v>
      </c>
      <c r="C72" s="2">
        <v>21</v>
      </c>
      <c r="D72" s="2">
        <v>3</v>
      </c>
      <c r="E72" s="1">
        <v>0</v>
      </c>
      <c r="F72" s="1">
        <f>IF(E72 + F71 &lt; 0, E72 + F71, 0)</f>
        <v>0</v>
      </c>
      <c r="G72" s="1">
        <v>0</v>
      </c>
      <c r="H72" s="1">
        <f>IF(G72 + H71 &lt; 0, G72 + H71, 0)</f>
        <v>0</v>
      </c>
      <c r="I72" s="1">
        <v>0</v>
      </c>
      <c r="J72" s="1">
        <f>IF(I72 + J71 &lt; 0, I72 + J71, 0)</f>
        <v>0</v>
      </c>
      <c r="K72" s="1">
        <v>0</v>
      </c>
      <c r="L72" s="1">
        <f>IF(K72 + L71 &lt; 0, K72 + L71, 0)</f>
        <v>0</v>
      </c>
      <c r="M72" s="1">
        <v>-50359.75085910651</v>
      </c>
      <c r="N72" s="1">
        <f>IF(M72 + N71 &lt; 0, M72 + N71, 0)</f>
        <v>0</v>
      </c>
      <c r="O72" s="1">
        <v>-121252.147766323</v>
      </c>
      <c r="P72" s="1">
        <f>IF(O72 + P71 &lt; 0, O72 + P71, 0)</f>
        <v>0</v>
      </c>
      <c r="Q72" s="1">
        <v>-118605.0257731958</v>
      </c>
      <c r="R72" s="1">
        <f>IF(Q72 + R71 &lt; 0, Q72 + R71, 0)</f>
        <v>0</v>
      </c>
      <c r="S72" s="1">
        <v>-118605.0257731958</v>
      </c>
      <c r="T72" s="1">
        <f>IF(S72 + T71 &lt; 0, S72 + T71, 0)</f>
        <v>0</v>
      </c>
    </row>
    <row r="73" spans="1:20" s="1" customFormat="1">
      <c r="A73" s="3">
        <v>45036</v>
      </c>
      <c r="B73" s="2" t="s">
        <v>16</v>
      </c>
      <c r="C73" s="2">
        <v>20</v>
      </c>
      <c r="D73" s="2">
        <v>2</v>
      </c>
      <c r="E73" s="1">
        <v>0</v>
      </c>
      <c r="F73" s="1">
        <f>IF(E73 + F72 &lt; 0, E73 + F72, 0)</f>
        <v>0</v>
      </c>
      <c r="G73" s="1">
        <v>0</v>
      </c>
      <c r="H73" s="1">
        <f>IF(G73 + H72 &lt; 0, G73 + H72, 0)</f>
        <v>0</v>
      </c>
      <c r="I73" s="1">
        <v>0</v>
      </c>
      <c r="J73" s="1">
        <f>IF(I73 + J72 &lt; 0, I73 + J72, 0)</f>
        <v>0</v>
      </c>
      <c r="K73" s="1">
        <v>0</v>
      </c>
      <c r="L73" s="1">
        <f>IF(K73 + L72 &lt; 0, K73 + L72, 0)</f>
        <v>0</v>
      </c>
      <c r="M73" s="1">
        <v>15446.59300184163</v>
      </c>
      <c r="N73" s="1">
        <f>IF(M73 + N72 &lt; 0, M73 + N72, 0)</f>
        <v>0</v>
      </c>
      <c r="O73" s="1">
        <v>60969.15285451197</v>
      </c>
      <c r="P73" s="1">
        <f>IF(O73 + P72 &lt; 0, O73 + P72, 0)</f>
        <v>0</v>
      </c>
      <c r="Q73" s="1">
        <v>98394.33701657459</v>
      </c>
      <c r="R73" s="1">
        <f>IF(Q73 + R72 &lt; 0, Q73 + R72, 0)</f>
        <v>0</v>
      </c>
      <c r="S73" s="1">
        <v>98394.33701657459</v>
      </c>
      <c r="T73" s="1">
        <f>IF(S73 + T72 &lt; 0, S73 + T72, 0)</f>
        <v>0</v>
      </c>
    </row>
    <row r="74" spans="1:20" s="1" customFormat="1">
      <c r="A74" s="3">
        <v>45037</v>
      </c>
      <c r="B74" s="2" t="s">
        <v>15</v>
      </c>
      <c r="C74" s="2">
        <v>19</v>
      </c>
      <c r="D74" s="2">
        <v>1</v>
      </c>
      <c r="E74" s="1">
        <v>0</v>
      </c>
      <c r="F74" s="1">
        <f>IF(E74 + F73 &lt; 0, E74 + F73, 0)</f>
        <v>0</v>
      </c>
      <c r="G74" s="1">
        <v>0</v>
      </c>
      <c r="H74" s="1">
        <f>IF(G74 + H73 &lt; 0, G74 + H73, 0)</f>
        <v>0</v>
      </c>
      <c r="I74" s="1">
        <v>0</v>
      </c>
      <c r="J74" s="1">
        <f>IF(I74 + J73 &lt; 0, I74 + J73, 0)</f>
        <v>0</v>
      </c>
      <c r="K74" s="1">
        <v>0</v>
      </c>
      <c r="L74" s="1">
        <f>IF(K74 + L73 &lt; 0, K74 + L73, 0)</f>
        <v>0</v>
      </c>
      <c r="M74" s="1">
        <v>14795.68411386594</v>
      </c>
      <c r="N74" s="1">
        <f>IF(M74 + N73 &lt; 0, M74 + N73, 0)</f>
        <v>0</v>
      </c>
      <c r="O74" s="1">
        <v>-18428.60422405877</v>
      </c>
      <c r="P74" s="1">
        <f>IF(O74 + P73 &lt; 0, O74 + P73, 0)</f>
        <v>0</v>
      </c>
      <c r="Q74" s="1">
        <v>-124701.5610651974</v>
      </c>
      <c r="R74" s="1">
        <f>IF(Q74 + R73 &lt; 0, Q74 + R73, 0)</f>
        <v>0</v>
      </c>
      <c r="S74" s="1">
        <v>-167171.7171717172</v>
      </c>
      <c r="T74" s="1">
        <f>IF(S74 + T73 &lt; 0, S74 + T73, 0)</f>
        <v>0</v>
      </c>
    </row>
    <row r="75" spans="1:20" s="1" customFormat="1">
      <c r="A75" s="3">
        <v>45040</v>
      </c>
      <c r="B75" s="2" t="s">
        <v>12</v>
      </c>
      <c r="C75" s="2">
        <v>18</v>
      </c>
      <c r="D75" s="2">
        <v>21</v>
      </c>
      <c r="E75" s="1">
        <v>0</v>
      </c>
      <c r="F75" s="1">
        <f>IF(E75 + F74 &lt; 0, E75 + F74, 0)</f>
        <v>0</v>
      </c>
      <c r="G75" s="1">
        <v>0</v>
      </c>
      <c r="H75" s="1">
        <f>IF(G75 + H74 &lt; 0, G75 + H74, 0)</f>
        <v>0</v>
      </c>
      <c r="I75" s="1">
        <v>0</v>
      </c>
      <c r="J75" s="1">
        <f>IF(I75 + J74 &lt; 0, I75 + J74, 0)</f>
        <v>0</v>
      </c>
      <c r="K75" s="1">
        <v>0</v>
      </c>
      <c r="L75" s="1">
        <f>IF(K75 + L74 &lt; 0, K75 + L74, 0)</f>
        <v>0</v>
      </c>
      <c r="M75" s="1">
        <v>0</v>
      </c>
      <c r="N75" s="1">
        <f>IF(M75 + N74 &lt; 0, M75 + N74, 0)</f>
        <v>0</v>
      </c>
      <c r="O75" s="1">
        <v>0</v>
      </c>
      <c r="P75" s="1">
        <f>IF(O75 + P74 &lt; 0, O75 + P74, 0)</f>
        <v>0</v>
      </c>
      <c r="Q75" s="1">
        <v>0</v>
      </c>
      <c r="R75" s="1">
        <f>IF(Q75 + R74 &lt; 0, Q75 + R74, 0)</f>
        <v>0</v>
      </c>
      <c r="S75" s="1">
        <v>0</v>
      </c>
      <c r="T75" s="1">
        <f>IF(S75 + T74 &lt; 0, S75 + T74, 0)</f>
        <v>0</v>
      </c>
    </row>
    <row r="76" spans="1:20" s="1" customFormat="1">
      <c r="A76" s="3">
        <v>45041</v>
      </c>
      <c r="B76" s="2" t="s">
        <v>13</v>
      </c>
      <c r="C76" s="2">
        <v>17</v>
      </c>
      <c r="D76" s="2">
        <v>20</v>
      </c>
      <c r="E76" s="1">
        <v>0</v>
      </c>
      <c r="F76" s="1">
        <f>IF(E76 + F75 &lt; 0, E76 + F75, 0)</f>
        <v>0</v>
      </c>
      <c r="G76" s="1">
        <v>0</v>
      </c>
      <c r="H76" s="1">
        <f>IF(G76 + H75 &lt; 0, G76 + H75, 0)</f>
        <v>0</v>
      </c>
      <c r="I76" s="1">
        <v>0</v>
      </c>
      <c r="J76" s="1">
        <f>IF(I76 + J75 &lt; 0, I76 + J75, 0)</f>
        <v>0</v>
      </c>
      <c r="K76" s="1">
        <v>0</v>
      </c>
      <c r="L76" s="1">
        <f>IF(K76 + L75 &lt; 0, K76 + L75, 0)</f>
        <v>0</v>
      </c>
      <c r="M76" s="1">
        <v>0</v>
      </c>
      <c r="N76" s="1">
        <f>IF(M76 + N75 &lt; 0, M76 + N75, 0)</f>
        <v>0</v>
      </c>
      <c r="O76" s="1">
        <v>0</v>
      </c>
      <c r="P76" s="1">
        <f>IF(O76 + P75 &lt; 0, O76 + P75, 0)</f>
        <v>0</v>
      </c>
      <c r="Q76" s="1">
        <v>0</v>
      </c>
      <c r="R76" s="1">
        <f>IF(Q76 + R75 &lt; 0, Q76 + R75, 0)</f>
        <v>0</v>
      </c>
      <c r="S76" s="1">
        <v>0</v>
      </c>
      <c r="T76" s="1">
        <f>IF(S76 + T75 &lt; 0, S76 + T75, 0)</f>
        <v>0</v>
      </c>
    </row>
    <row r="77" spans="1:20" s="1" customFormat="1">
      <c r="A77" s="3">
        <v>45042</v>
      </c>
      <c r="B77" s="2" t="s">
        <v>14</v>
      </c>
      <c r="C77" s="2">
        <v>16</v>
      </c>
      <c r="D77" s="2">
        <v>19</v>
      </c>
      <c r="E77" s="1">
        <v>0</v>
      </c>
      <c r="F77" s="1">
        <f>IF(E77 + F76 &lt; 0, E77 + F76, 0)</f>
        <v>0</v>
      </c>
      <c r="G77" s="1">
        <v>0</v>
      </c>
      <c r="H77" s="1">
        <f>IF(G77 + H76 &lt; 0, G77 + H76, 0)</f>
        <v>0</v>
      </c>
      <c r="I77" s="1">
        <v>0</v>
      </c>
      <c r="J77" s="1">
        <f>IF(I77 + J76 &lt; 0, I77 + J76, 0)</f>
        <v>0</v>
      </c>
      <c r="K77" s="1">
        <v>0</v>
      </c>
      <c r="L77" s="1">
        <f>IF(K77 + L76 &lt; 0, K77 + L76, 0)</f>
        <v>0</v>
      </c>
      <c r="M77" s="1">
        <v>0</v>
      </c>
      <c r="N77" s="1">
        <f>IF(M77 + N76 &lt; 0, M77 + N76, 0)</f>
        <v>0</v>
      </c>
      <c r="O77" s="1">
        <v>0</v>
      </c>
      <c r="P77" s="1">
        <f>IF(O77 + P76 &lt; 0, O77 + P76, 0)</f>
        <v>0</v>
      </c>
      <c r="Q77" s="1">
        <v>0</v>
      </c>
      <c r="R77" s="1">
        <f>IF(Q77 + R76 &lt; 0, Q77 + R76, 0)</f>
        <v>0</v>
      </c>
      <c r="S77" s="1">
        <v>0</v>
      </c>
      <c r="T77" s="1">
        <f>IF(S77 + T76 &lt; 0, S77 + T76, 0)</f>
        <v>0</v>
      </c>
    </row>
    <row r="78" spans="1:20" s="1" customFormat="1">
      <c r="A78" s="3">
        <v>45043</v>
      </c>
      <c r="B78" s="2" t="s">
        <v>16</v>
      </c>
      <c r="C78" s="2">
        <v>15</v>
      </c>
      <c r="D78" s="2">
        <v>18</v>
      </c>
      <c r="E78" s="1">
        <v>0</v>
      </c>
      <c r="F78" s="1">
        <f>IF(E78 + F77 &lt; 0, E78 + F77, 0)</f>
        <v>0</v>
      </c>
      <c r="G78" s="1">
        <v>0</v>
      </c>
      <c r="H78" s="1">
        <f>IF(G78 + H77 &lt; 0, G78 + H77, 0)</f>
        <v>0</v>
      </c>
      <c r="I78" s="1">
        <v>0</v>
      </c>
      <c r="J78" s="1">
        <f>IF(I78 + J77 &lt; 0, I78 + J77, 0)</f>
        <v>0</v>
      </c>
      <c r="K78" s="1">
        <v>0</v>
      </c>
      <c r="L78" s="1">
        <f>IF(K78 + L77 &lt; 0, K78 + L77, 0)</f>
        <v>0</v>
      </c>
      <c r="M78" s="1">
        <v>0</v>
      </c>
      <c r="N78" s="1">
        <f>IF(M78 + N77 &lt; 0, M78 + N77, 0)</f>
        <v>0</v>
      </c>
      <c r="O78" s="1">
        <v>0</v>
      </c>
      <c r="P78" s="1">
        <f>IF(O78 + P77 &lt; 0, O78 + P77, 0)</f>
        <v>0</v>
      </c>
      <c r="Q78" s="1">
        <v>0</v>
      </c>
      <c r="R78" s="1">
        <f>IF(Q78 + R77 &lt; 0, Q78 + R77, 0)</f>
        <v>0</v>
      </c>
      <c r="S78" s="1">
        <v>0</v>
      </c>
      <c r="T78" s="1">
        <f>IF(S78 + T77 &lt; 0, S78 + T77, 0)</f>
        <v>0</v>
      </c>
    </row>
    <row r="79" spans="1:20" s="1" customFormat="1">
      <c r="A79" s="3">
        <v>45044</v>
      </c>
      <c r="B79" s="2" t="s">
        <v>15</v>
      </c>
      <c r="C79" s="2">
        <v>14</v>
      </c>
      <c r="D79" s="2">
        <v>17</v>
      </c>
      <c r="E79" s="1">
        <v>0</v>
      </c>
      <c r="F79" s="1">
        <f>IF(E79 + F78 &lt; 0, E79 + F78, 0)</f>
        <v>0</v>
      </c>
      <c r="G79" s="1">
        <v>0</v>
      </c>
      <c r="H79" s="1">
        <f>IF(G79 + H78 &lt; 0, G79 + H78, 0)</f>
        <v>0</v>
      </c>
      <c r="I79" s="1">
        <v>0</v>
      </c>
      <c r="J79" s="1">
        <f>IF(I79 + J78 &lt; 0, I79 + J78, 0)</f>
        <v>0</v>
      </c>
      <c r="K79" s="1">
        <v>0</v>
      </c>
      <c r="L79" s="1">
        <f>IF(K79 + L78 &lt; 0, K79 + L78, 0)</f>
        <v>0</v>
      </c>
      <c r="M79" s="1">
        <v>0</v>
      </c>
      <c r="N79" s="1">
        <f>IF(M79 + N78 &lt; 0, M79 + N78, 0)</f>
        <v>0</v>
      </c>
      <c r="O79" s="1">
        <v>0</v>
      </c>
      <c r="P79" s="1">
        <f>IF(O79 + P78 &lt; 0, O79 + P78, 0)</f>
        <v>0</v>
      </c>
      <c r="Q79" s="1">
        <v>0</v>
      </c>
      <c r="R79" s="1">
        <f>IF(Q79 + R78 &lt; 0, Q79 + R78, 0)</f>
        <v>0</v>
      </c>
      <c r="S79" s="1">
        <v>0</v>
      </c>
      <c r="T79" s="1">
        <f>IF(S79 + T78 &lt; 0, S79 + T78, 0)</f>
        <v>0</v>
      </c>
    </row>
    <row r="80" spans="1:20" s="1" customFormat="1">
      <c r="A80" s="3">
        <v>45047</v>
      </c>
      <c r="B80" s="2" t="s">
        <v>12</v>
      </c>
      <c r="C80" s="2">
        <v>13</v>
      </c>
      <c r="D80" s="2">
        <v>16</v>
      </c>
      <c r="E80" s="1">
        <v>0</v>
      </c>
      <c r="F80" s="1">
        <f>IF(E80 + F79 &lt; 0, E80 + F79, 0)</f>
        <v>0</v>
      </c>
      <c r="G80" s="1">
        <v>0</v>
      </c>
      <c r="H80" s="1">
        <f>IF(G80 + H79 &lt; 0, G80 + H79, 0)</f>
        <v>0</v>
      </c>
      <c r="I80" s="1">
        <v>0</v>
      </c>
      <c r="J80" s="1">
        <f>IF(I80 + J79 &lt; 0, I80 + J79, 0)</f>
        <v>0</v>
      </c>
      <c r="K80" s="1">
        <v>0</v>
      </c>
      <c r="L80" s="1">
        <f>IF(K80 + L79 &lt; 0, K80 + L79, 0)</f>
        <v>0</v>
      </c>
      <c r="M80" s="1">
        <v>0</v>
      </c>
      <c r="N80" s="1">
        <f>IF(M80 + N79 &lt; 0, M80 + N79, 0)</f>
        <v>0</v>
      </c>
      <c r="O80" s="1">
        <v>0</v>
      </c>
      <c r="P80" s="1">
        <f>IF(O80 + P79 &lt; 0, O80 + P79, 0)</f>
        <v>0</v>
      </c>
      <c r="Q80" s="1">
        <v>0</v>
      </c>
      <c r="R80" s="1">
        <f>IF(Q80 + R79 &lt; 0, Q80 + R79, 0)</f>
        <v>0</v>
      </c>
      <c r="S80" s="1">
        <v>0</v>
      </c>
      <c r="T80" s="1">
        <f>IF(S80 + T79 &lt; 0, S80 + T79, 0)</f>
        <v>0</v>
      </c>
    </row>
    <row r="81" spans="1:20" s="1" customFormat="1">
      <c r="A81" s="3">
        <v>45048</v>
      </c>
      <c r="B81" s="2" t="s">
        <v>13</v>
      </c>
      <c r="C81" s="2">
        <v>12</v>
      </c>
      <c r="D81" s="2">
        <v>15</v>
      </c>
      <c r="E81" s="1">
        <v>0</v>
      </c>
      <c r="F81" s="1">
        <f>IF(E81 + F80 &lt; 0, E81 + F80, 0)</f>
        <v>0</v>
      </c>
      <c r="G81" s="1">
        <v>0</v>
      </c>
      <c r="H81" s="1">
        <f>IF(G81 + H80 &lt; 0, G81 + H80, 0)</f>
        <v>0</v>
      </c>
      <c r="I81" s="1">
        <v>0</v>
      </c>
      <c r="J81" s="1">
        <f>IF(I81 + J80 &lt; 0, I81 + J80, 0)</f>
        <v>0</v>
      </c>
      <c r="K81" s="1">
        <v>0</v>
      </c>
      <c r="L81" s="1">
        <f>IF(K81 + L80 &lt; 0, K81 + L80, 0)</f>
        <v>0</v>
      </c>
      <c r="M81" s="1">
        <v>0</v>
      </c>
      <c r="N81" s="1">
        <f>IF(M81 + N80 &lt; 0, M81 + N80, 0)</f>
        <v>0</v>
      </c>
      <c r="O81" s="1">
        <v>0</v>
      </c>
      <c r="P81" s="1">
        <f>IF(O81 + P80 &lt; 0, O81 + P80, 0)</f>
        <v>0</v>
      </c>
      <c r="Q81" s="1">
        <v>0</v>
      </c>
      <c r="R81" s="1">
        <f>IF(Q81 + R80 &lt; 0, Q81 + R80, 0)</f>
        <v>0</v>
      </c>
      <c r="S81" s="1">
        <v>0</v>
      </c>
      <c r="T81" s="1">
        <f>IF(S81 + T80 &lt; 0, S81 + T80, 0)</f>
        <v>0</v>
      </c>
    </row>
    <row r="82" spans="1:20" s="1" customFormat="1">
      <c r="A82" s="3">
        <v>45049</v>
      </c>
      <c r="B82" s="2" t="s">
        <v>14</v>
      </c>
      <c r="C82" s="2">
        <v>11</v>
      </c>
      <c r="D82" s="2">
        <v>14</v>
      </c>
      <c r="E82" s="1">
        <v>0</v>
      </c>
      <c r="F82" s="1">
        <f>IF(E82 + F81 &lt; 0, E82 + F81, 0)</f>
        <v>0</v>
      </c>
      <c r="G82" s="1">
        <v>0</v>
      </c>
      <c r="H82" s="1">
        <f>IF(G82 + H81 &lt; 0, G82 + H81, 0)</f>
        <v>0</v>
      </c>
      <c r="I82" s="1">
        <v>0</v>
      </c>
      <c r="J82" s="1">
        <f>IF(I82 + J81 &lt; 0, I82 + J81, 0)</f>
        <v>0</v>
      </c>
      <c r="K82" s="1">
        <v>0</v>
      </c>
      <c r="L82" s="1">
        <f>IF(K82 + L81 &lt; 0, K82 + L81, 0)</f>
        <v>0</v>
      </c>
      <c r="M82" s="1">
        <v>0</v>
      </c>
      <c r="N82" s="1">
        <f>IF(M82 + N81 &lt; 0, M82 + N81, 0)</f>
        <v>0</v>
      </c>
      <c r="O82" s="1">
        <v>0</v>
      </c>
      <c r="P82" s="1">
        <f>IF(O82 + P81 &lt; 0, O82 + P81, 0)</f>
        <v>0</v>
      </c>
      <c r="Q82" s="1">
        <v>0</v>
      </c>
      <c r="R82" s="1">
        <f>IF(Q82 + R81 &lt; 0, Q82 + R81, 0)</f>
        <v>0</v>
      </c>
      <c r="S82" s="1">
        <v>0</v>
      </c>
      <c r="T82" s="1">
        <f>IF(S82 + T81 &lt; 0, S82 + T81, 0)</f>
        <v>0</v>
      </c>
    </row>
    <row r="83" spans="1:20" s="1" customFormat="1">
      <c r="A83" s="3">
        <v>45050</v>
      </c>
      <c r="B83" s="2" t="s">
        <v>16</v>
      </c>
      <c r="C83" s="2">
        <v>10</v>
      </c>
      <c r="D83" s="2">
        <v>13</v>
      </c>
      <c r="E83" s="1">
        <v>102702.8625502721</v>
      </c>
      <c r="F83" s="1">
        <f>IF(E83 + F82 &lt; 0, E83 + F82, 0)</f>
        <v>0</v>
      </c>
      <c r="G83" s="1">
        <v>102702.8625502721</v>
      </c>
      <c r="H83" s="1">
        <f>IF(G83 + H82 &lt; 0, G83 + H82, 0)</f>
        <v>0</v>
      </c>
      <c r="I83" s="1">
        <v>102702.8625502721</v>
      </c>
      <c r="J83" s="1">
        <f>IF(I83 + J82 &lt; 0, I83 + J82, 0)</f>
        <v>0</v>
      </c>
      <c r="K83" s="1">
        <v>102702.8625502721</v>
      </c>
      <c r="L83" s="1">
        <f>IF(K83 + L82 &lt; 0, K83 + L82, 0)</f>
        <v>0</v>
      </c>
      <c r="M83" s="1">
        <v>0</v>
      </c>
      <c r="N83" s="1">
        <f>IF(M83 + N82 &lt; 0, M83 + N82, 0)</f>
        <v>0</v>
      </c>
      <c r="O83" s="1">
        <v>0</v>
      </c>
      <c r="P83" s="1">
        <f>IF(O83 + P82 &lt; 0, O83 + P82, 0)</f>
        <v>0</v>
      </c>
      <c r="Q83" s="1">
        <v>0</v>
      </c>
      <c r="R83" s="1">
        <f>IF(Q83 + R82 &lt; 0, Q83 + R82, 0)</f>
        <v>0</v>
      </c>
      <c r="S83" s="1">
        <v>0</v>
      </c>
      <c r="T83" s="1">
        <f>IF(S83 + T82 &lt; 0, S83 + T82, 0)</f>
        <v>0</v>
      </c>
    </row>
    <row r="84" spans="1:20" s="1" customFormat="1">
      <c r="A84" s="3">
        <v>45051</v>
      </c>
      <c r="B84" s="2" t="s">
        <v>15</v>
      </c>
      <c r="C84" s="2">
        <v>9</v>
      </c>
      <c r="D84" s="2">
        <v>12</v>
      </c>
      <c r="E84" s="1">
        <v>124877.2632653863</v>
      </c>
      <c r="F84" s="1">
        <f>IF(E84 + F83 &lt; 0, E84 + F83, 0)</f>
        <v>0</v>
      </c>
      <c r="G84" s="1">
        <v>124877.2632653863</v>
      </c>
      <c r="H84" s="1">
        <f>IF(G84 + H83 &lt; 0, G84 + H83, 0)</f>
        <v>0</v>
      </c>
      <c r="I84" s="1">
        <v>124877.2632653863</v>
      </c>
      <c r="J84" s="1">
        <f>IF(I84 + J83 &lt; 0, I84 + J83, 0)</f>
        <v>0</v>
      </c>
      <c r="K84" s="1">
        <v>124877.2632653863</v>
      </c>
      <c r="L84" s="1">
        <f>IF(K84 + L83 &lt; 0, K84 + L83, 0)</f>
        <v>0</v>
      </c>
      <c r="M84" s="1">
        <v>0</v>
      </c>
      <c r="N84" s="1">
        <f>IF(M84 + N83 &lt; 0, M84 + N83, 0)</f>
        <v>0</v>
      </c>
      <c r="O84" s="1">
        <v>0</v>
      </c>
      <c r="P84" s="1">
        <f>IF(O84 + P83 &lt; 0, O84 + P83, 0)</f>
        <v>0</v>
      </c>
      <c r="Q84" s="1">
        <v>0</v>
      </c>
      <c r="R84" s="1">
        <f>IF(Q84 + R83 &lt; 0, Q84 + R83, 0)</f>
        <v>0</v>
      </c>
      <c r="S84" s="1">
        <v>0</v>
      </c>
      <c r="T84" s="1">
        <f>IF(S84 + T83 &lt; 0, S84 + T83, 0)</f>
        <v>0</v>
      </c>
    </row>
    <row r="85" spans="1:20" s="1" customFormat="1">
      <c r="A85" s="3">
        <v>45054</v>
      </c>
      <c r="B85" s="2" t="s">
        <v>12</v>
      </c>
      <c r="C85" s="2">
        <v>8</v>
      </c>
      <c r="D85" s="2">
        <v>11</v>
      </c>
      <c r="E85" s="1">
        <v>50172.78043593832</v>
      </c>
      <c r="F85" s="1">
        <f>IF(E85 + F84 &lt; 0, E85 + F84, 0)</f>
        <v>0</v>
      </c>
      <c r="G85" s="1">
        <v>50172.78043593832</v>
      </c>
      <c r="H85" s="1">
        <f>IF(G85 + H84 &lt; 0, G85 + H84, 0)</f>
        <v>0</v>
      </c>
      <c r="I85" s="1">
        <v>50172.78043593832</v>
      </c>
      <c r="J85" s="1">
        <f>IF(I85 + J84 &lt; 0, I85 + J84, 0)</f>
        <v>0</v>
      </c>
      <c r="K85" s="1">
        <v>50172.78043593832</v>
      </c>
      <c r="L85" s="1">
        <f>IF(K85 + L84 &lt; 0, K85 + L84, 0)</f>
        <v>0</v>
      </c>
      <c r="M85" s="1">
        <v>0</v>
      </c>
      <c r="N85" s="1">
        <f>IF(M85 + N84 &lt; 0, M85 + N84, 0)</f>
        <v>0</v>
      </c>
      <c r="O85" s="1">
        <v>0</v>
      </c>
      <c r="P85" s="1">
        <f>IF(O85 + P84 &lt; 0, O85 + P84, 0)</f>
        <v>0</v>
      </c>
      <c r="Q85" s="1">
        <v>0</v>
      </c>
      <c r="R85" s="1">
        <f>IF(Q85 + R84 &lt; 0, Q85 + R84, 0)</f>
        <v>0</v>
      </c>
      <c r="S85" s="1">
        <v>0</v>
      </c>
      <c r="T85" s="1">
        <f>IF(S85 + T84 &lt; 0, S85 + T84, 0)</f>
        <v>0</v>
      </c>
    </row>
    <row r="86" spans="1:20" s="1" customFormat="1">
      <c r="A86" s="3">
        <v>45055</v>
      </c>
      <c r="B86" s="2" t="s">
        <v>13</v>
      </c>
      <c r="C86" s="2">
        <v>7</v>
      </c>
      <c r="D86" s="2">
        <v>10</v>
      </c>
      <c r="E86" s="1">
        <v>15242.99621015084</v>
      </c>
      <c r="F86" s="1">
        <f>IF(E86 + F85 &lt; 0, E86 + F85, 0)</f>
        <v>0</v>
      </c>
      <c r="G86" s="1">
        <v>15242.99621015084</v>
      </c>
      <c r="H86" s="1">
        <f>IF(G86 + H85 &lt; 0, G86 + H85, 0)</f>
        <v>0</v>
      </c>
      <c r="I86" s="1">
        <v>15242.99621015084</v>
      </c>
      <c r="J86" s="1">
        <f>IF(I86 + J85 &lt; 0, I86 + J85, 0)</f>
        <v>0</v>
      </c>
      <c r="K86" s="1">
        <v>15242.99621015084</v>
      </c>
      <c r="L86" s="1">
        <f>IF(K86 + L85 &lt; 0, K86 + L85, 0)</f>
        <v>0</v>
      </c>
      <c r="M86" s="1">
        <v>0</v>
      </c>
      <c r="N86" s="1">
        <f>IF(M86 + N85 &lt; 0, M86 + N85, 0)</f>
        <v>0</v>
      </c>
      <c r="O86" s="1">
        <v>0</v>
      </c>
      <c r="P86" s="1">
        <f>IF(O86 + P85 &lt; 0, O86 + P85, 0)</f>
        <v>0</v>
      </c>
      <c r="Q86" s="1">
        <v>0</v>
      </c>
      <c r="R86" s="1">
        <f>IF(Q86 + R85 &lt; 0, Q86 + R85, 0)</f>
        <v>0</v>
      </c>
      <c r="S86" s="1">
        <v>0</v>
      </c>
      <c r="T86" s="1">
        <f>IF(S86 + T85 &lt; 0, S86 + T85, 0)</f>
        <v>0</v>
      </c>
    </row>
    <row r="87" spans="1:20" s="1" customFormat="1">
      <c r="A87" s="3">
        <v>45056</v>
      </c>
      <c r="B87" s="2" t="s">
        <v>14</v>
      </c>
      <c r="C87" s="2">
        <v>6</v>
      </c>
      <c r="D87" s="2">
        <v>9</v>
      </c>
      <c r="E87" s="1">
        <v>37563.76136615658</v>
      </c>
      <c r="F87" s="1">
        <f>IF(E87 + F86 &lt; 0, E87 + F86, 0)</f>
        <v>0</v>
      </c>
      <c r="G87" s="1">
        <v>37563.76136615658</v>
      </c>
      <c r="H87" s="1">
        <f>IF(G87 + H86 &lt; 0, G87 + H86, 0)</f>
        <v>0</v>
      </c>
      <c r="I87" s="1">
        <v>37563.76136615658</v>
      </c>
      <c r="J87" s="1">
        <f>IF(I87 + J86 &lt; 0, I87 + J86, 0)</f>
        <v>0</v>
      </c>
      <c r="K87" s="1">
        <v>37563.76136615658</v>
      </c>
      <c r="L87" s="1">
        <f>IF(K87 + L86 &lt; 0, K87 + L86, 0)</f>
        <v>0</v>
      </c>
      <c r="M87" s="1">
        <v>0</v>
      </c>
      <c r="N87" s="1">
        <f>IF(M87 + N86 &lt; 0, M87 + N86, 0)</f>
        <v>0</v>
      </c>
      <c r="O87" s="1">
        <v>0</v>
      </c>
      <c r="P87" s="1">
        <f>IF(O87 + P86 &lt; 0, O87 + P86, 0)</f>
        <v>0</v>
      </c>
      <c r="Q87" s="1">
        <v>0</v>
      </c>
      <c r="R87" s="1">
        <f>IF(Q87 + R86 &lt; 0, Q87 + R86, 0)</f>
        <v>0</v>
      </c>
      <c r="S87" s="1">
        <v>0</v>
      </c>
      <c r="T87" s="1">
        <f>IF(S87 + T86 &lt; 0, S87 + T86, 0)</f>
        <v>0</v>
      </c>
    </row>
    <row r="88" spans="1:20" s="1" customFormat="1">
      <c r="A88" s="3">
        <v>45057</v>
      </c>
      <c r="B88" s="2" t="s">
        <v>16</v>
      </c>
      <c r="C88" s="2">
        <v>5</v>
      </c>
      <c r="D88" s="2">
        <v>8</v>
      </c>
      <c r="E88" s="1">
        <v>21988.73322956045</v>
      </c>
      <c r="F88" s="1">
        <f>IF(E88 + F87 &lt; 0, E88 + F87, 0)</f>
        <v>0</v>
      </c>
      <c r="G88" s="1">
        <v>-115412.1266029204</v>
      </c>
      <c r="H88" s="1">
        <f>IF(G88 + H87 &lt; 0, G88 + H87, 0)</f>
        <v>0</v>
      </c>
      <c r="I88" s="1">
        <v>-112093.2473500852</v>
      </c>
      <c r="J88" s="1">
        <f>IF(I88 + J87 &lt; 0, I88 + J87, 0)</f>
        <v>0</v>
      </c>
      <c r="K88" s="1">
        <v>-112093.2473500852</v>
      </c>
      <c r="L88" s="1">
        <f>IF(K88 + L87 &lt; 0, K88 + L87, 0)</f>
        <v>0</v>
      </c>
      <c r="M88" s="1">
        <v>0</v>
      </c>
      <c r="N88" s="1">
        <f>IF(M88 + N87 &lt; 0, M88 + N87, 0)</f>
        <v>0</v>
      </c>
      <c r="O88" s="1">
        <v>0</v>
      </c>
      <c r="P88" s="1">
        <f>IF(O88 + P87 &lt; 0, O88 + P87, 0)</f>
        <v>0</v>
      </c>
      <c r="Q88" s="1">
        <v>0</v>
      </c>
      <c r="R88" s="1">
        <f>IF(Q88 + R87 &lt; 0, Q88 + R87, 0)</f>
        <v>0</v>
      </c>
      <c r="S88" s="1">
        <v>0</v>
      </c>
      <c r="T88" s="1">
        <f>IF(S88 + T87 &lt; 0, S88 + T87, 0)</f>
        <v>0</v>
      </c>
    </row>
    <row r="89" spans="1:20" s="1" customFormat="1">
      <c r="A89" s="3">
        <v>45058</v>
      </c>
      <c r="B89" s="2" t="s">
        <v>15</v>
      </c>
      <c r="C89" s="2">
        <v>4</v>
      </c>
      <c r="D89" s="2">
        <v>7</v>
      </c>
      <c r="E89" s="1">
        <v>89603.58299980944</v>
      </c>
      <c r="F89" s="1">
        <f>IF(E89 + F88 &lt; 0, E89 + F88, 0)</f>
        <v>0</v>
      </c>
      <c r="G89" s="1">
        <v>89603.58299980944</v>
      </c>
      <c r="H89" s="1">
        <f>IF(G89 + H88 &lt; 0, G89 + H88, 0)</f>
        <v>0</v>
      </c>
      <c r="I89" s="1">
        <v>89603.58299980944</v>
      </c>
      <c r="J89" s="1">
        <f>IF(I89 + J88 &lt; 0, I89 + J88, 0)</f>
        <v>0</v>
      </c>
      <c r="K89" s="1">
        <v>89603.58299980944</v>
      </c>
      <c r="L89" s="1">
        <f>IF(K89 + L88 &lt; 0, K89 + L88, 0)</f>
        <v>0</v>
      </c>
      <c r="M89" s="1">
        <v>0</v>
      </c>
      <c r="N89" s="1">
        <f>IF(M89 + N88 &lt; 0, M89 + N88, 0)</f>
        <v>0</v>
      </c>
      <c r="O89" s="1">
        <v>0</v>
      </c>
      <c r="P89" s="1">
        <f>IF(O89 + P88 &lt; 0, O89 + P88, 0)</f>
        <v>0</v>
      </c>
      <c r="Q89" s="1">
        <v>0</v>
      </c>
      <c r="R89" s="1">
        <f>IF(Q89 + R88 &lt; 0, Q89 + R88, 0)</f>
        <v>0</v>
      </c>
      <c r="S89" s="1">
        <v>0</v>
      </c>
      <c r="T89" s="1">
        <f>IF(S89 + T88 &lt; 0, S89 + T88, 0)</f>
        <v>0</v>
      </c>
    </row>
    <row r="90" spans="1:20" s="1" customFormat="1">
      <c r="A90" s="3">
        <v>45061</v>
      </c>
      <c r="B90" s="2" t="s">
        <v>12</v>
      </c>
      <c r="C90" s="2">
        <v>3</v>
      </c>
      <c r="D90" s="2">
        <v>6</v>
      </c>
      <c r="E90" s="1">
        <v>103291.1318779325</v>
      </c>
      <c r="F90" s="1">
        <f>IF(E90 + F89 &lt; 0, E90 + F89, 0)</f>
        <v>0</v>
      </c>
      <c r="G90" s="1">
        <v>177837.4500756136</v>
      </c>
      <c r="H90" s="1">
        <f>IF(G90 + H89 &lt; 0, G90 + H89, 0)</f>
        <v>0</v>
      </c>
      <c r="I90" s="1">
        <v>177837.4500756136</v>
      </c>
      <c r="J90" s="1">
        <f>IF(I90 + J89 &lt; 0, I90 + J89, 0)</f>
        <v>0</v>
      </c>
      <c r="K90" s="1">
        <v>177837.4500756136</v>
      </c>
      <c r="L90" s="1">
        <f>IF(K90 + L89 &lt; 0, K90 + L89, 0)</f>
        <v>0</v>
      </c>
      <c r="M90" s="1">
        <v>16858.9174800355</v>
      </c>
      <c r="N90" s="1">
        <f>IF(M90 + N89 &lt; 0, M90 + N89, 0)</f>
        <v>0</v>
      </c>
      <c r="O90" s="1">
        <v>16858.9174800355</v>
      </c>
      <c r="P90" s="1">
        <f>IF(O90 + P89 &lt; 0, O90 + P89, 0)</f>
        <v>0</v>
      </c>
      <c r="Q90" s="1">
        <v>16858.9174800355</v>
      </c>
      <c r="R90" s="1">
        <f>IF(Q90 + R89 &lt; 0, Q90 + R89, 0)</f>
        <v>0</v>
      </c>
      <c r="S90" s="1">
        <v>16858.9174800355</v>
      </c>
      <c r="T90" s="1">
        <f>IF(S90 + T89 &lt; 0, S90 + T89, 0)</f>
        <v>0</v>
      </c>
    </row>
    <row r="91" spans="1:20" s="1" customFormat="1">
      <c r="A91" s="3">
        <v>45062</v>
      </c>
      <c r="B91" s="2" t="s">
        <v>13</v>
      </c>
      <c r="C91" s="2">
        <v>2</v>
      </c>
      <c r="D91" s="2">
        <v>5</v>
      </c>
      <c r="E91" s="1">
        <v>205579.2936549951</v>
      </c>
      <c r="F91" s="1">
        <f>IF(E91 + F90 &lt; 0, E91 + F90, 0)</f>
        <v>0</v>
      </c>
      <c r="G91" s="1">
        <v>205579.2936549951</v>
      </c>
      <c r="H91" s="1">
        <f>IF(G91 + H90 &lt; 0, G91 + H90, 0)</f>
        <v>0</v>
      </c>
      <c r="I91" s="1">
        <v>205579.2936549951</v>
      </c>
      <c r="J91" s="1">
        <f>IF(I91 + J90 &lt; 0, I91 + J90, 0)</f>
        <v>0</v>
      </c>
      <c r="K91" s="1">
        <v>205579.2936549951</v>
      </c>
      <c r="L91" s="1">
        <f>IF(K91 + L90 &lt; 0, K91 + L90, 0)</f>
        <v>0</v>
      </c>
      <c r="M91" s="1">
        <v>-41636.26609442059</v>
      </c>
      <c r="N91" s="1">
        <f>IF(M91 + N90 &lt; 0, M91 + N90, 0)</f>
        <v>0</v>
      </c>
      <c r="O91" s="1">
        <v>104372.3175965665</v>
      </c>
      <c r="P91" s="1">
        <f>IF(O91 + P90 &lt; 0, O91 + P90, 0)</f>
        <v>0</v>
      </c>
      <c r="Q91" s="1">
        <v>104372.3175965665</v>
      </c>
      <c r="R91" s="1">
        <f>IF(Q91 + R90 &lt; 0, Q91 + R90, 0)</f>
        <v>0</v>
      </c>
      <c r="S91" s="1">
        <v>104372.3175965665</v>
      </c>
      <c r="T91" s="1">
        <f>IF(S91 + T90 &lt; 0, S91 + T90, 0)</f>
        <v>0</v>
      </c>
    </row>
    <row r="92" spans="1:20" s="1" customFormat="1">
      <c r="A92" s="3">
        <v>45063</v>
      </c>
      <c r="B92" s="2" t="s">
        <v>14</v>
      </c>
      <c r="C92" s="2">
        <v>1</v>
      </c>
      <c r="D92" s="2">
        <v>4</v>
      </c>
      <c r="E92" s="1">
        <v>-70198.16492804387</v>
      </c>
      <c r="F92" s="1">
        <f>IF(E92 + F91 &lt; 0, E92 + F91, 0)</f>
        <v>0</v>
      </c>
      <c r="G92" s="1">
        <v>-109595.1039366482</v>
      </c>
      <c r="H92" s="1">
        <f>IF(G92 + H91 &lt; 0, G92 + H91, 0)</f>
        <v>0</v>
      </c>
      <c r="I92" s="1">
        <v>-183649.9657351709</v>
      </c>
      <c r="J92" s="1">
        <f>IF(I92 + J91 &lt; 0, I92 + J91, 0)</f>
        <v>0</v>
      </c>
      <c r="K92" s="1">
        <v>-293678.1390390619</v>
      </c>
      <c r="L92" s="1">
        <f>IF(K92 + L91 &lt; 0, K92 + L91, 0)</f>
        <v>0</v>
      </c>
      <c r="M92" s="1">
        <v>92206.95577501073</v>
      </c>
      <c r="N92" s="1">
        <f>IF(M92 + N91 &lt; 0, M92 + N91, 0)</f>
        <v>0</v>
      </c>
      <c r="O92" s="1">
        <v>92206.95577501073</v>
      </c>
      <c r="P92" s="1">
        <f>IF(O92 + P91 &lt; 0, O92 + P91, 0)</f>
        <v>0</v>
      </c>
      <c r="Q92" s="1">
        <v>92206.95577501073</v>
      </c>
      <c r="R92" s="1">
        <f>IF(Q92 + R91 &lt; 0, Q92 + R91, 0)</f>
        <v>0</v>
      </c>
      <c r="S92" s="1">
        <v>92206.95577501073</v>
      </c>
      <c r="T92" s="1">
        <f>IF(S92 + T91 &lt; 0, S92 + T91, 0)</f>
        <v>0</v>
      </c>
    </row>
    <row r="93" spans="1:20" s="1" customFormat="1">
      <c r="A93" s="3">
        <v>45064</v>
      </c>
      <c r="B93" s="2" t="s">
        <v>16</v>
      </c>
      <c r="C93" s="2">
        <v>19</v>
      </c>
      <c r="D93" s="2">
        <v>3</v>
      </c>
      <c r="E93" s="1">
        <v>0</v>
      </c>
      <c r="F93" s="1">
        <f>IF(E93 + F92 &lt; 0, E93 + F92, 0)</f>
        <v>0</v>
      </c>
      <c r="G93" s="1">
        <v>0</v>
      </c>
      <c r="H93" s="1">
        <f>IF(G93 + H92 &lt; 0, G93 + H92, 0)</f>
        <v>0</v>
      </c>
      <c r="I93" s="1">
        <v>0</v>
      </c>
      <c r="J93" s="1">
        <f>IF(I93 + J92 &lt; 0, I93 + J92, 0)</f>
        <v>0</v>
      </c>
      <c r="K93" s="1">
        <v>0</v>
      </c>
      <c r="L93" s="1">
        <f>IF(K93 + L92 &lt; 0, K93 + L92, 0)</f>
        <v>0</v>
      </c>
      <c r="M93" s="1">
        <v>-62972.59983007647</v>
      </c>
      <c r="N93" s="1">
        <f>IF(M93 + N92 &lt; 0, M93 + N92, 0)</f>
        <v>0</v>
      </c>
      <c r="O93" s="1">
        <v>-118218.9889549703</v>
      </c>
      <c r="P93" s="1">
        <f>IF(O93 + P92 &lt; 0, O93 + P92, 0)</f>
        <v>0</v>
      </c>
      <c r="Q93" s="1">
        <v>-115569.2438402719</v>
      </c>
      <c r="R93" s="1">
        <f>IF(Q93 + R92 &lt; 0, Q93 + R92, 0)</f>
        <v>0</v>
      </c>
      <c r="S93" s="1">
        <v>-115569.2438402719</v>
      </c>
      <c r="T93" s="1">
        <f>IF(S93 + T92 &lt; 0, S93 + T92, 0)</f>
        <v>0</v>
      </c>
    </row>
    <row r="94" spans="1:20" s="1" customFormat="1">
      <c r="A94" s="3">
        <v>45065</v>
      </c>
      <c r="B94" s="2" t="s">
        <v>15</v>
      </c>
      <c r="C94" s="2">
        <v>18</v>
      </c>
      <c r="D94" s="2">
        <v>2</v>
      </c>
      <c r="E94" s="1">
        <v>0</v>
      </c>
      <c r="F94" s="1">
        <f>IF(E94 + F93 &lt; 0, E94 + F93, 0)</f>
        <v>0</v>
      </c>
      <c r="G94" s="1">
        <v>0</v>
      </c>
      <c r="H94" s="1">
        <f>IF(G94 + H93 &lt; 0, G94 + H93, 0)</f>
        <v>0</v>
      </c>
      <c r="I94" s="1">
        <v>0</v>
      </c>
      <c r="J94" s="1">
        <f>IF(I94 + J93 &lt; 0, I94 + J93, 0)</f>
        <v>0</v>
      </c>
      <c r="K94" s="1">
        <v>0</v>
      </c>
      <c r="L94" s="1">
        <f>IF(K94 + L93 &lt; 0, K94 + L93, 0)</f>
        <v>0</v>
      </c>
      <c r="M94" s="1">
        <v>-67058.25242718446</v>
      </c>
      <c r="N94" s="1">
        <f>IF(M94 + N93 &lt; 0, M94 + N93, 0)</f>
        <v>0</v>
      </c>
      <c r="O94" s="1">
        <v>74572.81553398058</v>
      </c>
      <c r="P94" s="1">
        <f>IF(O94 + P93 &lt; 0, O94 + P93, 0)</f>
        <v>0</v>
      </c>
      <c r="Q94" s="1">
        <v>103689.3203883495</v>
      </c>
      <c r="R94" s="1">
        <f>IF(Q94 + R93 &lt; 0, Q94 + R93, 0)</f>
        <v>0</v>
      </c>
      <c r="S94" s="1">
        <v>103689.3203883495</v>
      </c>
      <c r="T94" s="1">
        <f>IF(S94 + T93 &lt; 0, S94 + T93, 0)</f>
        <v>0</v>
      </c>
    </row>
    <row r="95" spans="1:20" s="1" customFormat="1">
      <c r="A95" s="3">
        <v>45069</v>
      </c>
      <c r="B95" s="2" t="s">
        <v>13</v>
      </c>
      <c r="C95" s="2">
        <v>17</v>
      </c>
      <c r="D95" s="2">
        <v>1</v>
      </c>
      <c r="E95" s="1">
        <v>0</v>
      </c>
      <c r="F95" s="1">
        <f>IF(E95 + F94 &lt; 0, E95 + F94, 0)</f>
        <v>0</v>
      </c>
      <c r="G95" s="1">
        <v>0</v>
      </c>
      <c r="H95" s="1">
        <f>IF(G95 + H94 &lt; 0, G95 + H94, 0)</f>
        <v>0</v>
      </c>
      <c r="I95" s="1">
        <v>0</v>
      </c>
      <c r="J95" s="1">
        <f>IF(I95 + J94 &lt; 0, I95 + J94, 0)</f>
        <v>0</v>
      </c>
      <c r="K95" s="1">
        <v>0</v>
      </c>
      <c r="L95" s="1">
        <f>IF(K95 + L94 &lt; 0, K95 + L94, 0)</f>
        <v>0</v>
      </c>
      <c r="M95" s="1">
        <v>88941.90436241611</v>
      </c>
      <c r="N95" s="1">
        <f>IF(M95 + N94 &lt; 0, M95 + N94, 0)</f>
        <v>0</v>
      </c>
      <c r="O95" s="1">
        <v>93188.96812080538</v>
      </c>
      <c r="P95" s="1">
        <f>IF(O95 + P94 &lt; 0, O95 + P94, 0)</f>
        <v>0</v>
      </c>
      <c r="Q95" s="1">
        <v>87374.16107382548</v>
      </c>
      <c r="R95" s="1">
        <f>IF(Q95 + R94 &lt; 0, Q95 + R94, 0)</f>
        <v>0</v>
      </c>
      <c r="S95" s="1">
        <v>87374.16107382548</v>
      </c>
      <c r="T95" s="1">
        <f>IF(S95 + T94 &lt; 0, S95 + T94, 0)</f>
        <v>0</v>
      </c>
    </row>
    <row r="96" spans="1:20" s="1" customFormat="1">
      <c r="A96" s="3">
        <v>45070</v>
      </c>
      <c r="B96" s="2" t="s">
        <v>14</v>
      </c>
      <c r="C96" s="2">
        <v>16</v>
      </c>
      <c r="D96" s="2">
        <v>23</v>
      </c>
      <c r="E96" s="1">
        <v>0</v>
      </c>
      <c r="F96" s="1">
        <f>IF(E96 + F95 &lt; 0, E96 + F95, 0)</f>
        <v>0</v>
      </c>
      <c r="G96" s="1">
        <v>0</v>
      </c>
      <c r="H96" s="1">
        <f>IF(G96 + H95 &lt; 0, G96 + H95, 0)</f>
        <v>0</v>
      </c>
      <c r="I96" s="1">
        <v>0</v>
      </c>
      <c r="J96" s="1">
        <f>IF(I96 + J95 &lt; 0, I96 + J95, 0)</f>
        <v>0</v>
      </c>
      <c r="K96" s="1">
        <v>0</v>
      </c>
      <c r="L96" s="1">
        <f>IF(K96 + L95 &lt; 0, K96 + L95, 0)</f>
        <v>0</v>
      </c>
      <c r="M96" s="1">
        <v>0</v>
      </c>
      <c r="N96" s="1">
        <f>IF(M96 + N95 &lt; 0, M96 + N95, 0)</f>
        <v>0</v>
      </c>
      <c r="O96" s="1">
        <v>0</v>
      </c>
      <c r="P96" s="1">
        <f>IF(O96 + P95 &lt; 0, O96 + P95, 0)</f>
        <v>0</v>
      </c>
      <c r="Q96" s="1">
        <v>0</v>
      </c>
      <c r="R96" s="1">
        <f>IF(Q96 + R95 &lt; 0, Q96 + R95, 0)</f>
        <v>0</v>
      </c>
      <c r="S96" s="1">
        <v>0</v>
      </c>
      <c r="T96" s="1">
        <f>IF(S96 + T95 &lt; 0, S96 + T95, 0)</f>
        <v>0</v>
      </c>
    </row>
    <row r="97" spans="1:20" s="1" customFormat="1">
      <c r="A97" s="3">
        <v>45071</v>
      </c>
      <c r="B97" s="2" t="s">
        <v>16</v>
      </c>
      <c r="C97" s="2">
        <v>15</v>
      </c>
      <c r="D97" s="2">
        <v>22</v>
      </c>
      <c r="E97" s="1">
        <v>0</v>
      </c>
      <c r="F97" s="1">
        <f>IF(E97 + F96 &lt; 0, E97 + F96, 0)</f>
        <v>0</v>
      </c>
      <c r="G97" s="1">
        <v>0</v>
      </c>
      <c r="H97" s="1">
        <f>IF(G97 + H96 &lt; 0, G97 + H96, 0)</f>
        <v>0</v>
      </c>
      <c r="I97" s="1">
        <v>0</v>
      </c>
      <c r="J97" s="1">
        <f>IF(I97 + J96 &lt; 0, I97 + J96, 0)</f>
        <v>0</v>
      </c>
      <c r="K97" s="1">
        <v>0</v>
      </c>
      <c r="L97" s="1">
        <f>IF(K97 + L96 &lt; 0, K97 + L96, 0)</f>
        <v>0</v>
      </c>
      <c r="M97" s="1">
        <v>0</v>
      </c>
      <c r="N97" s="1">
        <f>IF(M97 + N96 &lt; 0, M97 + N96, 0)</f>
        <v>0</v>
      </c>
      <c r="O97" s="1">
        <v>0</v>
      </c>
      <c r="P97" s="1">
        <f>IF(O97 + P96 &lt; 0, O97 + P96, 0)</f>
        <v>0</v>
      </c>
      <c r="Q97" s="1">
        <v>0</v>
      </c>
      <c r="R97" s="1">
        <f>IF(Q97 + R96 &lt; 0, Q97 + R96, 0)</f>
        <v>0</v>
      </c>
      <c r="S97" s="1">
        <v>0</v>
      </c>
      <c r="T97" s="1">
        <f>IF(S97 + T96 &lt; 0, S97 + T96, 0)</f>
        <v>0</v>
      </c>
    </row>
    <row r="98" spans="1:20" s="1" customFormat="1">
      <c r="A98" s="3">
        <v>45072</v>
      </c>
      <c r="B98" s="2" t="s">
        <v>15</v>
      </c>
      <c r="C98" s="2">
        <v>14</v>
      </c>
      <c r="D98" s="2">
        <v>21</v>
      </c>
      <c r="E98" s="1">
        <v>0</v>
      </c>
      <c r="F98" s="1">
        <f>IF(E98 + F97 &lt; 0, E98 + F97, 0)</f>
        <v>0</v>
      </c>
      <c r="G98" s="1">
        <v>0</v>
      </c>
      <c r="H98" s="1">
        <f>IF(G98 + H97 &lt; 0, G98 + H97, 0)</f>
        <v>0</v>
      </c>
      <c r="I98" s="1">
        <v>0</v>
      </c>
      <c r="J98" s="1">
        <f>IF(I98 + J97 &lt; 0, I98 + J97, 0)</f>
        <v>0</v>
      </c>
      <c r="K98" s="1">
        <v>0</v>
      </c>
      <c r="L98" s="1">
        <f>IF(K98 + L97 &lt; 0, K98 + L97, 0)</f>
        <v>0</v>
      </c>
      <c r="M98" s="1">
        <v>0</v>
      </c>
      <c r="N98" s="1">
        <f>IF(M98 + N97 &lt; 0, M98 + N97, 0)</f>
        <v>0</v>
      </c>
      <c r="O98" s="1">
        <v>0</v>
      </c>
      <c r="P98" s="1">
        <f>IF(O98 + P97 &lt; 0, O98 + P97, 0)</f>
        <v>0</v>
      </c>
      <c r="Q98" s="1">
        <v>0</v>
      </c>
      <c r="R98" s="1">
        <f>IF(Q98 + R97 &lt; 0, Q98 + R97, 0)</f>
        <v>0</v>
      </c>
      <c r="S98" s="1">
        <v>0</v>
      </c>
      <c r="T98" s="1">
        <f>IF(S98 + T97 &lt; 0, S98 + T97, 0)</f>
        <v>0</v>
      </c>
    </row>
    <row r="99" spans="1:20" s="1" customFormat="1">
      <c r="A99" s="3">
        <v>45075</v>
      </c>
      <c r="B99" s="2" t="s">
        <v>12</v>
      </c>
      <c r="C99" s="2">
        <v>13</v>
      </c>
      <c r="D99" s="2">
        <v>20</v>
      </c>
      <c r="E99" s="1">
        <v>0</v>
      </c>
      <c r="F99" s="1">
        <f>IF(E99 + F98 &lt; 0, E99 + F98, 0)</f>
        <v>0</v>
      </c>
      <c r="G99" s="1">
        <v>0</v>
      </c>
      <c r="H99" s="1">
        <f>IF(G99 + H98 &lt; 0, G99 + H98, 0)</f>
        <v>0</v>
      </c>
      <c r="I99" s="1">
        <v>0</v>
      </c>
      <c r="J99" s="1">
        <f>IF(I99 + J98 &lt; 0, I99 + J98, 0)</f>
        <v>0</v>
      </c>
      <c r="K99" s="1">
        <v>0</v>
      </c>
      <c r="L99" s="1">
        <f>IF(K99 + L98 &lt; 0, K99 + L98, 0)</f>
        <v>0</v>
      </c>
      <c r="M99" s="1">
        <v>0</v>
      </c>
      <c r="N99" s="1">
        <f>IF(M99 + N98 &lt; 0, M99 + N98, 0)</f>
        <v>0</v>
      </c>
      <c r="O99" s="1">
        <v>0</v>
      </c>
      <c r="P99" s="1">
        <f>IF(O99 + P98 &lt; 0, O99 + P98, 0)</f>
        <v>0</v>
      </c>
      <c r="Q99" s="1">
        <v>0</v>
      </c>
      <c r="R99" s="1">
        <f>IF(Q99 + R98 &lt; 0, Q99 + R98, 0)</f>
        <v>0</v>
      </c>
      <c r="S99" s="1">
        <v>0</v>
      </c>
      <c r="T99" s="1">
        <f>IF(S99 + T98 &lt; 0, S99 + T98, 0)</f>
        <v>0</v>
      </c>
    </row>
    <row r="100" spans="1:20" s="1" customFormat="1">
      <c r="A100" s="3">
        <v>45076</v>
      </c>
      <c r="B100" s="2" t="s">
        <v>13</v>
      </c>
      <c r="C100" s="2">
        <v>12</v>
      </c>
      <c r="D100" s="2">
        <v>19</v>
      </c>
      <c r="E100" s="1">
        <v>0</v>
      </c>
      <c r="F100" s="1">
        <f>IF(E100 + F99 &lt; 0, E100 + F99, 0)</f>
        <v>0</v>
      </c>
      <c r="G100" s="1">
        <v>0</v>
      </c>
      <c r="H100" s="1">
        <f>IF(G100 + H99 &lt; 0, G100 + H99, 0)</f>
        <v>0</v>
      </c>
      <c r="I100" s="1">
        <v>0</v>
      </c>
      <c r="J100" s="1">
        <f>IF(I100 + J99 &lt; 0, I100 + J99, 0)</f>
        <v>0</v>
      </c>
      <c r="K100" s="1">
        <v>0</v>
      </c>
      <c r="L100" s="1">
        <f>IF(K100 + L99 &lt; 0, K100 + L99, 0)</f>
        <v>0</v>
      </c>
      <c r="M100" s="1">
        <v>0</v>
      </c>
      <c r="N100" s="1">
        <f>IF(M100 + N99 &lt; 0, M100 + N99, 0)</f>
        <v>0</v>
      </c>
      <c r="O100" s="1">
        <v>0</v>
      </c>
      <c r="P100" s="1">
        <f>IF(O100 + P99 &lt; 0, O100 + P99, 0)</f>
        <v>0</v>
      </c>
      <c r="Q100" s="1">
        <v>0</v>
      </c>
      <c r="R100" s="1">
        <f>IF(Q100 + R99 &lt; 0, Q100 + R99, 0)</f>
        <v>0</v>
      </c>
      <c r="S100" s="1">
        <v>0</v>
      </c>
      <c r="T100" s="1">
        <f>IF(S100 + T99 &lt; 0, S100 + T99, 0)</f>
        <v>0</v>
      </c>
    </row>
    <row r="101" spans="1:20" s="1" customFormat="1">
      <c r="A101" s="3">
        <v>45077</v>
      </c>
      <c r="B101" s="2" t="s">
        <v>14</v>
      </c>
      <c r="C101" s="2">
        <v>11</v>
      </c>
      <c r="D101" s="2">
        <v>18</v>
      </c>
      <c r="E101" s="1">
        <v>0</v>
      </c>
      <c r="F101" s="1">
        <f>IF(E101 + F100 &lt; 0, E101 + F100, 0)</f>
        <v>0</v>
      </c>
      <c r="G101" s="1">
        <v>0</v>
      </c>
      <c r="H101" s="1">
        <f>IF(G101 + H100 &lt; 0, G101 + H100, 0)</f>
        <v>0</v>
      </c>
      <c r="I101" s="1">
        <v>0</v>
      </c>
      <c r="J101" s="1">
        <f>IF(I101 + J100 &lt; 0, I101 + J100, 0)</f>
        <v>0</v>
      </c>
      <c r="K101" s="1">
        <v>0</v>
      </c>
      <c r="L101" s="1">
        <f>IF(K101 + L100 &lt; 0, K101 + L100, 0)</f>
        <v>0</v>
      </c>
      <c r="M101" s="1">
        <v>0</v>
      </c>
      <c r="N101" s="1">
        <f>IF(M101 + N100 &lt; 0, M101 + N100, 0)</f>
        <v>0</v>
      </c>
      <c r="O101" s="1">
        <v>0</v>
      </c>
      <c r="P101" s="1">
        <f>IF(O101 + P100 &lt; 0, O101 + P100, 0)</f>
        <v>0</v>
      </c>
      <c r="Q101" s="1">
        <v>0</v>
      </c>
      <c r="R101" s="1">
        <f>IF(Q101 + R100 &lt; 0, Q101 + R100, 0)</f>
        <v>0</v>
      </c>
      <c r="S101" s="1">
        <v>0</v>
      </c>
      <c r="T101" s="1">
        <f>IF(S101 + T100 &lt; 0, S101 + T100, 0)</f>
        <v>0</v>
      </c>
    </row>
    <row r="102" spans="1:20" s="1" customFormat="1">
      <c r="A102" s="3">
        <v>45078</v>
      </c>
      <c r="B102" s="2" t="s">
        <v>16</v>
      </c>
      <c r="C102" s="2">
        <v>10</v>
      </c>
      <c r="D102" s="2">
        <v>17</v>
      </c>
      <c r="E102" s="1">
        <v>64016.04068857589</v>
      </c>
      <c r="F102" s="1">
        <f>IF(E102 + F101 &lt; 0, E102 + F101, 0)</f>
        <v>0</v>
      </c>
      <c r="G102" s="1">
        <v>-202210.4851330204</v>
      </c>
      <c r="H102" s="1">
        <f>IF(G102 + H101 &lt; 0, G102 + H101, 0)</f>
        <v>0</v>
      </c>
      <c r="I102" s="1">
        <v>-202210.4851330204</v>
      </c>
      <c r="J102" s="1">
        <f>IF(I102 + J101 &lt; 0, I102 + J101, 0)</f>
        <v>0</v>
      </c>
      <c r="K102" s="1">
        <v>-202210.4851330204</v>
      </c>
      <c r="L102" s="1">
        <f>IF(K102 + L101 &lt; 0, K102 + L101, 0)</f>
        <v>0</v>
      </c>
      <c r="M102" s="1">
        <v>0</v>
      </c>
      <c r="N102" s="1">
        <f>IF(M102 + N101 &lt; 0, M102 + N101, 0)</f>
        <v>0</v>
      </c>
      <c r="O102" s="1">
        <v>0</v>
      </c>
      <c r="P102" s="1">
        <f>IF(O102 + P101 &lt; 0, O102 + P101, 0)</f>
        <v>0</v>
      </c>
      <c r="Q102" s="1">
        <v>0</v>
      </c>
      <c r="R102" s="1">
        <f>IF(Q102 + R101 &lt; 0, Q102 + R101, 0)</f>
        <v>0</v>
      </c>
      <c r="S102" s="1">
        <v>0</v>
      </c>
      <c r="T102" s="1">
        <f>IF(S102 + T101 &lt; 0, S102 + T101, 0)</f>
        <v>0</v>
      </c>
    </row>
    <row r="103" spans="1:20" s="1" customFormat="1">
      <c r="A103" s="3">
        <v>45079</v>
      </c>
      <c r="B103" s="2" t="s">
        <v>15</v>
      </c>
      <c r="C103" s="2">
        <v>9</v>
      </c>
      <c r="D103" s="2">
        <v>16</v>
      </c>
      <c r="E103" s="1">
        <v>22755.05137313319</v>
      </c>
      <c r="F103" s="1">
        <f>IF(E103 + F102 &lt; 0, E103 + F102, 0)</f>
        <v>0</v>
      </c>
      <c r="G103" s="1">
        <v>22755.05137313319</v>
      </c>
      <c r="H103" s="1">
        <f>IF(G103 + H102 &lt; 0, G103 + H102, 0)</f>
        <v>0</v>
      </c>
      <c r="I103" s="1">
        <v>22755.05137313319</v>
      </c>
      <c r="J103" s="1">
        <f>IF(I103 + J102 &lt; 0, I103 + J102, 0)</f>
        <v>0</v>
      </c>
      <c r="K103" s="1">
        <v>22755.05137313319</v>
      </c>
      <c r="L103" s="1">
        <f>IF(K103 + L102 &lt; 0, K103 + L102, 0)</f>
        <v>0</v>
      </c>
      <c r="M103" s="1">
        <v>0</v>
      </c>
      <c r="N103" s="1">
        <f>IF(M103 + N102 &lt; 0, M103 + N102, 0)</f>
        <v>0</v>
      </c>
      <c r="O103" s="1">
        <v>0</v>
      </c>
      <c r="P103" s="1">
        <f>IF(O103 + P102 &lt; 0, O103 + P102, 0)</f>
        <v>0</v>
      </c>
      <c r="Q103" s="1">
        <v>0</v>
      </c>
      <c r="R103" s="1">
        <f>IF(Q103 + R102 &lt; 0, Q103 + R102, 0)</f>
        <v>0</v>
      </c>
      <c r="S103" s="1">
        <v>0</v>
      </c>
      <c r="T103" s="1">
        <f>IF(S103 + T102 &lt; 0, S103 + T102, 0)</f>
        <v>0</v>
      </c>
    </row>
    <row r="104" spans="1:20" s="1" customFormat="1">
      <c r="A104" s="3">
        <v>45082</v>
      </c>
      <c r="B104" s="2" t="s">
        <v>12</v>
      </c>
      <c r="C104" s="2">
        <v>8</v>
      </c>
      <c r="D104" s="2">
        <v>15</v>
      </c>
      <c r="E104" s="1">
        <v>37204.03770503971</v>
      </c>
      <c r="F104" s="1">
        <f>IF(E104 + F103 &lt; 0, E104 + F103, 0)</f>
        <v>0</v>
      </c>
      <c r="G104" s="1">
        <v>37204.03770503971</v>
      </c>
      <c r="H104" s="1">
        <f>IF(G104 + H103 &lt; 0, G104 + H103, 0)</f>
        <v>0</v>
      </c>
      <c r="I104" s="1">
        <v>37204.03770503971</v>
      </c>
      <c r="J104" s="1">
        <f>IF(I104 + J103 &lt; 0, I104 + J103, 0)</f>
        <v>0</v>
      </c>
      <c r="K104" s="1">
        <v>37204.03770503971</v>
      </c>
      <c r="L104" s="1">
        <f>IF(K104 + L103 &lt; 0, K104 + L103, 0)</f>
        <v>0</v>
      </c>
      <c r="M104" s="1">
        <v>0</v>
      </c>
      <c r="N104" s="1">
        <f>IF(M104 + N103 &lt; 0, M104 + N103, 0)</f>
        <v>0</v>
      </c>
      <c r="O104" s="1">
        <v>0</v>
      </c>
      <c r="P104" s="1">
        <f>IF(O104 + P103 &lt; 0, O104 + P103, 0)</f>
        <v>0</v>
      </c>
      <c r="Q104" s="1">
        <v>0</v>
      </c>
      <c r="R104" s="1">
        <f>IF(Q104 + R103 &lt; 0, Q104 + R103, 0)</f>
        <v>0</v>
      </c>
      <c r="S104" s="1">
        <v>0</v>
      </c>
      <c r="T104" s="1">
        <f>IF(S104 + T103 &lt; 0, S104 + T103, 0)</f>
        <v>0</v>
      </c>
    </row>
    <row r="105" spans="1:20" s="1" customFormat="1">
      <c r="A105" s="3">
        <v>45083</v>
      </c>
      <c r="B105" s="2" t="s">
        <v>13</v>
      </c>
      <c r="C105" s="2">
        <v>7</v>
      </c>
      <c r="D105" s="2">
        <v>14</v>
      </c>
      <c r="E105" s="1">
        <v>65771.5427120669</v>
      </c>
      <c r="F105" s="1">
        <f>IF(E105 + F104 &lt; 0, E105 + F104, 0)</f>
        <v>0</v>
      </c>
      <c r="G105" s="1">
        <v>111521.8040621266</v>
      </c>
      <c r="H105" s="1">
        <f>IF(G105 + H104 &lt; 0, G105 + H104, 0)</f>
        <v>0</v>
      </c>
      <c r="I105" s="1">
        <v>111521.8040621266</v>
      </c>
      <c r="J105" s="1">
        <f>IF(I105 + J104 &lt; 0, I105 + J104, 0)</f>
        <v>0</v>
      </c>
      <c r="K105" s="1">
        <v>111521.8040621266</v>
      </c>
      <c r="L105" s="1">
        <f>IF(K105 + L104 &lt; 0, K105 + L104, 0)</f>
        <v>0</v>
      </c>
      <c r="M105" s="1">
        <v>0</v>
      </c>
      <c r="N105" s="1">
        <f>IF(M105 + N104 &lt; 0, M105 + N104, 0)</f>
        <v>0</v>
      </c>
      <c r="O105" s="1">
        <v>0</v>
      </c>
      <c r="P105" s="1">
        <f>IF(O105 + P104 &lt; 0, O105 + P104, 0)</f>
        <v>0</v>
      </c>
      <c r="Q105" s="1">
        <v>0</v>
      </c>
      <c r="R105" s="1">
        <f>IF(Q105 + R104 &lt; 0, Q105 + R104, 0)</f>
        <v>0</v>
      </c>
      <c r="S105" s="1">
        <v>0</v>
      </c>
      <c r="T105" s="1">
        <f>IF(S105 + T104 &lt; 0, S105 + T104, 0)</f>
        <v>0</v>
      </c>
    </row>
    <row r="106" spans="1:20" s="1" customFormat="1">
      <c r="A106" s="3">
        <v>45084</v>
      </c>
      <c r="B106" s="2" t="s">
        <v>14</v>
      </c>
      <c r="C106" s="2">
        <v>6</v>
      </c>
      <c r="D106" s="2">
        <v>13</v>
      </c>
      <c r="E106" s="1">
        <v>78373.35136963137</v>
      </c>
      <c r="F106" s="1">
        <f>IF(E106 + F105 &lt; 0, E106 + F105, 0)</f>
        <v>0</v>
      </c>
      <c r="G106" s="1">
        <v>78373.35136963137</v>
      </c>
      <c r="H106" s="1">
        <f>IF(G106 + H105 &lt; 0, G106 + H105, 0)</f>
        <v>0</v>
      </c>
      <c r="I106" s="1">
        <v>78373.35136963137</v>
      </c>
      <c r="J106" s="1">
        <f>IF(I106 + J105 &lt; 0, I106 + J105, 0)</f>
        <v>0</v>
      </c>
      <c r="K106" s="1">
        <v>78373.35136963137</v>
      </c>
      <c r="L106" s="1">
        <f>IF(K106 + L105 &lt; 0, K106 + L105, 0)</f>
        <v>0</v>
      </c>
      <c r="M106" s="1">
        <v>0</v>
      </c>
      <c r="N106" s="1">
        <f>IF(M106 + N105 &lt; 0, M106 + N105, 0)</f>
        <v>0</v>
      </c>
      <c r="O106" s="1">
        <v>0</v>
      </c>
      <c r="P106" s="1">
        <f>IF(O106 + P105 &lt; 0, O106 + P105, 0)</f>
        <v>0</v>
      </c>
      <c r="Q106" s="1">
        <v>0</v>
      </c>
      <c r="R106" s="1">
        <f>IF(Q106 + R105 &lt; 0, Q106 + R105, 0)</f>
        <v>0</v>
      </c>
      <c r="S106" s="1">
        <v>0</v>
      </c>
      <c r="T106" s="1">
        <f>IF(S106 + T105 &lt; 0, S106 + T105, 0)</f>
        <v>0</v>
      </c>
    </row>
    <row r="107" spans="1:20" s="1" customFormat="1">
      <c r="A107" s="3">
        <v>45085</v>
      </c>
      <c r="B107" s="2" t="s">
        <v>16</v>
      </c>
      <c r="C107" s="2">
        <v>5</v>
      </c>
      <c r="D107" s="2">
        <v>12</v>
      </c>
      <c r="E107" s="1">
        <v>9806.178523689312</v>
      </c>
      <c r="F107" s="1">
        <f>IF(E107 + F106 &lt; 0, E107 + F106, 0)</f>
        <v>0</v>
      </c>
      <c r="G107" s="1">
        <v>-270158.176147334</v>
      </c>
      <c r="H107" s="1">
        <f>IF(G107 + H106 &lt; 0, G107 + H106, 0)</f>
        <v>0</v>
      </c>
      <c r="I107" s="1">
        <v>-370864.5848804396</v>
      </c>
      <c r="J107" s="1">
        <f>IF(I107 + J106 &lt; 0, I107 + J106, 0)</f>
        <v>0</v>
      </c>
      <c r="K107" s="1">
        <v>-370864.5848804396</v>
      </c>
      <c r="L107" s="1">
        <f>IF(K107 + L106 &lt; 0, K107 + L106, 0)</f>
        <v>0</v>
      </c>
      <c r="M107" s="1">
        <v>0</v>
      </c>
      <c r="N107" s="1">
        <f>IF(M107 + N106 &lt; 0, M107 + N106, 0)</f>
        <v>0</v>
      </c>
      <c r="O107" s="1">
        <v>0</v>
      </c>
      <c r="P107" s="1">
        <f>IF(O107 + P106 &lt; 0, O107 + P106, 0)</f>
        <v>0</v>
      </c>
      <c r="Q107" s="1">
        <v>0</v>
      </c>
      <c r="R107" s="1">
        <f>IF(Q107 + R106 &lt; 0, Q107 + R106, 0)</f>
        <v>0</v>
      </c>
      <c r="S107" s="1">
        <v>0</v>
      </c>
      <c r="T107" s="1">
        <f>IF(S107 + T106 &lt; 0, S107 + T106, 0)</f>
        <v>0</v>
      </c>
    </row>
    <row r="108" spans="1:20" s="1" customFormat="1">
      <c r="A108" s="3">
        <v>45086</v>
      </c>
      <c r="B108" s="2" t="s">
        <v>15</v>
      </c>
      <c r="C108" s="2">
        <v>4</v>
      </c>
      <c r="D108" s="2">
        <v>11</v>
      </c>
      <c r="E108" s="1">
        <v>56313.99317406143</v>
      </c>
      <c r="F108" s="1">
        <f>IF(E108 + F107 &lt; 0, E108 + F107, 0)</f>
        <v>0</v>
      </c>
      <c r="G108" s="1">
        <v>58304.89192263937</v>
      </c>
      <c r="H108" s="1">
        <f>IF(G108 + H107 &lt; 0, G108 + H107, 0)</f>
        <v>0</v>
      </c>
      <c r="I108" s="1">
        <v>58304.89192263937</v>
      </c>
      <c r="J108" s="1">
        <f>IF(I108 + J107 &lt; 0, I108 + J107, 0)</f>
        <v>0</v>
      </c>
      <c r="K108" s="1">
        <v>58304.89192263937</v>
      </c>
      <c r="L108" s="1">
        <f>IF(K108 + L107 &lt; 0, K108 + L107, 0)</f>
        <v>0</v>
      </c>
      <c r="M108" s="1">
        <v>0</v>
      </c>
      <c r="N108" s="1">
        <f>IF(M108 + N107 &lt; 0, M108 + N107, 0)</f>
        <v>0</v>
      </c>
      <c r="O108" s="1">
        <v>0</v>
      </c>
      <c r="P108" s="1">
        <f>IF(O108 + P107 &lt; 0, O108 + P107, 0)</f>
        <v>0</v>
      </c>
      <c r="Q108" s="1">
        <v>0</v>
      </c>
      <c r="R108" s="1">
        <f>IF(Q108 + R107 &lt; 0, Q108 + R107, 0)</f>
        <v>0</v>
      </c>
      <c r="S108" s="1">
        <v>0</v>
      </c>
      <c r="T108" s="1">
        <f>IF(S108 + T107 &lt; 0, S108 + T107, 0)</f>
        <v>0</v>
      </c>
    </row>
    <row r="109" spans="1:20" s="1" customFormat="1">
      <c r="A109" s="3">
        <v>45089</v>
      </c>
      <c r="B109" s="2" t="s">
        <v>12</v>
      </c>
      <c r="C109" s="2">
        <v>3</v>
      </c>
      <c r="D109" s="2">
        <v>10</v>
      </c>
      <c r="E109" s="1">
        <v>52228.80601061151</v>
      </c>
      <c r="F109" s="1">
        <f>IF(E109 + F108 &lt; 0, E109 + F108, 0)</f>
        <v>0</v>
      </c>
      <c r="G109" s="1">
        <v>-312687.3475078425</v>
      </c>
      <c r="H109" s="1">
        <f>IF(G109 + H108 &lt; 0, G109 + H108, 0)</f>
        <v>0</v>
      </c>
      <c r="I109" s="1">
        <v>-313939.2355059836</v>
      </c>
      <c r="J109" s="1">
        <f>IF(I109 + J108 &lt; 0, I109 + J108, 0)</f>
        <v>0</v>
      </c>
      <c r="K109" s="1">
        <v>-313939.2355059836</v>
      </c>
      <c r="L109" s="1">
        <f>IF(K109 + L108 &lt; 0, K109 + L108, 0)</f>
        <v>0</v>
      </c>
      <c r="M109" s="1">
        <v>0</v>
      </c>
      <c r="N109" s="1">
        <f>IF(M109 + N108 &lt; 0, M109 + N108, 0)</f>
        <v>0</v>
      </c>
      <c r="O109" s="1">
        <v>0</v>
      </c>
      <c r="P109" s="1">
        <f>IF(O109 + P108 &lt; 0, O109 + P108, 0)</f>
        <v>0</v>
      </c>
      <c r="Q109" s="1">
        <v>0</v>
      </c>
      <c r="R109" s="1">
        <f>IF(Q109 + R108 &lt; 0, Q109 + R108, 0)</f>
        <v>0</v>
      </c>
      <c r="S109" s="1">
        <v>0</v>
      </c>
      <c r="T109" s="1">
        <f>IF(S109 + T108 &lt; 0, S109 + T108, 0)</f>
        <v>0</v>
      </c>
    </row>
    <row r="110" spans="1:20" s="1" customFormat="1">
      <c r="A110" s="3">
        <v>45090</v>
      </c>
      <c r="B110" s="2" t="s">
        <v>13</v>
      </c>
      <c r="C110" s="2">
        <v>2</v>
      </c>
      <c r="D110" s="2">
        <v>9</v>
      </c>
      <c r="E110" s="1">
        <v>180292.3929953329</v>
      </c>
      <c r="F110" s="1">
        <f>IF(E110 + F109 &lt; 0, E110 + F109, 0)</f>
        <v>0</v>
      </c>
      <c r="G110" s="1">
        <v>162435.6775300172</v>
      </c>
      <c r="H110" s="1">
        <f>IF(G110 + H109 &lt; 0, G110 + H109, 0)</f>
        <v>0</v>
      </c>
      <c r="I110" s="1">
        <v>185168.9337428697</v>
      </c>
      <c r="J110" s="1">
        <f>IF(I110 + J109 &lt; 0, I110 + J109, 0)</f>
        <v>0</v>
      </c>
      <c r="K110" s="1">
        <v>185168.9337428697</v>
      </c>
      <c r="L110" s="1">
        <f>IF(K110 + L109 &lt; 0, K110 + L109, 0)</f>
        <v>0</v>
      </c>
      <c r="M110" s="1">
        <v>0</v>
      </c>
      <c r="N110" s="1">
        <f>IF(M110 + N109 &lt; 0, M110 + N109, 0)</f>
        <v>0</v>
      </c>
      <c r="O110" s="1">
        <v>0</v>
      </c>
      <c r="P110" s="1">
        <f>IF(O110 + P109 &lt; 0, O110 + P109, 0)</f>
        <v>0</v>
      </c>
      <c r="Q110" s="1">
        <v>0</v>
      </c>
      <c r="R110" s="1">
        <f>IF(Q110 + R109 &lt; 0, Q110 + R109, 0)</f>
        <v>0</v>
      </c>
      <c r="S110" s="1">
        <v>0</v>
      </c>
      <c r="T110" s="1">
        <f>IF(S110 + T109 &lt; 0, S110 + T109, 0)</f>
        <v>0</v>
      </c>
    </row>
    <row r="111" spans="1:20" s="1" customFormat="1">
      <c r="A111" s="3">
        <v>45091</v>
      </c>
      <c r="B111" s="2" t="s">
        <v>14</v>
      </c>
      <c r="C111" s="2">
        <v>1</v>
      </c>
      <c r="D111" s="2">
        <v>8</v>
      </c>
      <c r="E111" s="1">
        <v>-97093.45249659997</v>
      </c>
      <c r="F111" s="1">
        <f>IF(E111 + F110 &lt; 0, E111 + F110, 0)</f>
        <v>0</v>
      </c>
      <c r="G111" s="1">
        <v>-78754.61433844961</v>
      </c>
      <c r="H111" s="1">
        <f>IF(G111 + H110 &lt; 0, G111 + H110, 0)</f>
        <v>0</v>
      </c>
      <c r="I111" s="1">
        <v>-241276.4717311055</v>
      </c>
      <c r="J111" s="1">
        <f>IF(I111 + J110 &lt; 0, I111 + J110, 0)</f>
        <v>0</v>
      </c>
      <c r="K111" s="1">
        <v>-340746.065669322</v>
      </c>
      <c r="L111" s="1">
        <f>IF(K111 + L110 &lt; 0, K111 + L110, 0)</f>
        <v>0</v>
      </c>
      <c r="M111" s="1">
        <v>0</v>
      </c>
      <c r="N111" s="1">
        <f>IF(M111 + N110 &lt; 0, M111 + N110, 0)</f>
        <v>0</v>
      </c>
      <c r="O111" s="1">
        <v>0</v>
      </c>
      <c r="P111" s="1">
        <f>IF(O111 + P110 &lt; 0, O111 + P110, 0)</f>
        <v>0</v>
      </c>
      <c r="Q111" s="1">
        <v>0</v>
      </c>
      <c r="R111" s="1">
        <f>IF(Q111 + R110 &lt; 0, Q111 + R110, 0)</f>
        <v>0</v>
      </c>
      <c r="S111" s="1">
        <v>0</v>
      </c>
      <c r="T111" s="1">
        <f>IF(S111 + T110 &lt; 0, S111 + T110, 0)</f>
        <v>0</v>
      </c>
    </row>
    <row r="112" spans="1:20" s="1" customFormat="1">
      <c r="A112" s="3">
        <v>45092</v>
      </c>
      <c r="B112" s="2" t="s">
        <v>16</v>
      </c>
      <c r="C112" s="2">
        <v>21</v>
      </c>
      <c r="D112" s="2">
        <v>7</v>
      </c>
      <c r="E112" s="1">
        <v>0</v>
      </c>
      <c r="F112" s="1">
        <f>IF(E112 + F111 &lt; 0, E112 + F111, 0)</f>
        <v>0</v>
      </c>
      <c r="G112" s="1">
        <v>0</v>
      </c>
      <c r="H112" s="1">
        <f>IF(G112 + H111 &lt; 0, G112 + H111, 0)</f>
        <v>0</v>
      </c>
      <c r="I112" s="1">
        <v>0</v>
      </c>
      <c r="J112" s="1">
        <f>IF(I112 + J111 &lt; 0, I112 + J111, 0)</f>
        <v>0</v>
      </c>
      <c r="K112" s="1">
        <v>0</v>
      </c>
      <c r="L112" s="1">
        <f>IF(K112 + L111 &lt; 0, K112 + L111, 0)</f>
        <v>0</v>
      </c>
      <c r="M112" s="1">
        <v>0</v>
      </c>
      <c r="N112" s="1">
        <f>IF(M112 + N111 &lt; 0, M112 + N111, 0)</f>
        <v>0</v>
      </c>
      <c r="O112" s="1">
        <v>0</v>
      </c>
      <c r="P112" s="1">
        <f>IF(O112 + P111 &lt; 0, O112 + P111, 0)</f>
        <v>0</v>
      </c>
      <c r="Q112" s="1">
        <v>0</v>
      </c>
      <c r="R112" s="1">
        <f>IF(Q112 + R111 &lt; 0, Q112 + R111, 0)</f>
        <v>0</v>
      </c>
      <c r="S112" s="1">
        <v>0</v>
      </c>
      <c r="T112" s="1">
        <f>IF(S112 + T111 &lt; 0, S112 + T111, 0)</f>
        <v>0</v>
      </c>
    </row>
    <row r="113" spans="1:20" s="1" customFormat="1">
      <c r="A113" s="3">
        <v>45093</v>
      </c>
      <c r="B113" s="2" t="s">
        <v>15</v>
      </c>
      <c r="C113" s="2">
        <v>20</v>
      </c>
      <c r="D113" s="2">
        <v>6</v>
      </c>
      <c r="E113" s="1">
        <v>0</v>
      </c>
      <c r="F113" s="1">
        <f>IF(E113 + F112 &lt; 0, E113 + F112, 0)</f>
        <v>0</v>
      </c>
      <c r="G113" s="1">
        <v>0</v>
      </c>
      <c r="H113" s="1">
        <f>IF(G113 + H112 &lt; 0, G113 + H112, 0)</f>
        <v>0</v>
      </c>
      <c r="I113" s="1">
        <v>0</v>
      </c>
      <c r="J113" s="1">
        <f>IF(I113 + J112 &lt; 0, I113 + J112, 0)</f>
        <v>0</v>
      </c>
      <c r="K113" s="1">
        <v>0</v>
      </c>
      <c r="L113" s="1">
        <f>IF(K113 + L112 &lt; 0, K113 + L112, 0)</f>
        <v>0</v>
      </c>
      <c r="M113" s="1">
        <v>76907.71074710345</v>
      </c>
      <c r="N113" s="1">
        <f>IF(M113 + N112 &lt; 0, M113 + N112, 0)</f>
        <v>0</v>
      </c>
      <c r="O113" s="1">
        <v>76907.71074710345</v>
      </c>
      <c r="P113" s="1">
        <f>IF(O113 + P112 &lt; 0, O113 + P112, 0)</f>
        <v>0</v>
      </c>
      <c r="Q113" s="1">
        <v>76907.71074710345</v>
      </c>
      <c r="R113" s="1">
        <f>IF(Q113 + R112 &lt; 0, Q113 + R112, 0)</f>
        <v>0</v>
      </c>
      <c r="S113" s="1">
        <v>76907.71074710345</v>
      </c>
      <c r="T113" s="1">
        <f>IF(S113 + T112 &lt; 0, S113 + T112, 0)</f>
        <v>0</v>
      </c>
    </row>
    <row r="114" spans="1:20" s="1" customFormat="1">
      <c r="A114" s="3">
        <v>45096</v>
      </c>
      <c r="B114" s="2" t="s">
        <v>12</v>
      </c>
      <c r="C114" s="2">
        <v>19</v>
      </c>
      <c r="D114" s="2">
        <v>5</v>
      </c>
      <c r="E114" s="1">
        <v>0</v>
      </c>
      <c r="F114" s="1">
        <f>IF(E114 + F113 &lt; 0, E114 + F113, 0)</f>
        <v>0</v>
      </c>
      <c r="G114" s="1">
        <v>0</v>
      </c>
      <c r="H114" s="1">
        <f>IF(G114 + H113 &lt; 0, G114 + H113, 0)</f>
        <v>0</v>
      </c>
      <c r="I114" s="1">
        <v>0</v>
      </c>
      <c r="J114" s="1">
        <f>IF(I114 + J113 &lt; 0, I114 + J113, 0)</f>
        <v>0</v>
      </c>
      <c r="K114" s="1">
        <v>0</v>
      </c>
      <c r="L114" s="1">
        <f>IF(K114 + L113 &lt; 0, K114 + L113, 0)</f>
        <v>0</v>
      </c>
      <c r="M114" s="1">
        <v>55697.94952681388</v>
      </c>
      <c r="N114" s="1">
        <f>IF(M114 + N113 &lt; 0, M114 + N113, 0)</f>
        <v>0</v>
      </c>
      <c r="O114" s="1">
        <v>55697.94952681388</v>
      </c>
      <c r="P114" s="1">
        <f>IF(O114 + P113 &lt; 0, O114 + P113, 0)</f>
        <v>0</v>
      </c>
      <c r="Q114" s="1">
        <v>55697.94952681388</v>
      </c>
      <c r="R114" s="1">
        <f>IF(Q114 + R113 &lt; 0, Q114 + R113, 0)</f>
        <v>0</v>
      </c>
      <c r="S114" s="1">
        <v>55697.94952681388</v>
      </c>
      <c r="T114" s="1">
        <f>IF(S114 + T113 &lt; 0, S114 + T113, 0)</f>
        <v>0</v>
      </c>
    </row>
    <row r="115" spans="1:20" s="1" customFormat="1">
      <c r="A115" s="3">
        <v>45097</v>
      </c>
      <c r="B115" s="2" t="s">
        <v>13</v>
      </c>
      <c r="C115" s="2">
        <v>18</v>
      </c>
      <c r="D115" s="2">
        <v>4</v>
      </c>
      <c r="E115" s="1">
        <v>0</v>
      </c>
      <c r="F115" s="1">
        <f>IF(E115 + F114 &lt; 0, E115 + F114, 0)</f>
        <v>0</v>
      </c>
      <c r="G115" s="1">
        <v>0</v>
      </c>
      <c r="H115" s="1">
        <f>IF(G115 + H114 &lt; 0, G115 + H114, 0)</f>
        <v>0</v>
      </c>
      <c r="I115" s="1">
        <v>0</v>
      </c>
      <c r="J115" s="1">
        <f>IF(I115 + J114 &lt; 0, I115 + J114, 0)</f>
        <v>0</v>
      </c>
      <c r="K115" s="1">
        <v>0</v>
      </c>
      <c r="L115" s="1">
        <f>IF(K115 + L114 &lt; 0, K115 + L114, 0)</f>
        <v>0</v>
      </c>
      <c r="M115" s="1">
        <v>41281.19001919385</v>
      </c>
      <c r="N115" s="1">
        <f>IF(M115 + N114 &lt; 0, M115 + N114, 0)</f>
        <v>0</v>
      </c>
      <c r="O115" s="1">
        <v>-41252.39923224566</v>
      </c>
      <c r="P115" s="1">
        <f>IF(O115 + P114 &lt; 0, O115 + P114, 0)</f>
        <v>0</v>
      </c>
      <c r="Q115" s="1">
        <v>-32149.71209213052</v>
      </c>
      <c r="R115" s="1">
        <f>IF(Q115 + R114 &lt; 0, Q115 + R114, 0)</f>
        <v>0</v>
      </c>
      <c r="S115" s="1">
        <v>-32149.71209213052</v>
      </c>
      <c r="T115" s="1">
        <f>IF(S115 + T114 &lt; 0, S115 + T114, 0)</f>
        <v>0</v>
      </c>
    </row>
    <row r="116" spans="1:20" s="1" customFormat="1">
      <c r="A116" s="3">
        <v>45098</v>
      </c>
      <c r="B116" s="2" t="s">
        <v>14</v>
      </c>
      <c r="C116" s="2">
        <v>17</v>
      </c>
      <c r="D116" s="2">
        <v>3</v>
      </c>
      <c r="E116" s="1">
        <v>0</v>
      </c>
      <c r="F116" s="1">
        <f>IF(E116 + F115 &lt; 0, E116 + F115, 0)</f>
        <v>0</v>
      </c>
      <c r="G116" s="1">
        <v>0</v>
      </c>
      <c r="H116" s="1">
        <f>IF(G116 + H115 &lt; 0, G116 + H115, 0)</f>
        <v>0</v>
      </c>
      <c r="I116" s="1">
        <v>0</v>
      </c>
      <c r="J116" s="1">
        <f>IF(I116 + J115 &lt; 0, I116 + J115, 0)</f>
        <v>0</v>
      </c>
      <c r="K116" s="1">
        <v>0</v>
      </c>
      <c r="L116" s="1">
        <f>IF(K116 + L115 &lt; 0, K116 + L115, 0)</f>
        <v>0</v>
      </c>
      <c r="M116" s="1">
        <v>95231.33116883114</v>
      </c>
      <c r="N116" s="1">
        <f>IF(M116 + N115 &lt; 0, M116 + N115, 0)</f>
        <v>0</v>
      </c>
      <c r="O116" s="1">
        <v>95231.33116883114</v>
      </c>
      <c r="P116" s="1">
        <f>IF(O116 + P115 &lt; 0, O116 + P115, 0)</f>
        <v>0</v>
      </c>
      <c r="Q116" s="1">
        <v>95231.33116883114</v>
      </c>
      <c r="R116" s="1">
        <f>IF(Q116 + R115 &lt; 0, Q116 + R115, 0)</f>
        <v>0</v>
      </c>
      <c r="S116" s="1">
        <v>95231.33116883114</v>
      </c>
      <c r="T116" s="1">
        <f>IF(S116 + T115 &lt; 0, S116 + T115, 0)</f>
        <v>0</v>
      </c>
    </row>
    <row r="117" spans="1:20" s="1" customFormat="1">
      <c r="A117" s="3">
        <v>45099</v>
      </c>
      <c r="B117" s="2" t="s">
        <v>16</v>
      </c>
      <c r="C117" s="2">
        <v>16</v>
      </c>
      <c r="D117" s="2">
        <v>2</v>
      </c>
      <c r="E117" s="1">
        <v>0</v>
      </c>
      <c r="F117" s="1">
        <f>IF(E117 + F116 &lt; 0, E117 + F116, 0)</f>
        <v>0</v>
      </c>
      <c r="G117" s="1">
        <v>0</v>
      </c>
      <c r="H117" s="1">
        <f>IF(G117 + H116 &lt; 0, G117 + H116, 0)</f>
        <v>0</v>
      </c>
      <c r="I117" s="1">
        <v>0</v>
      </c>
      <c r="J117" s="1">
        <f>IF(I117 + J116 &lt; 0, I117 + J116, 0)</f>
        <v>0</v>
      </c>
      <c r="K117" s="1">
        <v>0</v>
      </c>
      <c r="L117" s="1">
        <f>IF(K117 + L116 &lt; 0, K117 + L116, 0)</f>
        <v>0</v>
      </c>
      <c r="M117" s="1">
        <v>98728.89674126424</v>
      </c>
      <c r="N117" s="1">
        <f>IF(M117 + N116 &lt; 0, M117 + N116, 0)</f>
        <v>0</v>
      </c>
      <c r="O117" s="1">
        <v>91872.79151943466</v>
      </c>
      <c r="P117" s="1">
        <f>IF(O117 + P116 &lt; 0, O117 + P116, 0)</f>
        <v>0</v>
      </c>
      <c r="Q117" s="1">
        <v>91872.79151943466</v>
      </c>
      <c r="R117" s="1">
        <f>IF(Q117 + R116 &lt; 0, Q117 + R116, 0)</f>
        <v>0</v>
      </c>
      <c r="S117" s="1">
        <v>91872.79151943466</v>
      </c>
      <c r="T117" s="1">
        <f>IF(S117 + T116 &lt; 0, S117 + T116, 0)</f>
        <v>0</v>
      </c>
    </row>
    <row r="118" spans="1:20" s="1" customFormat="1">
      <c r="A118" s="3">
        <v>45100</v>
      </c>
      <c r="B118" s="2" t="s">
        <v>15</v>
      </c>
      <c r="C118" s="2">
        <v>15</v>
      </c>
      <c r="D118" s="2">
        <v>1</v>
      </c>
      <c r="E118" s="1">
        <v>0</v>
      </c>
      <c r="F118" s="1">
        <f>IF(E118 + F117 &lt; 0, E118 + F117, 0)</f>
        <v>0</v>
      </c>
      <c r="G118" s="1">
        <v>0</v>
      </c>
      <c r="H118" s="1">
        <f>IF(G118 + H117 &lt; 0, G118 + H117, 0)</f>
        <v>0</v>
      </c>
      <c r="I118" s="1">
        <v>0</v>
      </c>
      <c r="J118" s="1">
        <f>IF(I118 + J117 &lt; 0, I118 + J117, 0)</f>
        <v>0</v>
      </c>
      <c r="K118" s="1">
        <v>0</v>
      </c>
      <c r="L118" s="1">
        <f>IF(K118 + L117 &lt; 0, K118 + L117, 0)</f>
        <v>0</v>
      </c>
      <c r="M118" s="1">
        <v>-50780.03120124805</v>
      </c>
      <c r="N118" s="1">
        <f>IF(M118 + N117 &lt; 0, M118 + N117, 0)</f>
        <v>0</v>
      </c>
      <c r="O118" s="1">
        <v>-67843.21372854915</v>
      </c>
      <c r="P118" s="1">
        <f>IF(O118 + P117 &lt; 0, O118 + P117, 0)</f>
        <v>0</v>
      </c>
      <c r="Q118" s="1">
        <v>3900.156006240253</v>
      </c>
      <c r="R118" s="1">
        <f>IF(Q118 + R117 &lt; 0, Q118 + R117, 0)</f>
        <v>0</v>
      </c>
      <c r="S118" s="1">
        <v>-127769.1107644306</v>
      </c>
      <c r="T118" s="1">
        <f>IF(S118 + T117 &lt; 0, S118 + T117, 0)</f>
        <v>0</v>
      </c>
    </row>
    <row r="119" spans="1:20" s="1" customFormat="1">
      <c r="A119" s="3">
        <v>45103</v>
      </c>
      <c r="B119" s="2" t="s">
        <v>12</v>
      </c>
      <c r="C119" s="2">
        <v>14</v>
      </c>
      <c r="D119" s="2">
        <v>19</v>
      </c>
      <c r="E119" s="1">
        <v>0</v>
      </c>
      <c r="F119" s="1">
        <f>IF(E119 + F118 &lt; 0, E119 + F118, 0)</f>
        <v>0</v>
      </c>
      <c r="G119" s="1">
        <v>0</v>
      </c>
      <c r="H119" s="1">
        <f>IF(G119 + H118 &lt; 0, G119 + H118, 0)</f>
        <v>0</v>
      </c>
      <c r="I119" s="1">
        <v>0</v>
      </c>
      <c r="J119" s="1">
        <f>IF(I119 + J118 &lt; 0, I119 + J118, 0)</f>
        <v>0</v>
      </c>
      <c r="K119" s="1">
        <v>0</v>
      </c>
      <c r="L119" s="1">
        <f>IF(K119 + L118 &lt; 0, K119 + L118, 0)</f>
        <v>0</v>
      </c>
      <c r="M119" s="1">
        <v>0</v>
      </c>
      <c r="N119" s="1">
        <f>IF(M119 + N118 &lt; 0, M119 + N118, 0)</f>
        <v>0</v>
      </c>
      <c r="O119" s="1">
        <v>0</v>
      </c>
      <c r="P119" s="1">
        <f>IF(O119 + P118 &lt; 0, O119 + P118, 0)</f>
        <v>0</v>
      </c>
      <c r="Q119" s="1">
        <v>0</v>
      </c>
      <c r="R119" s="1">
        <f>IF(Q119 + R118 &lt; 0, Q119 + R118, 0)</f>
        <v>0</v>
      </c>
      <c r="S119" s="1">
        <v>0</v>
      </c>
      <c r="T119" s="1">
        <f>IF(S119 + T118 &lt; 0, S119 + T118, 0)</f>
        <v>0</v>
      </c>
    </row>
    <row r="120" spans="1:20" s="1" customFormat="1">
      <c r="A120" s="3">
        <v>45104</v>
      </c>
      <c r="B120" s="2" t="s">
        <v>13</v>
      </c>
      <c r="C120" s="2">
        <v>13</v>
      </c>
      <c r="D120" s="2">
        <v>18</v>
      </c>
      <c r="E120" s="1">
        <v>0</v>
      </c>
      <c r="F120" s="1">
        <f>IF(E120 + F119 &lt; 0, E120 + F119, 0)</f>
        <v>0</v>
      </c>
      <c r="G120" s="1">
        <v>0</v>
      </c>
      <c r="H120" s="1">
        <f>IF(G120 + H119 &lt; 0, G120 + H119, 0)</f>
        <v>0</v>
      </c>
      <c r="I120" s="1">
        <v>0</v>
      </c>
      <c r="J120" s="1">
        <f>IF(I120 + J119 &lt; 0, I120 + J119, 0)</f>
        <v>0</v>
      </c>
      <c r="K120" s="1">
        <v>0</v>
      </c>
      <c r="L120" s="1">
        <f>IF(K120 + L119 &lt; 0, K120 + L119, 0)</f>
        <v>0</v>
      </c>
      <c r="M120" s="1">
        <v>0</v>
      </c>
      <c r="N120" s="1">
        <f>IF(M120 + N119 &lt; 0, M120 + N119, 0)</f>
        <v>0</v>
      </c>
      <c r="O120" s="1">
        <v>0</v>
      </c>
      <c r="P120" s="1">
        <f>IF(O120 + P119 &lt; 0, O120 + P119, 0)</f>
        <v>0</v>
      </c>
      <c r="Q120" s="1">
        <v>0</v>
      </c>
      <c r="R120" s="1">
        <f>IF(Q120 + R119 &lt; 0, Q120 + R119, 0)</f>
        <v>0</v>
      </c>
      <c r="S120" s="1">
        <v>0</v>
      </c>
      <c r="T120" s="1">
        <f>IF(S120 + T119 &lt; 0, S120 + T119, 0)</f>
        <v>0</v>
      </c>
    </row>
    <row r="121" spans="1:20" s="1" customFormat="1">
      <c r="A121" s="3">
        <v>45105</v>
      </c>
      <c r="B121" s="2" t="s">
        <v>14</v>
      </c>
      <c r="C121" s="2">
        <v>12</v>
      </c>
      <c r="D121" s="2">
        <v>17</v>
      </c>
      <c r="E121" s="1">
        <v>0</v>
      </c>
      <c r="F121" s="1">
        <f>IF(E121 + F120 &lt; 0, E121 + F120, 0)</f>
        <v>0</v>
      </c>
      <c r="G121" s="1">
        <v>0</v>
      </c>
      <c r="H121" s="1">
        <f>IF(G121 + H120 &lt; 0, G121 + H120, 0)</f>
        <v>0</v>
      </c>
      <c r="I121" s="1">
        <v>0</v>
      </c>
      <c r="J121" s="1">
        <f>IF(I121 + J120 &lt; 0, I121 + J120, 0)</f>
        <v>0</v>
      </c>
      <c r="K121" s="1">
        <v>0</v>
      </c>
      <c r="L121" s="1">
        <f>IF(K121 + L120 &lt; 0, K121 + L120, 0)</f>
        <v>0</v>
      </c>
      <c r="M121" s="1">
        <v>0</v>
      </c>
      <c r="N121" s="1">
        <f>IF(M121 + N120 &lt; 0, M121 + N120, 0)</f>
        <v>0</v>
      </c>
      <c r="O121" s="1">
        <v>0</v>
      </c>
      <c r="P121" s="1">
        <f>IF(O121 + P120 &lt; 0, O121 + P120, 0)</f>
        <v>0</v>
      </c>
      <c r="Q121" s="1">
        <v>0</v>
      </c>
      <c r="R121" s="1">
        <f>IF(Q121 + R120 &lt; 0, Q121 + R120, 0)</f>
        <v>0</v>
      </c>
      <c r="S121" s="1">
        <v>0</v>
      </c>
      <c r="T121" s="1">
        <f>IF(S121 + T120 &lt; 0, S121 + T120, 0)</f>
        <v>0</v>
      </c>
    </row>
    <row r="122" spans="1:20" s="1" customFormat="1">
      <c r="A122" s="3">
        <v>45106</v>
      </c>
      <c r="B122" s="2" t="s">
        <v>16</v>
      </c>
      <c r="C122" s="2">
        <v>11</v>
      </c>
      <c r="D122" s="2">
        <v>16</v>
      </c>
      <c r="E122" s="1">
        <v>0</v>
      </c>
      <c r="F122" s="1">
        <f>IF(E122 + F121 &lt; 0, E122 + F121, 0)</f>
        <v>0</v>
      </c>
      <c r="G122" s="1">
        <v>0</v>
      </c>
      <c r="H122" s="1">
        <f>IF(G122 + H121 &lt; 0, G122 + H121, 0)</f>
        <v>0</v>
      </c>
      <c r="I122" s="1">
        <v>0</v>
      </c>
      <c r="J122" s="1">
        <f>IF(I122 + J121 &lt; 0, I122 + J121, 0)</f>
        <v>0</v>
      </c>
      <c r="K122" s="1">
        <v>0</v>
      </c>
      <c r="L122" s="1">
        <f>IF(K122 + L121 &lt; 0, K122 + L121, 0)</f>
        <v>0</v>
      </c>
      <c r="M122" s="1">
        <v>0</v>
      </c>
      <c r="N122" s="1">
        <f>IF(M122 + N121 &lt; 0, M122 + N121, 0)</f>
        <v>0</v>
      </c>
      <c r="O122" s="1">
        <v>0</v>
      </c>
      <c r="P122" s="1">
        <f>IF(O122 + P121 &lt; 0, O122 + P121, 0)</f>
        <v>0</v>
      </c>
      <c r="Q122" s="1">
        <v>0</v>
      </c>
      <c r="R122" s="1">
        <f>IF(Q122 + R121 &lt; 0, Q122 + R121, 0)</f>
        <v>0</v>
      </c>
      <c r="S122" s="1">
        <v>0</v>
      </c>
      <c r="T122" s="1">
        <f>IF(S122 + T121 &lt; 0, S122 + T121, 0)</f>
        <v>0</v>
      </c>
    </row>
    <row r="123" spans="1:20" s="1" customFormat="1">
      <c r="A123" s="3">
        <v>45107</v>
      </c>
      <c r="B123" s="2" t="s">
        <v>15</v>
      </c>
      <c r="C123" s="2">
        <v>10</v>
      </c>
      <c r="D123" s="2">
        <v>15</v>
      </c>
      <c r="E123" s="1">
        <v>63162.76558824663</v>
      </c>
      <c r="F123" s="1">
        <f>IF(E123 + F122 &lt; 0, E123 + F122, 0)</f>
        <v>0</v>
      </c>
      <c r="G123" s="1">
        <v>63162.76558824663</v>
      </c>
      <c r="H123" s="1">
        <f>IF(G123 + H122 &lt; 0, G123 + H122, 0)</f>
        <v>0</v>
      </c>
      <c r="I123" s="1">
        <v>63162.76558824663</v>
      </c>
      <c r="J123" s="1">
        <f>IF(I123 + J122 &lt; 0, I123 + J122, 0)</f>
        <v>0</v>
      </c>
      <c r="K123" s="1">
        <v>63162.76558824663</v>
      </c>
      <c r="L123" s="1">
        <f>IF(K123 + L122 &lt; 0, K123 + L122, 0)</f>
        <v>0</v>
      </c>
      <c r="M123" s="1">
        <v>0</v>
      </c>
      <c r="N123" s="1">
        <f>IF(M123 + N122 &lt; 0, M123 + N122, 0)</f>
        <v>0</v>
      </c>
      <c r="O123" s="1">
        <v>0</v>
      </c>
      <c r="P123" s="1">
        <f>IF(O123 + P122 &lt; 0, O123 + P122, 0)</f>
        <v>0</v>
      </c>
      <c r="Q123" s="1">
        <v>0</v>
      </c>
      <c r="R123" s="1">
        <f>IF(Q123 + R122 &lt; 0, Q123 + R122, 0)</f>
        <v>0</v>
      </c>
      <c r="S123" s="1">
        <v>0</v>
      </c>
      <c r="T123" s="1">
        <f>IF(S123 + T122 &lt; 0, S123 + T122, 0)</f>
        <v>0</v>
      </c>
    </row>
    <row r="124" spans="1:20" s="1" customFormat="1">
      <c r="A124" s="3">
        <v>45110</v>
      </c>
      <c r="B124" s="2" t="s">
        <v>12</v>
      </c>
      <c r="C124" s="2">
        <v>9</v>
      </c>
      <c r="D124" s="2">
        <v>14</v>
      </c>
      <c r="E124" s="1">
        <v>16463.74148097097</v>
      </c>
      <c r="F124" s="1">
        <f>IF(E124 + F123 &lt; 0, E124 + F123, 0)</f>
        <v>0</v>
      </c>
      <c r="G124" s="1">
        <v>16463.74148097097</v>
      </c>
      <c r="H124" s="1">
        <f>IF(G124 + H123 &lt; 0, G124 + H123, 0)</f>
        <v>0</v>
      </c>
      <c r="I124" s="1">
        <v>16463.74148097097</v>
      </c>
      <c r="J124" s="1">
        <f>IF(I124 + J123 &lt; 0, I124 + J123, 0)</f>
        <v>0</v>
      </c>
      <c r="K124" s="1">
        <v>16463.74148097097</v>
      </c>
      <c r="L124" s="1">
        <f>IF(K124 + L123 &lt; 0, K124 + L123, 0)</f>
        <v>0</v>
      </c>
      <c r="M124" s="1">
        <v>0</v>
      </c>
      <c r="N124" s="1">
        <f>IF(M124 + N123 &lt; 0, M124 + N123, 0)</f>
        <v>0</v>
      </c>
      <c r="O124" s="1">
        <v>0</v>
      </c>
      <c r="P124" s="1">
        <f>IF(O124 + P123 &lt; 0, O124 + P123, 0)</f>
        <v>0</v>
      </c>
      <c r="Q124" s="1">
        <v>0</v>
      </c>
      <c r="R124" s="1">
        <f>IF(Q124 + R123 &lt; 0, Q124 + R123, 0)</f>
        <v>0</v>
      </c>
      <c r="S124" s="1">
        <v>0</v>
      </c>
      <c r="T124" s="1">
        <f>IF(S124 + T123 &lt; 0, S124 + T123, 0)</f>
        <v>0</v>
      </c>
    </row>
    <row r="125" spans="1:20" s="1" customFormat="1">
      <c r="A125" s="3">
        <v>45112</v>
      </c>
      <c r="B125" s="2" t="s">
        <v>14</v>
      </c>
      <c r="C125" s="2">
        <v>8</v>
      </c>
      <c r="D125" s="2">
        <v>13</v>
      </c>
      <c r="E125" s="1">
        <v>59649.65843605695</v>
      </c>
      <c r="F125" s="1">
        <f>IF(E125 + F124 &lt; 0, E125 + F124, 0)</f>
        <v>0</v>
      </c>
      <c r="G125" s="1">
        <v>59649.65843605695</v>
      </c>
      <c r="H125" s="1">
        <f>IF(G125 + H124 &lt; 0, G125 + H124, 0)</f>
        <v>0</v>
      </c>
      <c r="I125" s="1">
        <v>59649.65843605695</v>
      </c>
      <c r="J125" s="1">
        <f>IF(I125 + J124 &lt; 0, I125 + J124, 0)</f>
        <v>0</v>
      </c>
      <c r="K125" s="1">
        <v>59649.65843605695</v>
      </c>
      <c r="L125" s="1">
        <f>IF(K125 + L124 &lt; 0, K125 + L124, 0)</f>
        <v>0</v>
      </c>
      <c r="M125" s="1">
        <v>0</v>
      </c>
      <c r="N125" s="1">
        <f>IF(M125 + N124 &lt; 0, M125 + N124, 0)</f>
        <v>0</v>
      </c>
      <c r="O125" s="1">
        <v>0</v>
      </c>
      <c r="P125" s="1">
        <f>IF(O125 + P124 &lt; 0, O125 + P124, 0)</f>
        <v>0</v>
      </c>
      <c r="Q125" s="1">
        <v>0</v>
      </c>
      <c r="R125" s="1">
        <f>IF(Q125 + R124 &lt; 0, Q125 + R124, 0)</f>
        <v>0</v>
      </c>
      <c r="S125" s="1">
        <v>0</v>
      </c>
      <c r="T125" s="1">
        <f>IF(S125 + T124 &lt; 0, S125 + T124, 0)</f>
        <v>0</v>
      </c>
    </row>
    <row r="126" spans="1:20" s="1" customFormat="1">
      <c r="A126" s="3">
        <v>45113</v>
      </c>
      <c r="B126" s="2" t="s">
        <v>16</v>
      </c>
      <c r="C126" s="2">
        <v>7</v>
      </c>
      <c r="D126" s="2">
        <v>12</v>
      </c>
      <c r="E126" s="1">
        <v>156855.2019216334</v>
      </c>
      <c r="F126" s="1">
        <f>IF(E126 + F125 &lt; 0, E126 + F125, 0)</f>
        <v>0</v>
      </c>
      <c r="G126" s="1">
        <v>156855.2019216334</v>
      </c>
      <c r="H126" s="1">
        <f>IF(G126 + H125 &lt; 0, G126 + H125, 0)</f>
        <v>0</v>
      </c>
      <c r="I126" s="1">
        <v>156855.2019216334</v>
      </c>
      <c r="J126" s="1">
        <f>IF(I126 + J125 &lt; 0, I126 + J125, 0)</f>
        <v>0</v>
      </c>
      <c r="K126" s="1">
        <v>156855.2019216334</v>
      </c>
      <c r="L126" s="1">
        <f>IF(K126 + L125 &lt; 0, K126 + L125, 0)</f>
        <v>0</v>
      </c>
      <c r="M126" s="1">
        <v>0</v>
      </c>
      <c r="N126" s="1">
        <f>IF(M126 + N125 &lt; 0, M126 + N125, 0)</f>
        <v>0</v>
      </c>
      <c r="O126" s="1">
        <v>0</v>
      </c>
      <c r="P126" s="1">
        <f>IF(O126 + P125 &lt; 0, O126 + P125, 0)</f>
        <v>0</v>
      </c>
      <c r="Q126" s="1">
        <v>0</v>
      </c>
      <c r="R126" s="1">
        <f>IF(Q126 + R125 &lt; 0, Q126 + R125, 0)</f>
        <v>0</v>
      </c>
      <c r="S126" s="1">
        <v>0</v>
      </c>
      <c r="T126" s="1">
        <f>IF(S126 + T125 &lt; 0, S126 + T125, 0)</f>
        <v>0</v>
      </c>
    </row>
    <row r="127" spans="1:20" s="1" customFormat="1">
      <c r="A127" s="3">
        <v>45114</v>
      </c>
      <c r="B127" s="2" t="s">
        <v>15</v>
      </c>
      <c r="C127" s="2">
        <v>6</v>
      </c>
      <c r="D127" s="2">
        <v>11</v>
      </c>
      <c r="E127" s="1">
        <v>48799.83574734956</v>
      </c>
      <c r="F127" s="1">
        <f>IF(E127 + F126 &lt; 0, E127 + F126, 0)</f>
        <v>0</v>
      </c>
      <c r="G127" s="1">
        <v>48799.83574734956</v>
      </c>
      <c r="H127" s="1">
        <f>IF(G127 + H126 &lt; 0, G127 + H126, 0)</f>
        <v>0</v>
      </c>
      <c r="I127" s="1">
        <v>48799.83574734956</v>
      </c>
      <c r="J127" s="1">
        <f>IF(I127 + J126 &lt; 0, I127 + J126, 0)</f>
        <v>0</v>
      </c>
      <c r="K127" s="1">
        <v>48799.83574734956</v>
      </c>
      <c r="L127" s="1">
        <f>IF(K127 + L126 &lt; 0, K127 + L126, 0)</f>
        <v>0</v>
      </c>
      <c r="M127" s="1">
        <v>0</v>
      </c>
      <c r="N127" s="1">
        <f>IF(M127 + N126 &lt; 0, M127 + N126, 0)</f>
        <v>0</v>
      </c>
      <c r="O127" s="1">
        <v>0</v>
      </c>
      <c r="P127" s="1">
        <f>IF(O127 + P126 &lt; 0, O127 + P126, 0)</f>
        <v>0</v>
      </c>
      <c r="Q127" s="1">
        <v>0</v>
      </c>
      <c r="R127" s="1">
        <f>IF(Q127 + R126 &lt; 0, Q127 + R126, 0)</f>
        <v>0</v>
      </c>
      <c r="S127" s="1">
        <v>0</v>
      </c>
      <c r="T127" s="1">
        <f>IF(S127 + T126 &lt; 0, S127 + T126, 0)</f>
        <v>0</v>
      </c>
    </row>
    <row r="128" spans="1:20" s="1" customFormat="1">
      <c r="A128" s="3">
        <v>45117</v>
      </c>
      <c r="B128" s="2" t="s">
        <v>12</v>
      </c>
      <c r="C128" s="2">
        <v>5</v>
      </c>
      <c r="D128" s="2">
        <v>10</v>
      </c>
      <c r="E128" s="1">
        <v>81243.12431243125</v>
      </c>
      <c r="F128" s="1">
        <f>IF(E128 + F127 &lt; 0, E128 + F127, 0)</f>
        <v>0</v>
      </c>
      <c r="G128" s="1">
        <v>81243.12431243125</v>
      </c>
      <c r="H128" s="1">
        <f>IF(G128 + H127 &lt; 0, G128 + H127, 0)</f>
        <v>0</v>
      </c>
      <c r="I128" s="1">
        <v>81243.12431243125</v>
      </c>
      <c r="J128" s="1">
        <f>IF(I128 + J127 &lt; 0, I128 + J127, 0)</f>
        <v>0</v>
      </c>
      <c r="K128" s="1">
        <v>81243.12431243125</v>
      </c>
      <c r="L128" s="1">
        <f>IF(K128 + L127 &lt; 0, K128 + L127, 0)</f>
        <v>0</v>
      </c>
      <c r="M128" s="1">
        <v>0</v>
      </c>
      <c r="N128" s="1">
        <f>IF(M128 + N127 &lt; 0, M128 + N127, 0)</f>
        <v>0</v>
      </c>
      <c r="O128" s="1">
        <v>0</v>
      </c>
      <c r="P128" s="1">
        <f>IF(O128 + P127 &lt; 0, O128 + P127, 0)</f>
        <v>0</v>
      </c>
      <c r="Q128" s="1">
        <v>0</v>
      </c>
      <c r="R128" s="1">
        <f>IF(Q128 + R127 &lt; 0, Q128 + R127, 0)</f>
        <v>0</v>
      </c>
      <c r="S128" s="1">
        <v>0</v>
      </c>
      <c r="T128" s="1">
        <f>IF(S128 + T127 &lt; 0, S128 + T127, 0)</f>
        <v>0</v>
      </c>
    </row>
    <row r="129" spans="1:20" s="1" customFormat="1">
      <c r="A129" s="3">
        <v>45118</v>
      </c>
      <c r="B129" s="2" t="s">
        <v>13</v>
      </c>
      <c r="C129" s="2">
        <v>4</v>
      </c>
      <c r="D129" s="2">
        <v>9</v>
      </c>
      <c r="E129" s="1">
        <v>18579.08453547699</v>
      </c>
      <c r="F129" s="1">
        <f>IF(E129 + F128 &lt; 0, E129 + F128, 0)</f>
        <v>0</v>
      </c>
      <c r="G129" s="1">
        <v>24547.59020665858</v>
      </c>
      <c r="H129" s="1">
        <f>IF(G129 + H128 &lt; 0, G129 + H128, 0)</f>
        <v>0</v>
      </c>
      <c r="I129" s="1">
        <v>24547.59020665858</v>
      </c>
      <c r="J129" s="1">
        <f>IF(I129 + J128 &lt; 0, I129 + J128, 0)</f>
        <v>0</v>
      </c>
      <c r="K129" s="1">
        <v>24547.59020665858</v>
      </c>
      <c r="L129" s="1">
        <f>IF(K129 + L128 &lt; 0, K129 + L128, 0)</f>
        <v>0</v>
      </c>
      <c r="M129" s="1">
        <v>0</v>
      </c>
      <c r="N129" s="1">
        <f>IF(M129 + N128 &lt; 0, M129 + N128, 0)</f>
        <v>0</v>
      </c>
      <c r="O129" s="1">
        <v>0</v>
      </c>
      <c r="P129" s="1">
        <f>IF(O129 + P128 &lt; 0, O129 + P128, 0)</f>
        <v>0</v>
      </c>
      <c r="Q129" s="1">
        <v>0</v>
      </c>
      <c r="R129" s="1">
        <f>IF(Q129 + R128 &lt; 0, Q129 + R128, 0)</f>
        <v>0</v>
      </c>
      <c r="S129" s="1">
        <v>0</v>
      </c>
      <c r="T129" s="1">
        <f>IF(S129 + T128 &lt; 0, S129 + T128, 0)</f>
        <v>0</v>
      </c>
    </row>
    <row r="130" spans="1:20" s="1" customFormat="1">
      <c r="A130" s="3">
        <v>45119</v>
      </c>
      <c r="B130" s="2" t="s">
        <v>14</v>
      </c>
      <c r="C130" s="2">
        <v>3</v>
      </c>
      <c r="D130" s="2">
        <v>8</v>
      </c>
      <c r="E130" s="1">
        <v>147946.6858789625</v>
      </c>
      <c r="F130" s="1">
        <f>IF(E130 + F129 &lt; 0, E130 + F129, 0)</f>
        <v>0</v>
      </c>
      <c r="G130" s="1">
        <v>147946.6858789625</v>
      </c>
      <c r="H130" s="1">
        <f>IF(G130 + H129 &lt; 0, G130 + H129, 0)</f>
        <v>0</v>
      </c>
      <c r="I130" s="1">
        <v>147946.6858789625</v>
      </c>
      <c r="J130" s="1">
        <f>IF(I130 + J129 &lt; 0, I130 + J129, 0)</f>
        <v>0</v>
      </c>
      <c r="K130" s="1">
        <v>147946.6858789625</v>
      </c>
      <c r="L130" s="1">
        <f>IF(K130 + L129 &lt; 0, K130 + L129, 0)</f>
        <v>0</v>
      </c>
      <c r="M130" s="1">
        <v>0</v>
      </c>
      <c r="N130" s="1">
        <f>IF(M130 + N129 &lt; 0, M130 + N129, 0)</f>
        <v>0</v>
      </c>
      <c r="O130" s="1">
        <v>0</v>
      </c>
      <c r="P130" s="1">
        <f>IF(O130 + P129 &lt; 0, O130 + P129, 0)</f>
        <v>0</v>
      </c>
      <c r="Q130" s="1">
        <v>0</v>
      </c>
      <c r="R130" s="1">
        <f>IF(Q130 + R129 &lt; 0, Q130 + R129, 0)</f>
        <v>0</v>
      </c>
      <c r="S130" s="1">
        <v>0</v>
      </c>
      <c r="T130" s="1">
        <f>IF(S130 + T129 &lt; 0, S130 + T129, 0)</f>
        <v>0</v>
      </c>
    </row>
    <row r="131" spans="1:20" s="1" customFormat="1">
      <c r="A131" s="3">
        <v>45120</v>
      </c>
      <c r="B131" s="2" t="s">
        <v>16</v>
      </c>
      <c r="C131" s="2">
        <v>2</v>
      </c>
      <c r="D131" s="2">
        <v>7</v>
      </c>
      <c r="E131" s="1">
        <v>170508.8432463272</v>
      </c>
      <c r="F131" s="1">
        <f>IF(E131 + F130 &lt; 0, E131 + F130, 0)</f>
        <v>0</v>
      </c>
      <c r="G131" s="1">
        <v>170508.8432463272</v>
      </c>
      <c r="H131" s="1">
        <f>IF(G131 + H130 &lt; 0, G131 + H130, 0)</f>
        <v>0</v>
      </c>
      <c r="I131" s="1">
        <v>170508.8432463272</v>
      </c>
      <c r="J131" s="1">
        <f>IF(I131 + J130 &lt; 0, I131 + J130, 0)</f>
        <v>0</v>
      </c>
      <c r="K131" s="1">
        <v>170508.8432463272</v>
      </c>
      <c r="L131" s="1">
        <f>IF(K131 + L130 &lt; 0, K131 + L130, 0)</f>
        <v>0</v>
      </c>
      <c r="M131" s="1">
        <v>0</v>
      </c>
      <c r="N131" s="1">
        <f>IF(M131 + N130 &lt; 0, M131 + N130, 0)</f>
        <v>0</v>
      </c>
      <c r="O131" s="1">
        <v>0</v>
      </c>
      <c r="P131" s="1">
        <f>IF(O131 + P130 &lt; 0, O131 + P130, 0)</f>
        <v>0</v>
      </c>
      <c r="Q131" s="1">
        <v>0</v>
      </c>
      <c r="R131" s="1">
        <f>IF(Q131 + R130 &lt; 0, Q131 + R130, 0)</f>
        <v>0</v>
      </c>
      <c r="S131" s="1">
        <v>0</v>
      </c>
      <c r="T131" s="1">
        <f>IF(S131 + T130 &lt; 0, S131 + T130, 0)</f>
        <v>0</v>
      </c>
    </row>
    <row r="132" spans="1:20" s="1" customFormat="1">
      <c r="A132" s="3">
        <v>45124</v>
      </c>
      <c r="B132" s="2" t="s">
        <v>12</v>
      </c>
      <c r="C132" s="2">
        <v>1</v>
      </c>
      <c r="D132" s="2">
        <v>6</v>
      </c>
      <c r="E132" s="1">
        <v>108267.0546979502</v>
      </c>
      <c r="F132" s="1">
        <f>IF(E132 + F131 &lt; 0, E132 + F131, 0)</f>
        <v>0</v>
      </c>
      <c r="G132" s="1">
        <v>253141.6073171613</v>
      </c>
      <c r="H132" s="1">
        <f>IF(G132 + H131 &lt; 0, G132 + H131, 0)</f>
        <v>0</v>
      </c>
      <c r="I132" s="1">
        <v>252507.1400166299</v>
      </c>
      <c r="J132" s="1">
        <f>IF(I132 + J131 &lt; 0, I132 + J131, 0)</f>
        <v>0</v>
      </c>
      <c r="K132" s="1">
        <v>252507.1400166299</v>
      </c>
      <c r="L132" s="1">
        <f>IF(K132 + L131 &lt; 0, K132 + L131, 0)</f>
        <v>0</v>
      </c>
      <c r="M132" s="1">
        <v>67441.39849026621</v>
      </c>
      <c r="N132" s="1">
        <f>IF(M132 + N131 &lt; 0, M132 + N131, 0)</f>
        <v>0</v>
      </c>
      <c r="O132" s="1">
        <v>67441.39849026621</v>
      </c>
      <c r="P132" s="1">
        <f>IF(O132 + P131 &lt; 0, O132 + P131, 0)</f>
        <v>0</v>
      </c>
      <c r="Q132" s="1">
        <v>67441.39849026621</v>
      </c>
      <c r="R132" s="1">
        <f>IF(Q132 + R131 &lt; 0, Q132 + R131, 0)</f>
        <v>0</v>
      </c>
      <c r="S132" s="1">
        <v>67441.39849026621</v>
      </c>
      <c r="T132" s="1">
        <f>IF(S132 + T131 &lt; 0, S132 + T131, 0)</f>
        <v>0</v>
      </c>
    </row>
    <row r="133" spans="1:20" s="1" customFormat="1">
      <c r="A133" s="3">
        <v>45125</v>
      </c>
      <c r="B133" s="2" t="s">
        <v>13</v>
      </c>
      <c r="C133" s="2">
        <v>22</v>
      </c>
      <c r="D133" s="2">
        <v>5</v>
      </c>
      <c r="E133" s="1">
        <v>0</v>
      </c>
      <c r="F133" s="1">
        <f>IF(E133 + F132 &lt; 0, E133 + F132, 0)</f>
        <v>0</v>
      </c>
      <c r="G133" s="1">
        <v>0</v>
      </c>
      <c r="H133" s="1">
        <f>IF(G133 + H132 &lt; 0, G133 + H132, 0)</f>
        <v>0</v>
      </c>
      <c r="I133" s="1">
        <v>0</v>
      </c>
      <c r="J133" s="1">
        <f>IF(I133 + J132 &lt; 0, I133 + J132, 0)</f>
        <v>0</v>
      </c>
      <c r="K133" s="1">
        <v>0</v>
      </c>
      <c r="L133" s="1">
        <f>IF(K133 + L132 &lt; 0, K133 + L132, 0)</f>
        <v>0</v>
      </c>
      <c r="M133" s="1">
        <v>11890.48760991207</v>
      </c>
      <c r="N133" s="1">
        <f>IF(M133 + N132 &lt; 0, M133 + N132, 0)</f>
        <v>0</v>
      </c>
      <c r="O133" s="1">
        <v>11890.48760991207</v>
      </c>
      <c r="P133" s="1">
        <f>IF(O133 + P132 &lt; 0, O133 + P132, 0)</f>
        <v>0</v>
      </c>
      <c r="Q133" s="1">
        <v>11890.48760991207</v>
      </c>
      <c r="R133" s="1">
        <f>IF(Q133 + R132 &lt; 0, Q133 + R132, 0)</f>
        <v>0</v>
      </c>
      <c r="S133" s="1">
        <v>11890.48760991207</v>
      </c>
      <c r="T133" s="1">
        <f>IF(S133 + T132 &lt; 0, S133 + T132, 0)</f>
        <v>0</v>
      </c>
    </row>
    <row r="134" spans="1:20" s="1" customFormat="1">
      <c r="A134" s="3">
        <v>45126</v>
      </c>
      <c r="B134" s="2" t="s">
        <v>14</v>
      </c>
      <c r="C134" s="2">
        <v>21</v>
      </c>
      <c r="D134" s="2">
        <v>4</v>
      </c>
      <c r="E134" s="1">
        <v>0</v>
      </c>
      <c r="F134" s="1">
        <f>IF(E134 + F133 &lt; 0, E134 + F133, 0)</f>
        <v>0</v>
      </c>
      <c r="G134" s="1">
        <v>0</v>
      </c>
      <c r="H134" s="1">
        <f>IF(G134 + H133 &lt; 0, G134 + H133, 0)</f>
        <v>0</v>
      </c>
      <c r="I134" s="1">
        <v>0</v>
      </c>
      <c r="J134" s="1">
        <f>IF(I134 + J133 &lt; 0, I134 + J133, 0)</f>
        <v>0</v>
      </c>
      <c r="K134" s="1">
        <v>0</v>
      </c>
      <c r="L134" s="1">
        <f>IF(K134 + L133 &lt; 0, K134 + L133, 0)</f>
        <v>0</v>
      </c>
      <c r="M134" s="1">
        <v>74459.87654320987</v>
      </c>
      <c r="N134" s="1">
        <f>IF(M134 + N133 &lt; 0, M134 + N133, 0)</f>
        <v>0</v>
      </c>
      <c r="O134" s="1">
        <v>74459.87654320987</v>
      </c>
      <c r="P134" s="1">
        <f>IF(O134 + P133 &lt; 0, O134 + P133, 0)</f>
        <v>0</v>
      </c>
      <c r="Q134" s="1">
        <v>74459.87654320987</v>
      </c>
      <c r="R134" s="1">
        <f>IF(Q134 + R133 &lt; 0, Q134 + R133, 0)</f>
        <v>0</v>
      </c>
      <c r="S134" s="1">
        <v>74459.87654320987</v>
      </c>
      <c r="T134" s="1">
        <f>IF(S134 + T133 &lt; 0, S134 + T133, 0)</f>
        <v>0</v>
      </c>
    </row>
    <row r="135" spans="1:20" s="1" customFormat="1">
      <c r="A135" s="3">
        <v>45127</v>
      </c>
      <c r="B135" s="2" t="s">
        <v>16</v>
      </c>
      <c r="C135" s="2">
        <v>20</v>
      </c>
      <c r="D135" s="2">
        <v>3</v>
      </c>
      <c r="E135" s="1">
        <v>0</v>
      </c>
      <c r="F135" s="1">
        <f>IF(E135 + F134 &lt; 0, E135 + F134, 0)</f>
        <v>0</v>
      </c>
      <c r="G135" s="1">
        <v>0</v>
      </c>
      <c r="H135" s="1">
        <f>IF(G135 + H134 &lt; 0, G135 + H134, 0)</f>
        <v>0</v>
      </c>
      <c r="I135" s="1">
        <v>0</v>
      </c>
      <c r="J135" s="1">
        <f>IF(I135 + J134 &lt; 0, I135 + J134, 0)</f>
        <v>0</v>
      </c>
      <c r="K135" s="1">
        <v>0</v>
      </c>
      <c r="L135" s="1">
        <f>IF(K135 + L134 &lt; 0, K135 + L134, 0)</f>
        <v>0</v>
      </c>
      <c r="M135" s="1">
        <v>-30478.9899768697</v>
      </c>
      <c r="N135" s="1">
        <f>IF(M135 + N134 &lt; 0, M135 + N134, 0)</f>
        <v>0</v>
      </c>
      <c r="O135" s="1">
        <v>-88304.74171164226</v>
      </c>
      <c r="P135" s="1">
        <f>IF(O135 + P134 &lt; 0, O135 + P134, 0)</f>
        <v>0</v>
      </c>
      <c r="Q135" s="1">
        <v>20528.14186584426</v>
      </c>
      <c r="R135" s="1">
        <f>IF(Q135 + R134 &lt; 0, Q135 + R134, 0)</f>
        <v>0</v>
      </c>
      <c r="S135" s="1">
        <v>20528.14186584426</v>
      </c>
      <c r="T135" s="1">
        <f>IF(S135 + T134 &lt; 0, S135 + T134, 0)</f>
        <v>0</v>
      </c>
    </row>
    <row r="136" spans="1:20" s="1" customFormat="1">
      <c r="A136" s="3">
        <v>45128</v>
      </c>
      <c r="B136" s="2" t="s">
        <v>15</v>
      </c>
      <c r="C136" s="2">
        <v>19</v>
      </c>
      <c r="D136" s="2">
        <v>2</v>
      </c>
      <c r="E136" s="1">
        <v>0</v>
      </c>
      <c r="F136" s="1">
        <f>IF(E136 + F135 &lt; 0, E136 + F135, 0)</f>
        <v>0</v>
      </c>
      <c r="G136" s="1">
        <v>0</v>
      </c>
      <c r="H136" s="1">
        <f>IF(G136 + H135 &lt; 0, G136 + H135, 0)</f>
        <v>0</v>
      </c>
      <c r="I136" s="1">
        <v>0</v>
      </c>
      <c r="J136" s="1">
        <f>IF(I136 + J135 &lt; 0, I136 + J135, 0)</f>
        <v>0</v>
      </c>
      <c r="K136" s="1">
        <v>0</v>
      </c>
      <c r="L136" s="1">
        <f>IF(K136 + L135 &lt; 0, K136 + L135, 0)</f>
        <v>0</v>
      </c>
      <c r="M136" s="1">
        <v>29471.54471544715</v>
      </c>
      <c r="N136" s="1">
        <f>IF(M136 + N135 &lt; 0, M136 + N135, 0)</f>
        <v>0</v>
      </c>
      <c r="O136" s="1">
        <v>29471.54471544715</v>
      </c>
      <c r="P136" s="1">
        <f>IF(O136 + P135 &lt; 0, O136 + P135, 0)</f>
        <v>0</v>
      </c>
      <c r="Q136" s="1">
        <v>29471.54471544715</v>
      </c>
      <c r="R136" s="1">
        <f>IF(Q136 + R135 &lt; 0, Q136 + R135, 0)</f>
        <v>0</v>
      </c>
      <c r="S136" s="1">
        <v>29471.54471544715</v>
      </c>
      <c r="T136" s="1">
        <f>IF(S136 + T135 &lt; 0, S136 + T135, 0)</f>
        <v>0</v>
      </c>
    </row>
    <row r="137" spans="1:20" s="1" customFormat="1">
      <c r="A137" s="3">
        <v>45131</v>
      </c>
      <c r="B137" s="2" t="s">
        <v>12</v>
      </c>
      <c r="C137" s="2">
        <v>18</v>
      </c>
      <c r="D137" s="2">
        <v>1</v>
      </c>
      <c r="E137" s="1">
        <v>0</v>
      </c>
      <c r="F137" s="1">
        <f>IF(E137 + F136 &lt; 0, E137 + F136, 0)</f>
        <v>0</v>
      </c>
      <c r="G137" s="1">
        <v>0</v>
      </c>
      <c r="H137" s="1">
        <f>IF(G137 + H136 &lt; 0, G137 + H136, 0)</f>
        <v>0</v>
      </c>
      <c r="I137" s="1">
        <v>0</v>
      </c>
      <c r="J137" s="1">
        <f>IF(I137 + J136 &lt; 0, I137 + J136, 0)</f>
        <v>0</v>
      </c>
      <c r="K137" s="1">
        <v>0</v>
      </c>
      <c r="L137" s="1">
        <f>IF(K137 + L136 &lt; 0, K137 + L136, 0)</f>
        <v>0</v>
      </c>
      <c r="M137" s="1">
        <v>-82067.4707877874</v>
      </c>
      <c r="N137" s="1">
        <f>IF(M137 + N136 &lt; 0, M137 + N136, 0)</f>
        <v>0</v>
      </c>
      <c r="O137" s="1">
        <v>-76413.49415755748</v>
      </c>
      <c r="P137" s="1">
        <f>IF(O137 + P136 &lt; 0, O137 + P136, 0)</f>
        <v>0</v>
      </c>
      <c r="Q137" s="1">
        <v>96061.06294760648</v>
      </c>
      <c r="R137" s="1">
        <f>IF(Q137 + R136 &lt; 0, Q137 + R136, 0)</f>
        <v>0</v>
      </c>
      <c r="S137" s="1">
        <v>96061.06294760648</v>
      </c>
      <c r="T137" s="1">
        <f>IF(S137 + T136 &lt; 0, S137 + T136, 0)</f>
        <v>0</v>
      </c>
    </row>
    <row r="138" spans="1:20" s="1" customFormat="1">
      <c r="A138" s="3">
        <v>45132</v>
      </c>
      <c r="B138" s="2" t="s">
        <v>13</v>
      </c>
      <c r="C138" s="2">
        <v>17</v>
      </c>
      <c r="D138" s="2">
        <v>22</v>
      </c>
      <c r="E138" s="1">
        <v>0</v>
      </c>
      <c r="F138" s="1">
        <f>IF(E138 + F137 &lt; 0, E138 + F137, 0)</f>
        <v>0</v>
      </c>
      <c r="G138" s="1">
        <v>0</v>
      </c>
      <c r="H138" s="1">
        <f>IF(G138 + H137 &lt; 0, G138 + H137, 0)</f>
        <v>0</v>
      </c>
      <c r="I138" s="1">
        <v>0</v>
      </c>
      <c r="J138" s="1">
        <f>IF(I138 + J137 &lt; 0, I138 + J137, 0)</f>
        <v>0</v>
      </c>
      <c r="K138" s="1">
        <v>0</v>
      </c>
      <c r="L138" s="1">
        <f>IF(K138 + L137 &lt; 0, K138 + L137, 0)</f>
        <v>0</v>
      </c>
      <c r="M138" s="1">
        <v>0</v>
      </c>
      <c r="N138" s="1">
        <f>IF(M138 + N137 &lt; 0, M138 + N137, 0)</f>
        <v>0</v>
      </c>
      <c r="O138" s="1">
        <v>0</v>
      </c>
      <c r="P138" s="1">
        <f>IF(O138 + P137 &lt; 0, O138 + P137, 0)</f>
        <v>0</v>
      </c>
      <c r="Q138" s="1">
        <v>0</v>
      </c>
      <c r="R138" s="1">
        <f>IF(Q138 + R137 &lt; 0, Q138 + R137, 0)</f>
        <v>0</v>
      </c>
      <c r="S138" s="1">
        <v>0</v>
      </c>
      <c r="T138" s="1">
        <f>IF(S138 + T137 &lt; 0, S138 + T137, 0)</f>
        <v>0</v>
      </c>
    </row>
    <row r="139" spans="1:20" s="1" customFormat="1">
      <c r="A139" s="3">
        <v>45133</v>
      </c>
      <c r="B139" s="2" t="s">
        <v>14</v>
      </c>
      <c r="C139" s="2">
        <v>16</v>
      </c>
      <c r="D139" s="2">
        <v>21</v>
      </c>
      <c r="E139" s="1">
        <v>0</v>
      </c>
      <c r="F139" s="1">
        <f>IF(E139 + F138 &lt; 0, E139 + F138, 0)</f>
        <v>0</v>
      </c>
      <c r="G139" s="1">
        <v>0</v>
      </c>
      <c r="H139" s="1">
        <f>IF(G139 + H138 &lt; 0, G139 + H138, 0)</f>
        <v>0</v>
      </c>
      <c r="I139" s="1">
        <v>0</v>
      </c>
      <c r="J139" s="1">
        <f>IF(I139 + J138 &lt; 0, I139 + J138, 0)</f>
        <v>0</v>
      </c>
      <c r="K139" s="1">
        <v>0</v>
      </c>
      <c r="L139" s="1">
        <f>IF(K139 + L138 &lt; 0, K139 + L138, 0)</f>
        <v>0</v>
      </c>
      <c r="M139" s="1">
        <v>0</v>
      </c>
      <c r="N139" s="1">
        <f>IF(M139 + N138 &lt; 0, M139 + N138, 0)</f>
        <v>0</v>
      </c>
      <c r="O139" s="1">
        <v>0</v>
      </c>
      <c r="P139" s="1">
        <f>IF(O139 + P138 &lt; 0, O139 + P138, 0)</f>
        <v>0</v>
      </c>
      <c r="Q139" s="1">
        <v>0</v>
      </c>
      <c r="R139" s="1">
        <f>IF(Q139 + R138 &lt; 0, Q139 + R138, 0)</f>
        <v>0</v>
      </c>
      <c r="S139" s="1">
        <v>0</v>
      </c>
      <c r="T139" s="1">
        <f>IF(S139 + T138 &lt; 0, S139 + T138, 0)</f>
        <v>0</v>
      </c>
    </row>
    <row r="140" spans="1:20" s="1" customFormat="1">
      <c r="A140" s="3">
        <v>45134</v>
      </c>
      <c r="B140" s="2" t="s">
        <v>16</v>
      </c>
      <c r="C140" s="2">
        <v>15</v>
      </c>
      <c r="D140" s="2">
        <v>20</v>
      </c>
      <c r="E140" s="1">
        <v>0</v>
      </c>
      <c r="F140" s="1">
        <f>IF(E140 + F139 &lt; 0, E140 + F139, 0)</f>
        <v>0</v>
      </c>
      <c r="G140" s="1">
        <v>0</v>
      </c>
      <c r="H140" s="1">
        <f>IF(G140 + H139 &lt; 0, G140 + H139, 0)</f>
        <v>0</v>
      </c>
      <c r="I140" s="1">
        <v>0</v>
      </c>
      <c r="J140" s="1">
        <f>IF(I140 + J139 &lt; 0, I140 + J139, 0)</f>
        <v>0</v>
      </c>
      <c r="K140" s="1">
        <v>0</v>
      </c>
      <c r="L140" s="1">
        <f>IF(K140 + L139 &lt; 0, K140 + L139, 0)</f>
        <v>0</v>
      </c>
      <c r="M140" s="1">
        <v>0</v>
      </c>
      <c r="N140" s="1">
        <f>IF(M140 + N139 &lt; 0, M140 + N139, 0)</f>
        <v>0</v>
      </c>
      <c r="O140" s="1">
        <v>0</v>
      </c>
      <c r="P140" s="1">
        <f>IF(O140 + P139 &lt; 0, O140 + P139, 0)</f>
        <v>0</v>
      </c>
      <c r="Q140" s="1">
        <v>0</v>
      </c>
      <c r="R140" s="1">
        <f>IF(Q140 + R139 &lt; 0, Q140 + R139, 0)</f>
        <v>0</v>
      </c>
      <c r="S140" s="1">
        <v>0</v>
      </c>
      <c r="T140" s="1">
        <f>IF(S140 + T139 &lt; 0, S140 + T139, 0)</f>
        <v>0</v>
      </c>
    </row>
    <row r="141" spans="1:20" s="1" customFormat="1">
      <c r="A141" s="3">
        <v>45135</v>
      </c>
      <c r="B141" s="2" t="s">
        <v>15</v>
      </c>
      <c r="C141" s="2">
        <v>14</v>
      </c>
      <c r="D141" s="2">
        <v>19</v>
      </c>
      <c r="E141" s="1">
        <v>0</v>
      </c>
      <c r="F141" s="1">
        <f>IF(E141 + F140 &lt; 0, E141 + F140, 0)</f>
        <v>0</v>
      </c>
      <c r="G141" s="1">
        <v>0</v>
      </c>
      <c r="H141" s="1">
        <f>IF(G141 + H140 &lt; 0, G141 + H140, 0)</f>
        <v>0</v>
      </c>
      <c r="I141" s="1">
        <v>0</v>
      </c>
      <c r="J141" s="1">
        <f>IF(I141 + J140 &lt; 0, I141 + J140, 0)</f>
        <v>0</v>
      </c>
      <c r="K141" s="1">
        <v>0</v>
      </c>
      <c r="L141" s="1">
        <f>IF(K141 + L140 &lt; 0, K141 + L140, 0)</f>
        <v>0</v>
      </c>
      <c r="M141" s="1">
        <v>0</v>
      </c>
      <c r="N141" s="1">
        <f>IF(M141 + N140 &lt; 0, M141 + N140, 0)</f>
        <v>0</v>
      </c>
      <c r="O141" s="1">
        <v>0</v>
      </c>
      <c r="P141" s="1">
        <f>IF(O141 + P140 &lt; 0, O141 + P140, 0)</f>
        <v>0</v>
      </c>
      <c r="Q141" s="1">
        <v>0</v>
      </c>
      <c r="R141" s="1">
        <f>IF(Q141 + R140 &lt; 0, Q141 + R140, 0)</f>
        <v>0</v>
      </c>
      <c r="S141" s="1">
        <v>0</v>
      </c>
      <c r="T141" s="1">
        <f>IF(S141 + T140 &lt; 0, S141 + T140, 0)</f>
        <v>0</v>
      </c>
    </row>
    <row r="142" spans="1:20" s="1" customFormat="1">
      <c r="A142" s="3">
        <v>45138</v>
      </c>
      <c r="B142" s="2" t="s">
        <v>12</v>
      </c>
      <c r="C142" s="2">
        <v>13</v>
      </c>
      <c r="D142" s="2">
        <v>18</v>
      </c>
      <c r="E142" s="1">
        <v>0</v>
      </c>
      <c r="F142" s="1">
        <f>IF(E142 + F141 &lt; 0, E142 + F141, 0)</f>
        <v>0</v>
      </c>
      <c r="G142" s="1">
        <v>0</v>
      </c>
      <c r="H142" s="1">
        <f>IF(G142 + H141 &lt; 0, G142 + H141, 0)</f>
        <v>0</v>
      </c>
      <c r="I142" s="1">
        <v>0</v>
      </c>
      <c r="J142" s="1">
        <f>IF(I142 + J141 &lt; 0, I142 + J141, 0)</f>
        <v>0</v>
      </c>
      <c r="K142" s="1">
        <v>0</v>
      </c>
      <c r="L142" s="1">
        <f>IF(K142 + L141 &lt; 0, K142 + L141, 0)</f>
        <v>0</v>
      </c>
      <c r="M142" s="1">
        <v>0</v>
      </c>
      <c r="N142" s="1">
        <f>IF(M142 + N141 &lt; 0, M142 + N141, 0)</f>
        <v>0</v>
      </c>
      <c r="O142" s="1">
        <v>0</v>
      </c>
      <c r="P142" s="1">
        <f>IF(O142 + P141 &lt; 0, O142 + P141, 0)</f>
        <v>0</v>
      </c>
      <c r="Q142" s="1">
        <v>0</v>
      </c>
      <c r="R142" s="1">
        <f>IF(Q142 + R141 &lt; 0, Q142 + R141, 0)</f>
        <v>0</v>
      </c>
      <c r="S142" s="1">
        <v>0</v>
      </c>
      <c r="T142" s="1">
        <f>IF(S142 + T141 &lt; 0, S142 + T141, 0)</f>
        <v>0</v>
      </c>
    </row>
    <row r="143" spans="1:20" s="1" customFormat="1">
      <c r="A143" s="3">
        <v>45139</v>
      </c>
      <c r="B143" s="2" t="s">
        <v>13</v>
      </c>
      <c r="C143" s="2">
        <v>12</v>
      </c>
      <c r="D143" s="2">
        <v>17</v>
      </c>
      <c r="E143" s="1">
        <v>0</v>
      </c>
      <c r="F143" s="1">
        <f>IF(E143 + F142 &lt; 0, E143 + F142, 0)</f>
        <v>0</v>
      </c>
      <c r="G143" s="1">
        <v>0</v>
      </c>
      <c r="H143" s="1">
        <f>IF(G143 + H142 &lt; 0, G143 + H142, 0)</f>
        <v>0</v>
      </c>
      <c r="I143" s="1">
        <v>0</v>
      </c>
      <c r="J143" s="1">
        <f>IF(I143 + J142 &lt; 0, I143 + J142, 0)</f>
        <v>0</v>
      </c>
      <c r="K143" s="1">
        <v>0</v>
      </c>
      <c r="L143" s="1">
        <f>IF(K143 + L142 &lt; 0, K143 + L142, 0)</f>
        <v>0</v>
      </c>
      <c r="M143" s="1">
        <v>0</v>
      </c>
      <c r="N143" s="1">
        <f>IF(M143 + N142 &lt; 0, M143 + N142, 0)</f>
        <v>0</v>
      </c>
      <c r="O143" s="1">
        <v>0</v>
      </c>
      <c r="P143" s="1">
        <f>IF(O143 + P142 &lt; 0, O143 + P142, 0)</f>
        <v>0</v>
      </c>
      <c r="Q143" s="1">
        <v>0</v>
      </c>
      <c r="R143" s="1">
        <f>IF(Q143 + R142 &lt; 0, Q143 + R142, 0)</f>
        <v>0</v>
      </c>
      <c r="S143" s="1">
        <v>0</v>
      </c>
      <c r="T143" s="1">
        <f>IF(S143 + T142 &lt; 0, S143 + T142, 0)</f>
        <v>0</v>
      </c>
    </row>
    <row r="144" spans="1:20" s="1" customFormat="1">
      <c r="A144" s="3">
        <v>45140</v>
      </c>
      <c r="B144" s="2" t="s">
        <v>14</v>
      </c>
      <c r="C144" s="2">
        <v>11</v>
      </c>
      <c r="D144" s="2">
        <v>16</v>
      </c>
      <c r="E144" s="1">
        <v>0</v>
      </c>
      <c r="F144" s="1">
        <f>IF(E144 + F143 &lt; 0, E144 + F143, 0)</f>
        <v>0</v>
      </c>
      <c r="G144" s="1">
        <v>0</v>
      </c>
      <c r="H144" s="1">
        <f>IF(G144 + H143 &lt; 0, G144 + H143, 0)</f>
        <v>0</v>
      </c>
      <c r="I144" s="1">
        <v>0</v>
      </c>
      <c r="J144" s="1">
        <f>IF(I144 + J143 &lt; 0, I144 + J143, 0)</f>
        <v>0</v>
      </c>
      <c r="K144" s="1">
        <v>0</v>
      </c>
      <c r="L144" s="1">
        <f>IF(K144 + L143 &lt; 0, K144 + L143, 0)</f>
        <v>0</v>
      </c>
      <c r="M144" s="1">
        <v>0</v>
      </c>
      <c r="N144" s="1">
        <f>IF(M144 + N143 &lt; 0, M144 + N143, 0)</f>
        <v>0</v>
      </c>
      <c r="O144" s="1">
        <v>0</v>
      </c>
      <c r="P144" s="1">
        <f>IF(O144 + P143 &lt; 0, O144 + P143, 0)</f>
        <v>0</v>
      </c>
      <c r="Q144" s="1">
        <v>0</v>
      </c>
      <c r="R144" s="1">
        <f>IF(Q144 + R143 &lt; 0, Q144 + R143, 0)</f>
        <v>0</v>
      </c>
      <c r="S144" s="1">
        <v>0</v>
      </c>
      <c r="T144" s="1">
        <f>IF(S144 + T143 &lt; 0, S144 + T143, 0)</f>
        <v>0</v>
      </c>
    </row>
    <row r="145" spans="1:20" s="1" customFormat="1">
      <c r="A145" s="3">
        <v>45141</v>
      </c>
      <c r="B145" s="2" t="s">
        <v>16</v>
      </c>
      <c r="C145" s="2">
        <v>10</v>
      </c>
      <c r="D145" s="2">
        <v>15</v>
      </c>
      <c r="E145" s="1">
        <v>18331.47698123393</v>
      </c>
      <c r="F145" s="1">
        <f>IF(E145 + F144 &lt; 0, E145 + F144, 0)</f>
        <v>0</v>
      </c>
      <c r="G145" s="1">
        <v>-141487.7818280006</v>
      </c>
      <c r="H145" s="1">
        <f>IF(G145 + H144 &lt; 0, G145 + H144, 0)</f>
        <v>0</v>
      </c>
      <c r="I145" s="1">
        <v>-141487.7818280006</v>
      </c>
      <c r="J145" s="1">
        <f>IF(I145 + J144 &lt; 0, I145 + J144, 0)</f>
        <v>0</v>
      </c>
      <c r="K145" s="1">
        <v>-141487.7818280006</v>
      </c>
      <c r="L145" s="1">
        <f>IF(K145 + L144 &lt; 0, K145 + L144, 0)</f>
        <v>0</v>
      </c>
      <c r="M145" s="1">
        <v>0</v>
      </c>
      <c r="N145" s="1">
        <f>IF(M145 + N144 &lt; 0, M145 + N144, 0)</f>
        <v>0</v>
      </c>
      <c r="O145" s="1">
        <v>0</v>
      </c>
      <c r="P145" s="1">
        <f>IF(O145 + P144 &lt; 0, O145 + P144, 0)</f>
        <v>0</v>
      </c>
      <c r="Q145" s="1">
        <v>0</v>
      </c>
      <c r="R145" s="1">
        <f>IF(Q145 + R144 &lt; 0, Q145 + R144, 0)</f>
        <v>0</v>
      </c>
      <c r="S145" s="1">
        <v>0</v>
      </c>
      <c r="T145" s="1">
        <f>IF(S145 + T144 &lt; 0, S145 + T144, 0)</f>
        <v>0</v>
      </c>
    </row>
    <row r="146" spans="1:20" s="1" customFormat="1">
      <c r="A146" s="3">
        <v>45142</v>
      </c>
      <c r="B146" s="2" t="s">
        <v>15</v>
      </c>
      <c r="C146" s="2">
        <v>9</v>
      </c>
      <c r="D146" s="2">
        <v>14</v>
      </c>
      <c r="E146" s="1">
        <v>-829.9368919274182</v>
      </c>
      <c r="F146" s="1">
        <f>IF(E146 + F145 &lt; 0, E146 + F145, 0)</f>
        <v>0</v>
      </c>
      <c r="G146" s="1">
        <v>-829.9368919274182</v>
      </c>
      <c r="H146" s="1">
        <f>IF(G146 + H145 &lt; 0, G146 + H145, 0)</f>
        <v>0</v>
      </c>
      <c r="I146" s="1">
        <v>-829.9368919274182</v>
      </c>
      <c r="J146" s="1">
        <f>IF(I146 + J145 &lt; 0, I146 + J145, 0)</f>
        <v>0</v>
      </c>
      <c r="K146" s="1">
        <v>-829.9368919274182</v>
      </c>
      <c r="L146" s="1">
        <f>IF(K146 + L145 &lt; 0, K146 + L145, 0)</f>
        <v>0</v>
      </c>
      <c r="M146" s="1">
        <v>0</v>
      </c>
      <c r="N146" s="1">
        <f>IF(M146 + N145 &lt; 0, M146 + N145, 0)</f>
        <v>0</v>
      </c>
      <c r="O146" s="1">
        <v>0</v>
      </c>
      <c r="P146" s="1">
        <f>IF(O146 + P145 &lt; 0, O146 + P145, 0)</f>
        <v>0</v>
      </c>
      <c r="Q146" s="1">
        <v>0</v>
      </c>
      <c r="R146" s="1">
        <f>IF(Q146 + R145 &lt; 0, Q146 + R145, 0)</f>
        <v>0</v>
      </c>
      <c r="S146" s="1">
        <v>0</v>
      </c>
      <c r="T146" s="1">
        <f>IF(S146 + T145 &lt; 0, S146 + T145, 0)</f>
        <v>0</v>
      </c>
    </row>
    <row r="147" spans="1:20" s="1" customFormat="1">
      <c r="A147" s="3">
        <v>45145</v>
      </c>
      <c r="B147" s="2" t="s">
        <v>12</v>
      </c>
      <c r="C147" s="2">
        <v>8</v>
      </c>
      <c r="D147" s="2">
        <v>13</v>
      </c>
      <c r="E147" s="1">
        <v>65409.5701540957</v>
      </c>
      <c r="F147" s="1">
        <f>IF(E147 + F146 &lt; 0, E147 + F146, 0)</f>
        <v>0</v>
      </c>
      <c r="G147" s="1">
        <v>65409.5701540957</v>
      </c>
      <c r="H147" s="1">
        <f>IF(G147 + H146 &lt; 0, G147 + H146, 0)</f>
        <v>0</v>
      </c>
      <c r="I147" s="1">
        <v>65409.5701540957</v>
      </c>
      <c r="J147" s="1">
        <f>IF(I147 + J146 &lt; 0, I147 + J146, 0)</f>
        <v>0</v>
      </c>
      <c r="K147" s="1">
        <v>65409.5701540957</v>
      </c>
      <c r="L147" s="1">
        <f>IF(K147 + L146 &lt; 0, K147 + L146, 0)</f>
        <v>0</v>
      </c>
      <c r="M147" s="1">
        <v>0</v>
      </c>
      <c r="N147" s="1">
        <f>IF(M147 + N146 &lt; 0, M147 + N146, 0)</f>
        <v>0</v>
      </c>
      <c r="O147" s="1">
        <v>0</v>
      </c>
      <c r="P147" s="1">
        <f>IF(O147 + P146 &lt; 0, O147 + P146, 0)</f>
        <v>0</v>
      </c>
      <c r="Q147" s="1">
        <v>0</v>
      </c>
      <c r="R147" s="1">
        <f>IF(Q147 + R146 &lt; 0, Q147 + R146, 0)</f>
        <v>0</v>
      </c>
      <c r="S147" s="1">
        <v>0</v>
      </c>
      <c r="T147" s="1">
        <f>IF(S147 + T146 &lt; 0, S147 + T146, 0)</f>
        <v>0</v>
      </c>
    </row>
    <row r="148" spans="1:20" s="1" customFormat="1">
      <c r="A148" s="3">
        <v>45146</v>
      </c>
      <c r="B148" s="2" t="s">
        <v>13</v>
      </c>
      <c r="C148" s="2">
        <v>7</v>
      </c>
      <c r="D148" s="2">
        <v>12</v>
      </c>
      <c r="E148" s="1">
        <v>39494.10304158908</v>
      </c>
      <c r="F148" s="1">
        <f>IF(E148 + F147 &lt; 0, E148 + F147, 0)</f>
        <v>0</v>
      </c>
      <c r="G148" s="1">
        <v>-121492.0448234179</v>
      </c>
      <c r="H148" s="1">
        <f>IF(G148 + H147 &lt; 0, G148 + H147, 0)</f>
        <v>0</v>
      </c>
      <c r="I148" s="1">
        <v>-121492.0448234179</v>
      </c>
      <c r="J148" s="1">
        <f>IF(I148 + J147 &lt; 0, I148 + J147, 0)</f>
        <v>0</v>
      </c>
      <c r="K148" s="1">
        <v>-121492.0448234179</v>
      </c>
      <c r="L148" s="1">
        <f>IF(K148 + L147 &lt; 0, K148 + L147, 0)</f>
        <v>0</v>
      </c>
      <c r="M148" s="1">
        <v>0</v>
      </c>
      <c r="N148" s="1">
        <f>IF(M148 + N147 &lt; 0, M148 + N147, 0)</f>
        <v>0</v>
      </c>
      <c r="O148" s="1">
        <v>0</v>
      </c>
      <c r="P148" s="1">
        <f>IF(O148 + P147 &lt; 0, O148 + P147, 0)</f>
        <v>0</v>
      </c>
      <c r="Q148" s="1">
        <v>0</v>
      </c>
      <c r="R148" s="1">
        <f>IF(Q148 + R147 &lt; 0, Q148 + R147, 0)</f>
        <v>0</v>
      </c>
      <c r="S148" s="1">
        <v>0</v>
      </c>
      <c r="T148" s="1">
        <f>IF(S148 + T147 &lt; 0, S148 + T147, 0)</f>
        <v>0</v>
      </c>
    </row>
    <row r="149" spans="1:20" s="1" customFormat="1">
      <c r="A149" s="3">
        <v>45147</v>
      </c>
      <c r="B149" s="2" t="s">
        <v>14</v>
      </c>
      <c r="C149" s="2">
        <v>6</v>
      </c>
      <c r="D149" s="2">
        <v>11</v>
      </c>
      <c r="E149" s="1">
        <v>47055.96107055961</v>
      </c>
      <c r="F149" s="1">
        <f>IF(E149 + F148 &lt; 0, E149 + F148, 0)</f>
        <v>0</v>
      </c>
      <c r="G149" s="1">
        <v>47055.96107055961</v>
      </c>
      <c r="H149" s="1">
        <f>IF(G149 + H148 &lt; 0, G149 + H148, 0)</f>
        <v>0</v>
      </c>
      <c r="I149" s="1">
        <v>47055.96107055961</v>
      </c>
      <c r="J149" s="1">
        <f>IF(I149 + J148 &lt; 0, I149 + J148, 0)</f>
        <v>0</v>
      </c>
      <c r="K149" s="1">
        <v>47055.96107055961</v>
      </c>
      <c r="L149" s="1">
        <f>IF(K149 + L148 &lt; 0, K149 + L148, 0)</f>
        <v>0</v>
      </c>
      <c r="M149" s="1">
        <v>0</v>
      </c>
      <c r="N149" s="1">
        <f>IF(M149 + N148 &lt; 0, M149 + N148, 0)</f>
        <v>0</v>
      </c>
      <c r="O149" s="1">
        <v>0</v>
      </c>
      <c r="P149" s="1">
        <f>IF(O149 + P148 &lt; 0, O149 + P148, 0)</f>
        <v>0</v>
      </c>
      <c r="Q149" s="1">
        <v>0</v>
      </c>
      <c r="R149" s="1">
        <f>IF(Q149 + R148 &lt; 0, Q149 + R148, 0)</f>
        <v>0</v>
      </c>
      <c r="S149" s="1">
        <v>0</v>
      </c>
      <c r="T149" s="1">
        <f>IF(S149 + T148 &lt; 0, S149 + T148, 0)</f>
        <v>0</v>
      </c>
    </row>
    <row r="150" spans="1:20" s="1" customFormat="1">
      <c r="A150" s="3">
        <v>45148</v>
      </c>
      <c r="B150" s="2" t="s">
        <v>16</v>
      </c>
      <c r="C150" s="2">
        <v>5</v>
      </c>
      <c r="D150" s="2">
        <v>10</v>
      </c>
      <c r="E150" s="1">
        <v>83689.20899993625</v>
      </c>
      <c r="F150" s="1">
        <f>IF(E150 + F149 &lt; 0, E150 + F149, 0)</f>
        <v>0</v>
      </c>
      <c r="G150" s="1">
        <v>83689.20899993625</v>
      </c>
      <c r="H150" s="1">
        <f>IF(G150 + H149 &lt; 0, G150 + H149, 0)</f>
        <v>0</v>
      </c>
      <c r="I150" s="1">
        <v>83689.20899993625</v>
      </c>
      <c r="J150" s="1">
        <f>IF(I150 + J149 &lt; 0, I150 + J149, 0)</f>
        <v>0</v>
      </c>
      <c r="K150" s="1">
        <v>83689.20899993625</v>
      </c>
      <c r="L150" s="1">
        <f>IF(K150 + L149 &lt; 0, K150 + L149, 0)</f>
        <v>0</v>
      </c>
      <c r="M150" s="1">
        <v>0</v>
      </c>
      <c r="N150" s="1">
        <f>IF(M150 + N149 &lt; 0, M150 + N149, 0)</f>
        <v>0</v>
      </c>
      <c r="O150" s="1">
        <v>0</v>
      </c>
      <c r="P150" s="1">
        <f>IF(O150 + P149 &lt; 0, O150 + P149, 0)</f>
        <v>0</v>
      </c>
      <c r="Q150" s="1">
        <v>0</v>
      </c>
      <c r="R150" s="1">
        <f>IF(Q150 + R149 &lt; 0, Q150 + R149, 0)</f>
        <v>0</v>
      </c>
      <c r="S150" s="1">
        <v>0</v>
      </c>
      <c r="T150" s="1">
        <f>IF(S150 + T149 &lt; 0, S150 + T149, 0)</f>
        <v>0</v>
      </c>
    </row>
    <row r="151" spans="1:20" s="1" customFormat="1">
      <c r="A151" s="3">
        <v>45149</v>
      </c>
      <c r="B151" s="2" t="s">
        <v>15</v>
      </c>
      <c r="C151" s="2">
        <v>4</v>
      </c>
      <c r="D151" s="2">
        <v>9</v>
      </c>
      <c r="E151" s="1">
        <v>104497.3116538188</v>
      </c>
      <c r="F151" s="1">
        <f>IF(E151 + F150 &lt; 0, E151 + F150, 0)</f>
        <v>0</v>
      </c>
      <c r="G151" s="1">
        <v>104497.3116538188</v>
      </c>
      <c r="H151" s="1">
        <f>IF(G151 + H150 &lt; 0, G151 + H150, 0)</f>
        <v>0</v>
      </c>
      <c r="I151" s="1">
        <v>104497.3116538188</v>
      </c>
      <c r="J151" s="1">
        <f>IF(I151 + J150 &lt; 0, I151 + J150, 0)</f>
        <v>0</v>
      </c>
      <c r="K151" s="1">
        <v>104497.3116538188</v>
      </c>
      <c r="L151" s="1">
        <f>IF(K151 + L150 &lt; 0, K151 + L150, 0)</f>
        <v>0</v>
      </c>
      <c r="M151" s="1">
        <v>0</v>
      </c>
      <c r="N151" s="1">
        <f>IF(M151 + N150 &lt; 0, M151 + N150, 0)</f>
        <v>0</v>
      </c>
      <c r="O151" s="1">
        <v>0</v>
      </c>
      <c r="P151" s="1">
        <f>IF(O151 + P150 &lt; 0, O151 + P150, 0)</f>
        <v>0</v>
      </c>
      <c r="Q151" s="1">
        <v>0</v>
      </c>
      <c r="R151" s="1">
        <f>IF(Q151 + R150 &lt; 0, Q151 + R150, 0)</f>
        <v>0</v>
      </c>
      <c r="S151" s="1">
        <v>0</v>
      </c>
      <c r="T151" s="1">
        <f>IF(S151 + T150 &lt; 0, S151 + T150, 0)</f>
        <v>0</v>
      </c>
    </row>
    <row r="152" spans="1:20" s="1" customFormat="1">
      <c r="A152" s="3">
        <v>45152</v>
      </c>
      <c r="B152" s="2" t="s">
        <v>12</v>
      </c>
      <c r="C152" s="2">
        <v>3</v>
      </c>
      <c r="D152" s="2">
        <v>8</v>
      </c>
      <c r="E152" s="1">
        <v>91006.45873227096</v>
      </c>
      <c r="F152" s="1">
        <f>IF(E152 + F151 &lt; 0, E152 + F151, 0)</f>
        <v>0</v>
      </c>
      <c r="G152" s="1">
        <v>91006.45873227096</v>
      </c>
      <c r="H152" s="1">
        <f>IF(G152 + H151 &lt; 0, G152 + H151, 0)</f>
        <v>0</v>
      </c>
      <c r="I152" s="1">
        <v>91006.45873227096</v>
      </c>
      <c r="J152" s="1">
        <f>IF(I152 + J151 &lt; 0, I152 + J151, 0)</f>
        <v>0</v>
      </c>
      <c r="K152" s="1">
        <v>91006.45873227096</v>
      </c>
      <c r="L152" s="1">
        <f>IF(K152 + L151 &lt; 0, K152 + L151, 0)</f>
        <v>0</v>
      </c>
      <c r="M152" s="1">
        <v>0</v>
      </c>
      <c r="N152" s="1">
        <f>IF(M152 + N151 &lt; 0, M152 + N151, 0)</f>
        <v>0</v>
      </c>
      <c r="O152" s="1">
        <v>0</v>
      </c>
      <c r="P152" s="1">
        <f>IF(O152 + P151 &lt; 0, O152 + P151, 0)</f>
        <v>0</v>
      </c>
      <c r="Q152" s="1">
        <v>0</v>
      </c>
      <c r="R152" s="1">
        <f>IF(Q152 + R151 &lt; 0, Q152 + R151, 0)</f>
        <v>0</v>
      </c>
      <c r="S152" s="1">
        <v>0</v>
      </c>
      <c r="T152" s="1">
        <f>IF(S152 + T151 &lt; 0, S152 + T151, 0)</f>
        <v>0</v>
      </c>
    </row>
    <row r="153" spans="1:20" s="1" customFormat="1">
      <c r="A153" s="3">
        <v>45154</v>
      </c>
      <c r="B153" s="2" t="s">
        <v>14</v>
      </c>
      <c r="C153" s="2">
        <v>2</v>
      </c>
      <c r="D153" s="2">
        <v>7</v>
      </c>
      <c r="E153" s="1">
        <v>74872.85336856011</v>
      </c>
      <c r="F153" s="1">
        <f>IF(E153 + F152 &lt; 0, E153 + F152, 0)</f>
        <v>0</v>
      </c>
      <c r="G153" s="1">
        <v>18072.15984147952</v>
      </c>
      <c r="H153" s="1">
        <f>IF(G153 + H152 &lt; 0, G153 + H152, 0)</f>
        <v>0</v>
      </c>
      <c r="I153" s="1">
        <v>21953.43461030383</v>
      </c>
      <c r="J153" s="1">
        <f>IF(I153 + J152 &lt; 0, I153 + J152, 0)</f>
        <v>0</v>
      </c>
      <c r="K153" s="1">
        <v>21953.43461030383</v>
      </c>
      <c r="L153" s="1">
        <f>IF(K153 + L152 &lt; 0, K153 + L152, 0)</f>
        <v>0</v>
      </c>
      <c r="M153" s="1">
        <v>0</v>
      </c>
      <c r="N153" s="1">
        <f>IF(M153 + N152 &lt; 0, M153 + N152, 0)</f>
        <v>0</v>
      </c>
      <c r="O153" s="1">
        <v>0</v>
      </c>
      <c r="P153" s="1">
        <f>IF(O153 + P152 &lt; 0, O153 + P152, 0)</f>
        <v>0</v>
      </c>
      <c r="Q153" s="1">
        <v>0</v>
      </c>
      <c r="R153" s="1">
        <f>IF(Q153 + R152 &lt; 0, Q153 + R152, 0)</f>
        <v>0</v>
      </c>
      <c r="S153" s="1">
        <v>0</v>
      </c>
      <c r="T153" s="1">
        <f>IF(S153 + T152 &lt; 0, S153 + T152, 0)</f>
        <v>0</v>
      </c>
    </row>
    <row r="154" spans="1:20" s="1" customFormat="1">
      <c r="A154" s="3">
        <v>45155</v>
      </c>
      <c r="B154" s="2" t="s">
        <v>16</v>
      </c>
      <c r="C154" s="2">
        <v>1</v>
      </c>
      <c r="D154" s="2">
        <v>6</v>
      </c>
      <c r="E154" s="1">
        <v>89768.82985877605</v>
      </c>
      <c r="F154" s="1">
        <f>IF(E154 + F153 &lt; 0, E154 + F153, 0)</f>
        <v>0</v>
      </c>
      <c r="G154" s="1">
        <v>4857.935440484202</v>
      </c>
      <c r="H154" s="1">
        <f>IF(G154 + H153 &lt; 0, G154 + H153, 0)</f>
        <v>0</v>
      </c>
      <c r="I154" s="1">
        <v>191736.7182246133</v>
      </c>
      <c r="J154" s="1">
        <f>IF(I154 + J153 &lt; 0, I154 + J153, 0)</f>
        <v>0</v>
      </c>
      <c r="K154" s="1">
        <v>191736.7182246133</v>
      </c>
      <c r="L154" s="1">
        <f>IF(K154 + L153 &lt; 0, K154 + L153, 0)</f>
        <v>0</v>
      </c>
      <c r="M154" s="1">
        <v>94350.49961568025</v>
      </c>
      <c r="N154" s="1">
        <f>IF(M154 + N153 &lt; 0, M154 + N153, 0)</f>
        <v>0</v>
      </c>
      <c r="O154" s="1">
        <v>94350.49961568025</v>
      </c>
      <c r="P154" s="1">
        <f>IF(O154 + P153 &lt; 0, O154 + P153, 0)</f>
        <v>0</v>
      </c>
      <c r="Q154" s="1">
        <v>94350.49961568025</v>
      </c>
      <c r="R154" s="1">
        <f>IF(Q154 + R153 &lt; 0, Q154 + R153, 0)</f>
        <v>0</v>
      </c>
      <c r="S154" s="1">
        <v>94350.49961568025</v>
      </c>
      <c r="T154" s="1">
        <f>IF(S154 + T153 &lt; 0, S154 + T153, 0)</f>
        <v>0</v>
      </c>
    </row>
    <row r="155" spans="1:20" s="1" customFormat="1">
      <c r="A155" s="3">
        <v>45156</v>
      </c>
      <c r="B155" s="2" t="s">
        <v>15</v>
      </c>
      <c r="C155" s="2">
        <v>21</v>
      </c>
      <c r="D155" s="2">
        <v>5</v>
      </c>
      <c r="E155" s="1">
        <v>0</v>
      </c>
      <c r="F155" s="1">
        <f>IF(E155 + F154 &lt; 0, E155 + F154, 0)</f>
        <v>0</v>
      </c>
      <c r="G155" s="1">
        <v>0</v>
      </c>
      <c r="H155" s="1">
        <f>IF(G155 + H154 &lt; 0, G155 + H154, 0)</f>
        <v>0</v>
      </c>
      <c r="I155" s="1">
        <v>0</v>
      </c>
      <c r="J155" s="1">
        <f>IF(I155 + J154 &lt; 0, I155 + J154, 0)</f>
        <v>0</v>
      </c>
      <c r="K155" s="1">
        <v>0</v>
      </c>
      <c r="L155" s="1">
        <f>IF(K155 + L154 &lt; 0, K155 + L154, 0)</f>
        <v>0</v>
      </c>
      <c r="M155" s="1">
        <v>62643.23911382735</v>
      </c>
      <c r="N155" s="1">
        <f>IF(M155 + N154 &lt; 0, M155 + N154, 0)</f>
        <v>0</v>
      </c>
      <c r="O155" s="1">
        <v>62643.23911382735</v>
      </c>
      <c r="P155" s="1">
        <f>IF(O155 + P154 &lt; 0, O155 + P154, 0)</f>
        <v>0</v>
      </c>
      <c r="Q155" s="1">
        <v>62643.23911382735</v>
      </c>
      <c r="R155" s="1">
        <f>IF(Q155 + R154 &lt; 0, Q155 + R154, 0)</f>
        <v>0</v>
      </c>
      <c r="S155" s="1">
        <v>62643.23911382735</v>
      </c>
      <c r="T155" s="1">
        <f>IF(S155 + T154 &lt; 0, S155 + T154, 0)</f>
        <v>0</v>
      </c>
    </row>
    <row r="156" spans="1:20" s="1" customFormat="1">
      <c r="A156" s="3">
        <v>45159</v>
      </c>
      <c r="B156" s="2" t="s">
        <v>12</v>
      </c>
      <c r="C156" s="2">
        <v>20</v>
      </c>
      <c r="D156" s="2">
        <v>4</v>
      </c>
      <c r="E156" s="1">
        <v>0</v>
      </c>
      <c r="F156" s="1">
        <f>IF(E156 + F155 &lt; 0, E156 + F155, 0)</f>
        <v>0</v>
      </c>
      <c r="G156" s="1">
        <v>0</v>
      </c>
      <c r="H156" s="1">
        <f>IF(G156 + H155 &lt; 0, G156 + H155, 0)</f>
        <v>0</v>
      </c>
      <c r="I156" s="1">
        <v>0</v>
      </c>
      <c r="J156" s="1">
        <f>IF(I156 + J155 &lt; 0, I156 + J155, 0)</f>
        <v>0</v>
      </c>
      <c r="K156" s="1">
        <v>0</v>
      </c>
      <c r="L156" s="1">
        <f>IF(K156 + L155 &lt; 0, K156 + L155, 0)</f>
        <v>0</v>
      </c>
      <c r="M156" s="1">
        <v>76431.88854489163</v>
      </c>
      <c r="N156" s="1">
        <f>IF(M156 + N155 &lt; 0, M156 + N155, 0)</f>
        <v>0</v>
      </c>
      <c r="O156" s="1">
        <v>76431.88854489163</v>
      </c>
      <c r="P156" s="1">
        <f>IF(O156 + P155 &lt; 0, O156 + P155, 0)</f>
        <v>0</v>
      </c>
      <c r="Q156" s="1">
        <v>76431.88854489163</v>
      </c>
      <c r="R156" s="1">
        <f>IF(Q156 + R155 &lt; 0, Q156 + R155, 0)</f>
        <v>0</v>
      </c>
      <c r="S156" s="1">
        <v>76431.88854489163</v>
      </c>
      <c r="T156" s="1">
        <f>IF(S156 + T155 &lt; 0, S156 + T155, 0)</f>
        <v>0</v>
      </c>
    </row>
    <row r="157" spans="1:20" s="1" customFormat="1">
      <c r="A157" s="3">
        <v>45160</v>
      </c>
      <c r="B157" s="2" t="s">
        <v>13</v>
      </c>
      <c r="C157" s="2">
        <v>19</v>
      </c>
      <c r="D157" s="2">
        <v>3</v>
      </c>
      <c r="E157" s="1">
        <v>0</v>
      </c>
      <c r="F157" s="1">
        <f>IF(E157 + F156 &lt; 0, E157 + F156, 0)</f>
        <v>0</v>
      </c>
      <c r="G157" s="1">
        <v>0</v>
      </c>
      <c r="H157" s="1">
        <f>IF(G157 + H156 &lt; 0, G157 + H156, 0)</f>
        <v>0</v>
      </c>
      <c r="I157" s="1">
        <v>0</v>
      </c>
      <c r="J157" s="1">
        <f>IF(I157 + J156 &lt; 0, I157 + J156, 0)</f>
        <v>0</v>
      </c>
      <c r="K157" s="1">
        <v>0</v>
      </c>
      <c r="L157" s="1">
        <f>IF(K157 + L156 &lt; 0, K157 + L156, 0)</f>
        <v>0</v>
      </c>
      <c r="M157" s="1">
        <v>16109.18877354864</v>
      </c>
      <c r="N157" s="1">
        <f>IF(M157 + N156 &lt; 0, M157 + N156, 0)</f>
        <v>0</v>
      </c>
      <c r="O157" s="1">
        <v>32006.92041522491</v>
      </c>
      <c r="P157" s="1">
        <f>IF(O157 + P156 &lt; 0, O157 + P156, 0)</f>
        <v>0</v>
      </c>
      <c r="Q157" s="1">
        <v>32006.92041522491</v>
      </c>
      <c r="R157" s="1">
        <f>IF(Q157 + R156 &lt; 0, Q157 + R156, 0)</f>
        <v>0</v>
      </c>
      <c r="S157" s="1">
        <v>32006.92041522491</v>
      </c>
      <c r="T157" s="1">
        <f>IF(S157 + T156 &lt; 0, S157 + T156, 0)</f>
        <v>0</v>
      </c>
    </row>
    <row r="158" spans="1:20" s="1" customFormat="1">
      <c r="A158" s="3">
        <v>45161</v>
      </c>
      <c r="B158" s="2" t="s">
        <v>14</v>
      </c>
      <c r="C158" s="2">
        <v>18</v>
      </c>
      <c r="D158" s="2">
        <v>2</v>
      </c>
      <c r="E158" s="1">
        <v>0</v>
      </c>
      <c r="F158" s="1">
        <f>IF(E158 + F157 &lt; 0, E158 + F157, 0)</f>
        <v>0</v>
      </c>
      <c r="G158" s="1">
        <v>0</v>
      </c>
      <c r="H158" s="1">
        <f>IF(G158 + H157 &lt; 0, G158 + H157, 0)</f>
        <v>0</v>
      </c>
      <c r="I158" s="1">
        <v>0</v>
      </c>
      <c r="J158" s="1">
        <f>IF(I158 + J157 &lt; 0, I158 + J157, 0)</f>
        <v>0</v>
      </c>
      <c r="K158" s="1">
        <v>0</v>
      </c>
      <c r="L158" s="1">
        <f>IF(K158 + L157 &lt; 0, K158 + L157, 0)</f>
        <v>0</v>
      </c>
      <c r="M158" s="1">
        <v>83971.22161315584</v>
      </c>
      <c r="N158" s="1">
        <f>IF(M158 + N157 &lt; 0, M158 + N157, 0)</f>
        <v>0</v>
      </c>
      <c r="O158" s="1">
        <v>97435.39545810496</v>
      </c>
      <c r="P158" s="1">
        <f>IF(O158 + P157 &lt; 0, O158 + P157, 0)</f>
        <v>0</v>
      </c>
      <c r="Q158" s="1">
        <v>97435.39545810496</v>
      </c>
      <c r="R158" s="1">
        <f>IF(Q158 + R157 &lt; 0, Q158 + R157, 0)</f>
        <v>0</v>
      </c>
      <c r="S158" s="1">
        <v>97435.39545810496</v>
      </c>
      <c r="T158" s="1">
        <f>IF(S158 + T157 &lt; 0, S158 + T157, 0)</f>
        <v>0</v>
      </c>
    </row>
    <row r="159" spans="1:20" s="1" customFormat="1">
      <c r="A159" s="3">
        <v>45162</v>
      </c>
      <c r="B159" s="2" t="s">
        <v>16</v>
      </c>
      <c r="C159" s="2">
        <v>17</v>
      </c>
      <c r="D159" s="2">
        <v>1</v>
      </c>
      <c r="E159" s="1">
        <v>0</v>
      </c>
      <c r="F159" s="1">
        <f>IF(E159 + F158 &lt; 0, E159 + F158, 0)</f>
        <v>0</v>
      </c>
      <c r="G159" s="1">
        <v>0</v>
      </c>
      <c r="H159" s="1">
        <f>IF(G159 + H158 &lt; 0, G159 + H158, 0)</f>
        <v>0</v>
      </c>
      <c r="I159" s="1">
        <v>0</v>
      </c>
      <c r="J159" s="1">
        <f>IF(I159 + J158 &lt; 0, I159 + J158, 0)</f>
        <v>0</v>
      </c>
      <c r="K159" s="1">
        <v>0</v>
      </c>
      <c r="L159" s="1">
        <f>IF(K159 + L158 &lt; 0, K159 + L158, 0)</f>
        <v>0</v>
      </c>
      <c r="M159" s="1">
        <v>19615.22801302931</v>
      </c>
      <c r="N159" s="1">
        <f>IF(M159 + N158 &lt; 0, M159 + N158, 0)</f>
        <v>0</v>
      </c>
      <c r="O159" s="1">
        <v>8927.117263843636</v>
      </c>
      <c r="P159" s="1">
        <f>IF(O159 + P158 &lt; 0, O159 + P158, 0)</f>
        <v>0</v>
      </c>
      <c r="Q159" s="1">
        <v>-68912.86644951139</v>
      </c>
      <c r="R159" s="1">
        <f>IF(Q159 + R158 &lt; 0, Q159 + R158, 0)</f>
        <v>0</v>
      </c>
      <c r="S159" s="1">
        <v>-119864.6172638437</v>
      </c>
      <c r="T159" s="1">
        <f>IF(S159 + T158 &lt; 0, S159 + T158, 0)</f>
        <v>0</v>
      </c>
    </row>
    <row r="160" spans="1:20" s="1" customFormat="1">
      <c r="A160" s="3">
        <v>45163</v>
      </c>
      <c r="B160" s="2" t="s">
        <v>15</v>
      </c>
      <c r="C160" s="2">
        <v>16</v>
      </c>
      <c r="D160" s="2">
        <v>21</v>
      </c>
      <c r="E160" s="1">
        <v>0</v>
      </c>
      <c r="F160" s="1">
        <f>IF(E160 + F159 &lt; 0, E160 + F159, 0)</f>
        <v>0</v>
      </c>
      <c r="G160" s="1">
        <v>0</v>
      </c>
      <c r="H160" s="1">
        <f>IF(G160 + H159 &lt; 0, G160 + H159, 0)</f>
        <v>0</v>
      </c>
      <c r="I160" s="1">
        <v>0</v>
      </c>
      <c r="J160" s="1">
        <f>IF(I160 + J159 &lt; 0, I160 + J159, 0)</f>
        <v>0</v>
      </c>
      <c r="K160" s="1">
        <v>0</v>
      </c>
      <c r="L160" s="1">
        <f>IF(K160 + L159 &lt; 0, K160 + L159, 0)</f>
        <v>0</v>
      </c>
      <c r="M160" s="1">
        <v>0</v>
      </c>
      <c r="N160" s="1">
        <f>IF(M160 + N159 &lt; 0, M160 + N159, 0)</f>
        <v>0</v>
      </c>
      <c r="O160" s="1">
        <v>0</v>
      </c>
      <c r="P160" s="1">
        <f>IF(O160 + P159 &lt; 0, O160 + P159, 0)</f>
        <v>0</v>
      </c>
      <c r="Q160" s="1">
        <v>0</v>
      </c>
      <c r="R160" s="1">
        <f>IF(Q160 + R159 &lt; 0, Q160 + R159, 0)</f>
        <v>0</v>
      </c>
      <c r="S160" s="1">
        <v>0</v>
      </c>
      <c r="T160" s="1">
        <f>IF(S160 + T159 &lt; 0, S160 + T159, 0)</f>
        <v>0</v>
      </c>
    </row>
    <row r="161" spans="1:20" s="1" customFormat="1">
      <c r="A161" s="3">
        <v>45166</v>
      </c>
      <c r="B161" s="2" t="s">
        <v>12</v>
      </c>
      <c r="C161" s="2">
        <v>15</v>
      </c>
      <c r="D161" s="2">
        <v>20</v>
      </c>
      <c r="E161" s="1">
        <v>0</v>
      </c>
      <c r="F161" s="1">
        <f>IF(E161 + F160 &lt; 0, E161 + F160, 0)</f>
        <v>0</v>
      </c>
      <c r="G161" s="1">
        <v>0</v>
      </c>
      <c r="H161" s="1">
        <f>IF(G161 + H160 &lt; 0, G161 + H160, 0)</f>
        <v>0</v>
      </c>
      <c r="I161" s="1">
        <v>0</v>
      </c>
      <c r="J161" s="1">
        <f>IF(I161 + J160 &lt; 0, I161 + J160, 0)</f>
        <v>0</v>
      </c>
      <c r="K161" s="1">
        <v>0</v>
      </c>
      <c r="L161" s="1">
        <f>IF(K161 + L160 &lt; 0, K161 + L160, 0)</f>
        <v>0</v>
      </c>
      <c r="M161" s="1">
        <v>0</v>
      </c>
      <c r="N161" s="1">
        <f>IF(M161 + N160 &lt; 0, M161 + N160, 0)</f>
        <v>0</v>
      </c>
      <c r="O161" s="1">
        <v>0</v>
      </c>
      <c r="P161" s="1">
        <f>IF(O161 + P160 &lt; 0, O161 + P160, 0)</f>
        <v>0</v>
      </c>
      <c r="Q161" s="1">
        <v>0</v>
      </c>
      <c r="R161" s="1">
        <f>IF(Q161 + R160 &lt; 0, Q161 + R160, 0)</f>
        <v>0</v>
      </c>
      <c r="S161" s="1">
        <v>0</v>
      </c>
      <c r="T161" s="1">
        <f>IF(S161 + T160 &lt; 0, S161 + T160, 0)</f>
        <v>0</v>
      </c>
    </row>
    <row r="162" spans="1:20" s="1" customFormat="1">
      <c r="A162" s="3">
        <v>45167</v>
      </c>
      <c r="B162" s="2" t="s">
        <v>13</v>
      </c>
      <c r="C162" s="2">
        <v>14</v>
      </c>
      <c r="D162" s="2">
        <v>19</v>
      </c>
      <c r="E162" s="1">
        <v>0</v>
      </c>
      <c r="F162" s="1">
        <f>IF(E162 + F161 &lt; 0, E162 + F161, 0)</f>
        <v>0</v>
      </c>
      <c r="G162" s="1">
        <v>0</v>
      </c>
      <c r="H162" s="1">
        <f>IF(G162 + H161 &lt; 0, G162 + H161, 0)</f>
        <v>0</v>
      </c>
      <c r="I162" s="1">
        <v>0</v>
      </c>
      <c r="J162" s="1">
        <f>IF(I162 + J161 &lt; 0, I162 + J161, 0)</f>
        <v>0</v>
      </c>
      <c r="K162" s="1">
        <v>0</v>
      </c>
      <c r="L162" s="1">
        <f>IF(K162 + L161 &lt; 0, K162 + L161, 0)</f>
        <v>0</v>
      </c>
      <c r="M162" s="1">
        <v>0</v>
      </c>
      <c r="N162" s="1">
        <f>IF(M162 + N161 &lt; 0, M162 + N161, 0)</f>
        <v>0</v>
      </c>
      <c r="O162" s="1">
        <v>0</v>
      </c>
      <c r="P162" s="1">
        <f>IF(O162 + P161 &lt; 0, O162 + P161, 0)</f>
        <v>0</v>
      </c>
      <c r="Q162" s="1">
        <v>0</v>
      </c>
      <c r="R162" s="1">
        <f>IF(Q162 + R161 &lt; 0, Q162 + R161, 0)</f>
        <v>0</v>
      </c>
      <c r="S162" s="1">
        <v>0</v>
      </c>
      <c r="T162" s="1">
        <f>IF(S162 + T161 &lt; 0, S162 + T161, 0)</f>
        <v>0</v>
      </c>
    </row>
    <row r="163" spans="1:20" s="1" customFormat="1">
      <c r="A163" s="3">
        <v>45168</v>
      </c>
      <c r="B163" s="2" t="s">
        <v>14</v>
      </c>
      <c r="C163" s="2">
        <v>13</v>
      </c>
      <c r="D163" s="2">
        <v>18</v>
      </c>
      <c r="E163" s="1">
        <v>0</v>
      </c>
      <c r="F163" s="1">
        <f>IF(E163 + F162 &lt; 0, E163 + F162, 0)</f>
        <v>0</v>
      </c>
      <c r="G163" s="1">
        <v>0</v>
      </c>
      <c r="H163" s="1">
        <f>IF(G163 + H162 &lt; 0, G163 + H162, 0)</f>
        <v>0</v>
      </c>
      <c r="I163" s="1">
        <v>0</v>
      </c>
      <c r="J163" s="1">
        <f>IF(I163 + J162 &lt; 0, I163 + J162, 0)</f>
        <v>0</v>
      </c>
      <c r="K163" s="1">
        <v>0</v>
      </c>
      <c r="L163" s="1">
        <f>IF(K163 + L162 &lt; 0, K163 + L162, 0)</f>
        <v>0</v>
      </c>
      <c r="M163" s="1">
        <v>0</v>
      </c>
      <c r="N163" s="1">
        <f>IF(M163 + N162 &lt; 0, M163 + N162, 0)</f>
        <v>0</v>
      </c>
      <c r="O163" s="1">
        <v>0</v>
      </c>
      <c r="P163" s="1">
        <f>IF(O163 + P162 &lt; 0, O163 + P162, 0)</f>
        <v>0</v>
      </c>
      <c r="Q163" s="1">
        <v>0</v>
      </c>
      <c r="R163" s="1">
        <f>IF(Q163 + R162 &lt; 0, Q163 + R162, 0)</f>
        <v>0</v>
      </c>
      <c r="S163" s="1">
        <v>0</v>
      </c>
      <c r="T163" s="1">
        <f>IF(S163 + T162 &lt; 0, S163 + T162, 0)</f>
        <v>0</v>
      </c>
    </row>
    <row r="164" spans="1:20" s="1" customFormat="1">
      <c r="A164" s="3">
        <v>45169</v>
      </c>
      <c r="B164" s="2" t="s">
        <v>16</v>
      </c>
      <c r="C164" s="2">
        <v>12</v>
      </c>
      <c r="D164" s="2">
        <v>17</v>
      </c>
      <c r="E164" s="1">
        <v>0</v>
      </c>
      <c r="F164" s="1">
        <f>IF(E164 + F163 &lt; 0, E164 + F163, 0)</f>
        <v>0</v>
      </c>
      <c r="G164" s="1">
        <v>0</v>
      </c>
      <c r="H164" s="1">
        <f>IF(G164 + H163 &lt; 0, G164 + H163, 0)</f>
        <v>0</v>
      </c>
      <c r="I164" s="1">
        <v>0</v>
      </c>
      <c r="J164" s="1">
        <f>IF(I164 + J163 &lt; 0, I164 + J163, 0)</f>
        <v>0</v>
      </c>
      <c r="K164" s="1">
        <v>0</v>
      </c>
      <c r="L164" s="1">
        <f>IF(K164 + L163 &lt; 0, K164 + L163, 0)</f>
        <v>0</v>
      </c>
      <c r="M164" s="1">
        <v>0</v>
      </c>
      <c r="N164" s="1">
        <f>IF(M164 + N163 &lt; 0, M164 + N163, 0)</f>
        <v>0</v>
      </c>
      <c r="O164" s="1">
        <v>0</v>
      </c>
      <c r="P164" s="1">
        <f>IF(O164 + P163 &lt; 0, O164 + P163, 0)</f>
        <v>0</v>
      </c>
      <c r="Q164" s="1">
        <v>0</v>
      </c>
      <c r="R164" s="1">
        <f>IF(Q164 + R163 &lt; 0, Q164 + R163, 0)</f>
        <v>0</v>
      </c>
      <c r="S164" s="1">
        <v>0</v>
      </c>
      <c r="T164" s="1">
        <f>IF(S164 + T163 &lt; 0, S164 + T163, 0)</f>
        <v>0</v>
      </c>
    </row>
    <row r="165" spans="1:20" s="1" customFormat="1">
      <c r="A165" s="3">
        <v>45170</v>
      </c>
      <c r="B165" s="2" t="s">
        <v>15</v>
      </c>
      <c r="C165" s="2">
        <v>11</v>
      </c>
      <c r="D165" s="2">
        <v>16</v>
      </c>
      <c r="E165" s="1">
        <v>0</v>
      </c>
      <c r="F165" s="1">
        <f>IF(E165 + F164 &lt; 0, E165 + F164, 0)</f>
        <v>0</v>
      </c>
      <c r="G165" s="1">
        <v>0</v>
      </c>
      <c r="H165" s="1">
        <f>IF(G165 + H164 &lt; 0, G165 + H164, 0)</f>
        <v>0</v>
      </c>
      <c r="I165" s="1">
        <v>0</v>
      </c>
      <c r="J165" s="1">
        <f>IF(I165 + J164 &lt; 0, I165 + J164, 0)</f>
        <v>0</v>
      </c>
      <c r="K165" s="1">
        <v>0</v>
      </c>
      <c r="L165" s="1">
        <f>IF(K165 + L164 &lt; 0, K165 + L164, 0)</f>
        <v>0</v>
      </c>
      <c r="M165" s="1">
        <v>0</v>
      </c>
      <c r="N165" s="1">
        <f>IF(M165 + N164 &lt; 0, M165 + N164, 0)</f>
        <v>0</v>
      </c>
      <c r="O165" s="1">
        <v>0</v>
      </c>
      <c r="P165" s="1">
        <f>IF(O165 + P164 &lt; 0, O165 + P164, 0)</f>
        <v>0</v>
      </c>
      <c r="Q165" s="1">
        <v>0</v>
      </c>
      <c r="R165" s="1">
        <f>IF(Q165 + R164 &lt; 0, Q165 + R164, 0)</f>
        <v>0</v>
      </c>
      <c r="S165" s="1">
        <v>0</v>
      </c>
      <c r="T165" s="1">
        <f>IF(S165 + T164 &lt; 0, S165 + T164, 0)</f>
        <v>0</v>
      </c>
    </row>
    <row r="166" spans="1:20" s="1" customFormat="1">
      <c r="A166" s="3">
        <v>45173</v>
      </c>
      <c r="B166" s="2" t="s">
        <v>12</v>
      </c>
      <c r="C166" s="2">
        <v>10</v>
      </c>
      <c r="D166" s="2">
        <v>15</v>
      </c>
      <c r="E166" s="1">
        <v>7371.412422282232</v>
      </c>
      <c r="F166" s="1">
        <f>IF(E166 + F165 &lt; 0, E166 + F165, 0)</f>
        <v>0</v>
      </c>
      <c r="G166" s="1">
        <v>7371.412422282232</v>
      </c>
      <c r="H166" s="1">
        <f>IF(G166 + H165 &lt; 0, G166 + H165, 0)</f>
        <v>0</v>
      </c>
      <c r="I166" s="1">
        <v>7371.412422282232</v>
      </c>
      <c r="J166" s="1">
        <f>IF(I166 + J165 &lt; 0, I166 + J165, 0)</f>
        <v>0</v>
      </c>
      <c r="K166" s="1">
        <v>7371.412422282232</v>
      </c>
      <c r="L166" s="1">
        <f>IF(K166 + L165 &lt; 0, K166 + L165, 0)</f>
        <v>0</v>
      </c>
      <c r="M166" s="1">
        <v>0</v>
      </c>
      <c r="N166" s="1">
        <f>IF(M166 + N165 &lt; 0, M166 + N165, 0)</f>
        <v>0</v>
      </c>
      <c r="O166" s="1">
        <v>0</v>
      </c>
      <c r="P166" s="1">
        <f>IF(O166 + P165 &lt; 0, O166 + P165, 0)</f>
        <v>0</v>
      </c>
      <c r="Q166" s="1">
        <v>0</v>
      </c>
      <c r="R166" s="1">
        <f>IF(Q166 + R165 &lt; 0, Q166 + R165, 0)</f>
        <v>0</v>
      </c>
      <c r="S166" s="1">
        <v>0</v>
      </c>
      <c r="T166" s="1">
        <f>IF(S166 + T165 &lt; 0, S166 + T165, 0)</f>
        <v>0</v>
      </c>
    </row>
    <row r="167" spans="1:20" s="1" customFormat="1">
      <c r="A167" s="3">
        <v>45174</v>
      </c>
      <c r="B167" s="2" t="s">
        <v>13</v>
      </c>
      <c r="C167" s="2">
        <v>9</v>
      </c>
      <c r="D167" s="2">
        <v>14</v>
      </c>
      <c r="E167" s="1">
        <v>-66269.03473937648</v>
      </c>
      <c r="F167" s="1">
        <f>IF(E167 + F166 &lt; 0, E167 + F166, 0)</f>
        <v>0</v>
      </c>
      <c r="G167" s="1">
        <v>-168292.8926550139</v>
      </c>
      <c r="H167" s="1">
        <f>IF(G167 + H166 &lt; 0, G167 + H166, 0)</f>
        <v>0</v>
      </c>
      <c r="I167" s="1">
        <v>-80743.25380694789</v>
      </c>
      <c r="J167" s="1">
        <f>IF(I167 + J166 &lt; 0, I167 + J166, 0)</f>
        <v>0</v>
      </c>
      <c r="K167" s="1">
        <v>-80743.25380694789</v>
      </c>
      <c r="L167" s="1">
        <f>IF(K167 + L166 &lt; 0, K167 + L166, 0)</f>
        <v>0</v>
      </c>
      <c r="M167" s="1">
        <v>0</v>
      </c>
      <c r="N167" s="1">
        <f>IF(M167 + N166 &lt; 0, M167 + N166, 0)</f>
        <v>0</v>
      </c>
      <c r="O167" s="1">
        <v>0</v>
      </c>
      <c r="P167" s="1">
        <f>IF(O167 + P166 &lt; 0, O167 + P166, 0)</f>
        <v>0</v>
      </c>
      <c r="Q167" s="1">
        <v>0</v>
      </c>
      <c r="R167" s="1">
        <f>IF(Q167 + R166 &lt; 0, Q167 + R166, 0)</f>
        <v>0</v>
      </c>
      <c r="S167" s="1">
        <v>0</v>
      </c>
      <c r="T167" s="1">
        <f>IF(S167 + T166 &lt; 0, S167 + T166, 0)</f>
        <v>0</v>
      </c>
    </row>
    <row r="168" spans="1:20" s="1" customFormat="1">
      <c r="A168" s="3">
        <v>45175</v>
      </c>
      <c r="B168" s="2" t="s">
        <v>14</v>
      </c>
      <c r="C168" s="2">
        <v>8</v>
      </c>
      <c r="D168" s="2">
        <v>13</v>
      </c>
      <c r="E168" s="1">
        <v>-32819.44444444445</v>
      </c>
      <c r="F168" s="1">
        <f>IF(E168 + F167 &lt; 0, E168 + F167, 0)</f>
        <v>0</v>
      </c>
      <c r="G168" s="1">
        <v>-40686.72839506173</v>
      </c>
      <c r="H168" s="1">
        <f>IF(G168 + H167 &lt; 0, G168 + H167, 0)</f>
        <v>0</v>
      </c>
      <c r="I168" s="1">
        <v>-40686.72839506173</v>
      </c>
      <c r="J168" s="1">
        <f>IF(I168 + J167 &lt; 0, I168 + J167, 0)</f>
        <v>0</v>
      </c>
      <c r="K168" s="1">
        <v>-40686.72839506173</v>
      </c>
      <c r="L168" s="1">
        <f>IF(K168 + L167 &lt; 0, K168 + L167, 0)</f>
        <v>0</v>
      </c>
      <c r="M168" s="1">
        <v>0</v>
      </c>
      <c r="N168" s="1">
        <f>IF(M168 + N167 &lt; 0, M168 + N167, 0)</f>
        <v>0</v>
      </c>
      <c r="O168" s="1">
        <v>0</v>
      </c>
      <c r="P168" s="1">
        <f>IF(O168 + P167 &lt; 0, O168 + P167, 0)</f>
        <v>0</v>
      </c>
      <c r="Q168" s="1">
        <v>0</v>
      </c>
      <c r="R168" s="1">
        <f>IF(Q168 + R167 &lt; 0, Q168 + R167, 0)</f>
        <v>0</v>
      </c>
      <c r="S168" s="1">
        <v>0</v>
      </c>
      <c r="T168" s="1">
        <f>IF(S168 + T167 &lt; 0, S168 + T167, 0)</f>
        <v>0</v>
      </c>
    </row>
    <row r="169" spans="1:20" s="1" customFormat="1">
      <c r="A169" s="3">
        <v>45176</v>
      </c>
      <c r="B169" s="2" t="s">
        <v>16</v>
      </c>
      <c r="C169" s="2">
        <v>7</v>
      </c>
      <c r="D169" s="2">
        <v>12</v>
      </c>
      <c r="E169" s="1">
        <v>95024.80705622933</v>
      </c>
      <c r="F169" s="1">
        <f>IF(E169 + F168 &lt; 0, E169 + F168, 0)</f>
        <v>0</v>
      </c>
      <c r="G169" s="1">
        <v>95024.80705622933</v>
      </c>
      <c r="H169" s="1">
        <f>IF(G169 + H168 &lt; 0, G169 + H168, 0)</f>
        <v>0</v>
      </c>
      <c r="I169" s="1">
        <v>95024.80705622933</v>
      </c>
      <c r="J169" s="1">
        <f>IF(I169 + J168 &lt; 0, I169 + J168, 0)</f>
        <v>0</v>
      </c>
      <c r="K169" s="1">
        <v>95024.80705622933</v>
      </c>
      <c r="L169" s="1">
        <f>IF(K169 + L168 &lt; 0, K169 + L168, 0)</f>
        <v>0</v>
      </c>
      <c r="M169" s="1">
        <v>0</v>
      </c>
      <c r="N169" s="1">
        <f>IF(M169 + N168 &lt; 0, M169 + N168, 0)</f>
        <v>0</v>
      </c>
      <c r="O169" s="1">
        <v>0</v>
      </c>
      <c r="P169" s="1">
        <f>IF(O169 + P168 &lt; 0, O169 + P168, 0)</f>
        <v>0</v>
      </c>
      <c r="Q169" s="1">
        <v>0</v>
      </c>
      <c r="R169" s="1">
        <f>IF(Q169 + R168 &lt; 0, Q169 + R168, 0)</f>
        <v>0</v>
      </c>
      <c r="S169" s="1">
        <v>0</v>
      </c>
      <c r="T169" s="1">
        <f>IF(S169 + T168 &lt; 0, S169 + T168, 0)</f>
        <v>0</v>
      </c>
    </row>
    <row r="170" spans="1:20" s="1" customFormat="1">
      <c r="A170" s="3">
        <v>45177</v>
      </c>
      <c r="B170" s="2" t="s">
        <v>15</v>
      </c>
      <c r="C170" s="2">
        <v>6</v>
      </c>
      <c r="D170" s="2">
        <v>11</v>
      </c>
      <c r="E170" s="1">
        <v>148276.8763933614</v>
      </c>
      <c r="F170" s="1">
        <f>IF(E170 + F169 &lt; 0, E170 + F169, 0)</f>
        <v>0</v>
      </c>
      <c r="G170" s="1">
        <v>148276.8763933614</v>
      </c>
      <c r="H170" s="1">
        <f>IF(G170 + H169 &lt; 0, G170 + H169, 0)</f>
        <v>0</v>
      </c>
      <c r="I170" s="1">
        <v>148276.8763933614</v>
      </c>
      <c r="J170" s="1">
        <f>IF(I170 + J169 &lt; 0, I170 + J169, 0)</f>
        <v>0</v>
      </c>
      <c r="K170" s="1">
        <v>148276.8763933614</v>
      </c>
      <c r="L170" s="1">
        <f>IF(K170 + L169 &lt; 0, K170 + L169, 0)</f>
        <v>0</v>
      </c>
      <c r="M170" s="1">
        <v>0</v>
      </c>
      <c r="N170" s="1">
        <f>IF(M170 + N169 &lt; 0, M170 + N169, 0)</f>
        <v>0</v>
      </c>
      <c r="O170" s="1">
        <v>0</v>
      </c>
      <c r="P170" s="1">
        <f>IF(O170 + P169 &lt; 0, O170 + P169, 0)</f>
        <v>0</v>
      </c>
      <c r="Q170" s="1">
        <v>0</v>
      </c>
      <c r="R170" s="1">
        <f>IF(Q170 + R169 &lt; 0, Q170 + R169, 0)</f>
        <v>0</v>
      </c>
      <c r="S170" s="1">
        <v>0</v>
      </c>
      <c r="T170" s="1">
        <f>IF(S170 + T169 &lt; 0, S170 + T169, 0)</f>
        <v>0</v>
      </c>
    </row>
    <row r="171" spans="1:20" s="1" customFormat="1">
      <c r="A171" s="3">
        <v>45180</v>
      </c>
      <c r="B171" s="2" t="s">
        <v>12</v>
      </c>
      <c r="C171" s="2">
        <v>5</v>
      </c>
      <c r="D171" s="2">
        <v>10</v>
      </c>
      <c r="E171" s="1">
        <v>128639.1333784699</v>
      </c>
      <c r="F171" s="1">
        <f>IF(E171 + F170 &lt; 0, E171 + F170, 0)</f>
        <v>0</v>
      </c>
      <c r="G171" s="1">
        <v>128639.1333784699</v>
      </c>
      <c r="H171" s="1">
        <f>IF(G171 + H170 &lt; 0, G171 + H170, 0)</f>
        <v>0</v>
      </c>
      <c r="I171" s="1">
        <v>128639.1333784699</v>
      </c>
      <c r="J171" s="1">
        <f>IF(I171 + J170 &lt; 0, I171 + J170, 0)</f>
        <v>0</v>
      </c>
      <c r="K171" s="1">
        <v>128639.1333784699</v>
      </c>
      <c r="L171" s="1">
        <f>IF(K171 + L170 &lt; 0, K171 + L170, 0)</f>
        <v>0</v>
      </c>
      <c r="M171" s="1">
        <v>0</v>
      </c>
      <c r="N171" s="1">
        <f>IF(M171 + N170 &lt; 0, M171 + N170, 0)</f>
        <v>0</v>
      </c>
      <c r="O171" s="1">
        <v>0</v>
      </c>
      <c r="P171" s="1">
        <f>IF(O171 + P170 &lt; 0, O171 + P170, 0)</f>
        <v>0</v>
      </c>
      <c r="Q171" s="1">
        <v>0</v>
      </c>
      <c r="R171" s="1">
        <f>IF(Q171 + R170 &lt; 0, Q171 + R170, 0)</f>
        <v>0</v>
      </c>
      <c r="S171" s="1">
        <v>0</v>
      </c>
      <c r="T171" s="1">
        <f>IF(S171 + T170 &lt; 0, S171 + T170, 0)</f>
        <v>0</v>
      </c>
    </row>
    <row r="172" spans="1:20" s="1" customFormat="1">
      <c r="A172" s="3">
        <v>45181</v>
      </c>
      <c r="B172" s="2" t="s">
        <v>13</v>
      </c>
      <c r="C172" s="2">
        <v>4</v>
      </c>
      <c r="D172" s="2">
        <v>9</v>
      </c>
      <c r="E172" s="1">
        <v>42979.88136733323</v>
      </c>
      <c r="F172" s="1">
        <f>IF(E172 + F171 &lt; 0, E172 + F171, 0)</f>
        <v>0</v>
      </c>
      <c r="G172" s="1">
        <v>28909.06867241485</v>
      </c>
      <c r="H172" s="1">
        <f>IF(G172 + H171 &lt; 0, G172 + H171, 0)</f>
        <v>0</v>
      </c>
      <c r="I172" s="1">
        <v>28909.06867241485</v>
      </c>
      <c r="J172" s="1">
        <f>IF(I172 + J171 &lt; 0, I172 + J171, 0)</f>
        <v>0</v>
      </c>
      <c r="K172" s="1">
        <v>28909.06867241485</v>
      </c>
      <c r="L172" s="1">
        <f>IF(K172 + L171 &lt; 0, K172 + L171, 0)</f>
        <v>0</v>
      </c>
      <c r="M172" s="1">
        <v>0</v>
      </c>
      <c r="N172" s="1">
        <f>IF(M172 + N171 &lt; 0, M172 + N171, 0)</f>
        <v>0</v>
      </c>
      <c r="O172" s="1">
        <v>0</v>
      </c>
      <c r="P172" s="1">
        <f>IF(O172 + P171 &lt; 0, O172 + P171, 0)</f>
        <v>0</v>
      </c>
      <c r="Q172" s="1">
        <v>0</v>
      </c>
      <c r="R172" s="1">
        <f>IF(Q172 + R171 &lt; 0, Q172 + R171, 0)</f>
        <v>0</v>
      </c>
      <c r="S172" s="1">
        <v>0</v>
      </c>
      <c r="T172" s="1">
        <f>IF(S172 + T171 &lt; 0, S172 + T171, 0)</f>
        <v>0</v>
      </c>
    </row>
    <row r="173" spans="1:20" s="1" customFormat="1">
      <c r="A173" s="3">
        <v>45182</v>
      </c>
      <c r="B173" s="2" t="s">
        <v>14</v>
      </c>
      <c r="C173" s="2">
        <v>3</v>
      </c>
      <c r="D173" s="2">
        <v>8</v>
      </c>
      <c r="E173" s="1">
        <v>86800.8442635308</v>
      </c>
      <c r="F173" s="1">
        <f>IF(E173 + F172 &lt; 0, E173 + F172, 0)</f>
        <v>0</v>
      </c>
      <c r="G173" s="1">
        <v>120797.5275139454</v>
      </c>
      <c r="H173" s="1">
        <f>IF(G173 + H172 &lt; 0, G173 + H172, 0)</f>
        <v>0</v>
      </c>
      <c r="I173" s="1">
        <v>120797.5275139454</v>
      </c>
      <c r="J173" s="1">
        <f>IF(I173 + J172 &lt; 0, I173 + J172, 0)</f>
        <v>0</v>
      </c>
      <c r="K173" s="1">
        <v>120797.5275139454</v>
      </c>
      <c r="L173" s="1">
        <f>IF(K173 + L172 &lt; 0, K173 + L172, 0)</f>
        <v>0</v>
      </c>
      <c r="M173" s="1">
        <v>0</v>
      </c>
      <c r="N173" s="1">
        <f>IF(M173 + N172 &lt; 0, M173 + N172, 0)</f>
        <v>0</v>
      </c>
      <c r="O173" s="1">
        <v>0</v>
      </c>
      <c r="P173" s="1">
        <f>IF(O173 + P172 &lt; 0, O173 + P172, 0)</f>
        <v>0</v>
      </c>
      <c r="Q173" s="1">
        <v>0</v>
      </c>
      <c r="R173" s="1">
        <f>IF(Q173 + R172 &lt; 0, Q173 + R172, 0)</f>
        <v>0</v>
      </c>
      <c r="S173" s="1">
        <v>0</v>
      </c>
      <c r="T173" s="1">
        <f>IF(S173 + T172 &lt; 0, S173 + T172, 0)</f>
        <v>0</v>
      </c>
    </row>
    <row r="174" spans="1:20" s="1" customFormat="1">
      <c r="A174" s="3">
        <v>45183</v>
      </c>
      <c r="B174" s="2" t="s">
        <v>16</v>
      </c>
      <c r="C174" s="2">
        <v>2</v>
      </c>
      <c r="D174" s="2">
        <v>7</v>
      </c>
      <c r="E174" s="1">
        <v>157971.1019275437</v>
      </c>
      <c r="F174" s="1">
        <f>IF(E174 + F173 &lt; 0, E174 + F173, 0)</f>
        <v>0</v>
      </c>
      <c r="G174" s="1">
        <v>165439.9565623963</v>
      </c>
      <c r="H174" s="1">
        <f>IF(G174 + H173 &lt; 0, G174 + H173, 0)</f>
        <v>0</v>
      </c>
      <c r="I174" s="1">
        <v>165439.9565623963</v>
      </c>
      <c r="J174" s="1">
        <f>IF(I174 + J173 &lt; 0, I174 + J173, 0)</f>
        <v>0</v>
      </c>
      <c r="K174" s="1">
        <v>165439.9565623963</v>
      </c>
      <c r="L174" s="1">
        <f>IF(K174 + L173 &lt; 0, K174 + L173, 0)</f>
        <v>0</v>
      </c>
      <c r="M174" s="1">
        <v>0</v>
      </c>
      <c r="N174" s="1">
        <f>IF(M174 + N173 &lt; 0, M174 + N173, 0)</f>
        <v>0</v>
      </c>
      <c r="O174" s="1">
        <v>0</v>
      </c>
      <c r="P174" s="1">
        <f>IF(O174 + P173 &lt; 0, O174 + P173, 0)</f>
        <v>0</v>
      </c>
      <c r="Q174" s="1">
        <v>0</v>
      </c>
      <c r="R174" s="1">
        <f>IF(Q174 + R173 &lt; 0, Q174 + R173, 0)</f>
        <v>0</v>
      </c>
      <c r="S174" s="1">
        <v>0</v>
      </c>
      <c r="T174" s="1">
        <f>IF(S174 + T173 &lt; 0, S174 + T173, 0)</f>
        <v>0</v>
      </c>
    </row>
    <row r="175" spans="1:20" s="1" customFormat="1">
      <c r="A175" s="3">
        <v>45184</v>
      </c>
      <c r="B175" s="2" t="s">
        <v>15</v>
      </c>
      <c r="C175" s="2">
        <v>1</v>
      </c>
      <c r="D175" s="2">
        <v>6</v>
      </c>
      <c r="E175" s="1">
        <v>-27510.82697463394</v>
      </c>
      <c r="F175" s="1">
        <f>IF(E175 + F174 &lt; 0, E175 + F174, 0)</f>
        <v>0</v>
      </c>
      <c r="G175" s="1">
        <v>-82603.18769702148</v>
      </c>
      <c r="H175" s="1">
        <f>IF(G175 + H174 &lt; 0, G175 + H174, 0)</f>
        <v>0</v>
      </c>
      <c r="I175" s="1">
        <v>-91366.40839053706</v>
      </c>
      <c r="J175" s="1">
        <f>IF(I175 + J174 &lt; 0, I175 + J174, 0)</f>
        <v>0</v>
      </c>
      <c r="K175" s="1">
        <v>234253.0124031464</v>
      </c>
      <c r="L175" s="1">
        <f>IF(K175 + L174 &lt; 0, K175 + L174, 0)</f>
        <v>0</v>
      </c>
      <c r="M175" s="1">
        <v>81393.2002956393</v>
      </c>
      <c r="N175" s="1">
        <f>IF(M175 + N174 &lt; 0, M175 + N174, 0)</f>
        <v>0</v>
      </c>
      <c r="O175" s="1">
        <v>81393.2002956393</v>
      </c>
      <c r="P175" s="1">
        <f>IF(O175 + P174 &lt; 0, O175 + P174, 0)</f>
        <v>0</v>
      </c>
      <c r="Q175" s="1">
        <v>81393.2002956393</v>
      </c>
      <c r="R175" s="1">
        <f>IF(Q175 + R174 &lt; 0, Q175 + R174, 0)</f>
        <v>0</v>
      </c>
      <c r="S175" s="1">
        <v>81393.2002956393</v>
      </c>
      <c r="T175" s="1">
        <f>IF(S175 + T174 &lt; 0, S175 + T174, 0)</f>
        <v>0</v>
      </c>
    </row>
    <row r="176" spans="1:20" s="1" customFormat="1">
      <c r="A176" s="3">
        <v>45187</v>
      </c>
      <c r="B176" s="2" t="s">
        <v>12</v>
      </c>
      <c r="C176" s="2">
        <v>21</v>
      </c>
      <c r="D176" s="2">
        <v>5</v>
      </c>
      <c r="E176" s="1">
        <v>0</v>
      </c>
      <c r="F176" s="1">
        <f>IF(E176 + F175 &lt; 0, E176 + F175, 0)</f>
        <v>0</v>
      </c>
      <c r="G176" s="1">
        <v>0</v>
      </c>
      <c r="H176" s="1">
        <f>IF(G176 + H175 &lt; 0, G176 + H175, 0)</f>
        <v>0</v>
      </c>
      <c r="I176" s="1">
        <v>0</v>
      </c>
      <c r="J176" s="1">
        <f>IF(I176 + J175 &lt; 0, I176 + J175, 0)</f>
        <v>0</v>
      </c>
      <c r="K176" s="1">
        <v>0</v>
      </c>
      <c r="L176" s="1">
        <f>IF(K176 + L175 &lt; 0, K176 + L175, 0)</f>
        <v>0</v>
      </c>
      <c r="M176" s="1">
        <v>-11156.8293605751</v>
      </c>
      <c r="N176" s="1">
        <f>IF(M176 + N175 &lt; 0, M176 + N175, 0)</f>
        <v>0</v>
      </c>
      <c r="O176" s="1">
        <v>-1702.610669693528</v>
      </c>
      <c r="P176" s="1">
        <f>IF(O176 + P175 &lt; 0, O176 + P175, 0)</f>
        <v>0</v>
      </c>
      <c r="Q176" s="1">
        <v>-1702.610669693528</v>
      </c>
      <c r="R176" s="1">
        <f>IF(Q176 + R175 &lt; 0, Q176 + R175, 0)</f>
        <v>0</v>
      </c>
      <c r="S176" s="1">
        <v>-1702.610669693528</v>
      </c>
      <c r="T176" s="1">
        <f>IF(S176 + T175 &lt; 0, S176 + T175, 0)</f>
        <v>0</v>
      </c>
    </row>
    <row r="177" spans="1:20" s="1" customFormat="1">
      <c r="A177" s="3">
        <v>45188</v>
      </c>
      <c r="B177" s="2" t="s">
        <v>13</v>
      </c>
      <c r="C177" s="2">
        <v>20</v>
      </c>
      <c r="D177" s="2">
        <v>4</v>
      </c>
      <c r="E177" s="1">
        <v>0</v>
      </c>
      <c r="F177" s="1">
        <f>IF(E177 + F176 &lt; 0, E177 + F176, 0)</f>
        <v>0</v>
      </c>
      <c r="G177" s="1">
        <v>0</v>
      </c>
      <c r="H177" s="1">
        <f>IF(G177 + H176 &lt; 0, G177 + H176, 0)</f>
        <v>0</v>
      </c>
      <c r="I177" s="1">
        <v>0</v>
      </c>
      <c r="J177" s="1">
        <f>IF(I177 + J176 &lt; 0, I177 + J176, 0)</f>
        <v>0</v>
      </c>
      <c r="K177" s="1">
        <v>0</v>
      </c>
      <c r="L177" s="1">
        <f>IF(K177 + L176 &lt; 0, K177 + L176, 0)</f>
        <v>0</v>
      </c>
      <c r="M177" s="1">
        <v>-65234.375</v>
      </c>
      <c r="N177" s="1">
        <f>IF(M177 + N176 &lt; 0, M177 + N176, 0)</f>
        <v>0</v>
      </c>
      <c r="O177" s="1">
        <v>-137849.2647058824</v>
      </c>
      <c r="P177" s="1">
        <f>IF(O177 + P176 &lt; 0, O177 + P176, 0)</f>
        <v>0</v>
      </c>
      <c r="Q177" s="1">
        <v>-148046.875</v>
      </c>
      <c r="R177" s="1">
        <f>IF(Q177 + R176 &lt; 0, Q177 + R176, 0)</f>
        <v>0</v>
      </c>
      <c r="S177" s="1">
        <v>-148046.875</v>
      </c>
      <c r="T177" s="1">
        <f>IF(S177 + T176 &lt; 0, S177 + T176, 0)</f>
        <v>0</v>
      </c>
    </row>
    <row r="178" spans="1:20" s="1" customFormat="1">
      <c r="A178" s="3">
        <v>45189</v>
      </c>
      <c r="B178" s="2" t="s">
        <v>14</v>
      </c>
      <c r="C178" s="2">
        <v>19</v>
      </c>
      <c r="D178" s="2">
        <v>3</v>
      </c>
      <c r="E178" s="1">
        <v>0</v>
      </c>
      <c r="F178" s="1">
        <f>IF(E178 + F177 &lt; 0, E178 + F177, 0)</f>
        <v>0</v>
      </c>
      <c r="G178" s="1">
        <v>0</v>
      </c>
      <c r="H178" s="1">
        <f>IF(G178 + H177 &lt; 0, G178 + H177, 0)</f>
        <v>0</v>
      </c>
      <c r="I178" s="1">
        <v>0</v>
      </c>
      <c r="J178" s="1">
        <f>IF(I178 + J177 &lt; 0, I178 + J177, 0)</f>
        <v>0</v>
      </c>
      <c r="K178" s="1">
        <v>0</v>
      </c>
      <c r="L178" s="1">
        <f>IF(K178 + L177 &lt; 0, K178 + L177, 0)</f>
        <v>0</v>
      </c>
      <c r="M178" s="1">
        <v>42636.36363636364</v>
      </c>
      <c r="N178" s="1">
        <f>IF(M178 + N177 &lt; 0, M178 + N177, 0)</f>
        <v>0</v>
      </c>
      <c r="O178" s="1">
        <v>42636.36363636364</v>
      </c>
      <c r="P178" s="1">
        <f>IF(O178 + P177 &lt; 0, O178 + P177, 0)</f>
        <v>0</v>
      </c>
      <c r="Q178" s="1">
        <v>42636.36363636364</v>
      </c>
      <c r="R178" s="1">
        <f>IF(Q178 + R177 &lt; 0, Q178 + R177, 0)</f>
        <v>0</v>
      </c>
      <c r="S178" s="1">
        <v>42636.36363636364</v>
      </c>
      <c r="T178" s="1">
        <f>IF(S178 + T177 &lt; 0, S178 + T177, 0)</f>
        <v>0</v>
      </c>
    </row>
    <row r="179" spans="1:20" s="1" customFormat="1">
      <c r="A179" s="3">
        <v>45190</v>
      </c>
      <c r="B179" s="2" t="s">
        <v>16</v>
      </c>
      <c r="C179" s="2">
        <v>18</v>
      </c>
      <c r="D179" s="2">
        <v>2</v>
      </c>
      <c r="E179" s="1">
        <v>0</v>
      </c>
      <c r="F179" s="1">
        <f>IF(E179 + F178 &lt; 0, E179 + F178, 0)</f>
        <v>0</v>
      </c>
      <c r="G179" s="1">
        <v>0</v>
      </c>
      <c r="H179" s="1">
        <f>IF(G179 + H178 &lt; 0, G179 + H178, 0)</f>
        <v>0</v>
      </c>
      <c r="I179" s="1">
        <v>0</v>
      </c>
      <c r="J179" s="1">
        <f>IF(I179 + J178 &lt; 0, I179 + J178, 0)</f>
        <v>0</v>
      </c>
      <c r="K179" s="1">
        <v>0</v>
      </c>
      <c r="L179" s="1">
        <f>IF(K179 + L178 &lt; 0, K179 + L178, 0)</f>
        <v>0</v>
      </c>
      <c r="M179" s="1">
        <v>108692.2653958944</v>
      </c>
      <c r="N179" s="1">
        <f>IF(M179 + N178 &lt; 0, M179 + N178, 0)</f>
        <v>0</v>
      </c>
      <c r="O179" s="1">
        <v>108692.2653958944</v>
      </c>
      <c r="P179" s="1">
        <f>IF(O179 + P178 &lt; 0, O179 + P178, 0)</f>
        <v>0</v>
      </c>
      <c r="Q179" s="1">
        <v>108692.2653958944</v>
      </c>
      <c r="R179" s="1">
        <f>IF(Q179 + R178 &lt; 0, Q179 + R178, 0)</f>
        <v>0</v>
      </c>
      <c r="S179" s="1">
        <v>108692.2653958944</v>
      </c>
      <c r="T179" s="1">
        <f>IF(S179 + T178 &lt; 0, S179 + T178, 0)</f>
        <v>0</v>
      </c>
    </row>
    <row r="180" spans="1:20" s="1" customFormat="1">
      <c r="A180" s="3">
        <v>45191</v>
      </c>
      <c r="B180" s="2" t="s">
        <v>15</v>
      </c>
      <c r="C180" s="2">
        <v>17</v>
      </c>
      <c r="D180" s="2">
        <v>1</v>
      </c>
      <c r="E180" s="1">
        <v>0</v>
      </c>
      <c r="F180" s="1">
        <f>IF(E180 + F179 &lt; 0, E180 + F179, 0)</f>
        <v>0</v>
      </c>
      <c r="G180" s="1">
        <v>0</v>
      </c>
      <c r="H180" s="1">
        <f>IF(G180 + H179 &lt; 0, G180 + H179, 0)</f>
        <v>0</v>
      </c>
      <c r="I180" s="1">
        <v>0</v>
      </c>
      <c r="J180" s="1">
        <f>IF(I180 + J179 &lt; 0, I180 + J179, 0)</f>
        <v>0</v>
      </c>
      <c r="K180" s="1">
        <v>0</v>
      </c>
      <c r="L180" s="1">
        <f>IF(K180 + L179 &lt; 0, K180 + L179, 0)</f>
        <v>0</v>
      </c>
      <c r="M180" s="1">
        <v>93738.08616088447</v>
      </c>
      <c r="N180" s="1">
        <f>IF(M180 + N179 &lt; 0, M180 + N179, 0)</f>
        <v>0</v>
      </c>
      <c r="O180" s="1">
        <v>89468.16622188335</v>
      </c>
      <c r="P180" s="1">
        <f>IF(O180 + P179 &lt; 0, O180 + P179, 0)</f>
        <v>0</v>
      </c>
      <c r="Q180" s="1">
        <v>89468.16622188335</v>
      </c>
      <c r="R180" s="1">
        <f>IF(Q180 + R179 &lt; 0, Q180 + R179, 0)</f>
        <v>0</v>
      </c>
      <c r="S180" s="1">
        <v>89468.16622188335</v>
      </c>
      <c r="T180" s="1">
        <f>IF(S180 + T179 &lt; 0, S180 + T179, 0)</f>
        <v>0</v>
      </c>
    </row>
    <row r="181" spans="1:20" s="1" customFormat="1">
      <c r="A181" s="3">
        <v>45194</v>
      </c>
      <c r="B181" s="2" t="s">
        <v>12</v>
      </c>
      <c r="C181" s="2">
        <v>16</v>
      </c>
      <c r="D181" s="2">
        <v>21</v>
      </c>
      <c r="E181" s="1">
        <v>0</v>
      </c>
      <c r="F181" s="1">
        <f>IF(E181 + F180 &lt; 0, E181 + F180, 0)</f>
        <v>0</v>
      </c>
      <c r="G181" s="1">
        <v>0</v>
      </c>
      <c r="H181" s="1">
        <f>IF(G181 + H180 &lt; 0, G181 + H180, 0)</f>
        <v>0</v>
      </c>
      <c r="I181" s="1">
        <v>0</v>
      </c>
      <c r="J181" s="1">
        <f>IF(I181 + J180 &lt; 0, I181 + J180, 0)</f>
        <v>0</v>
      </c>
      <c r="K181" s="1">
        <v>0</v>
      </c>
      <c r="L181" s="1">
        <f>IF(K181 + L180 &lt; 0, K181 + L180, 0)</f>
        <v>0</v>
      </c>
      <c r="M181" s="1">
        <v>0</v>
      </c>
      <c r="N181" s="1">
        <f>IF(M181 + N180 &lt; 0, M181 + N180, 0)</f>
        <v>0</v>
      </c>
      <c r="O181" s="1">
        <v>0</v>
      </c>
      <c r="P181" s="1">
        <f>IF(O181 + P180 &lt; 0, O181 + P180, 0)</f>
        <v>0</v>
      </c>
      <c r="Q181" s="1">
        <v>0</v>
      </c>
      <c r="R181" s="1">
        <f>IF(Q181 + R180 &lt; 0, Q181 + R180, 0)</f>
        <v>0</v>
      </c>
      <c r="S181" s="1">
        <v>0</v>
      </c>
      <c r="T181" s="1">
        <f>IF(S181 + T180 &lt; 0, S181 + T180, 0)</f>
        <v>0</v>
      </c>
    </row>
    <row r="182" spans="1:20" s="1" customFormat="1">
      <c r="A182" s="3">
        <v>45195</v>
      </c>
      <c r="B182" s="2" t="s">
        <v>13</v>
      </c>
      <c r="C182" s="2">
        <v>15</v>
      </c>
      <c r="D182" s="2">
        <v>20</v>
      </c>
      <c r="E182" s="1">
        <v>0</v>
      </c>
      <c r="F182" s="1">
        <f>IF(E182 + F181 &lt; 0, E182 + F181, 0)</f>
        <v>0</v>
      </c>
      <c r="G182" s="1">
        <v>0</v>
      </c>
      <c r="H182" s="1">
        <f>IF(G182 + H181 &lt; 0, G182 + H181, 0)</f>
        <v>0</v>
      </c>
      <c r="I182" s="1">
        <v>0</v>
      </c>
      <c r="J182" s="1">
        <f>IF(I182 + J181 &lt; 0, I182 + J181, 0)</f>
        <v>0</v>
      </c>
      <c r="K182" s="1">
        <v>0</v>
      </c>
      <c r="L182" s="1">
        <f>IF(K182 + L181 &lt; 0, K182 + L181, 0)</f>
        <v>0</v>
      </c>
      <c r="M182" s="1">
        <v>0</v>
      </c>
      <c r="N182" s="1">
        <f>IF(M182 + N181 &lt; 0, M182 + N181, 0)</f>
        <v>0</v>
      </c>
      <c r="O182" s="1">
        <v>0</v>
      </c>
      <c r="P182" s="1">
        <f>IF(O182 + P181 &lt; 0, O182 + P181, 0)</f>
        <v>0</v>
      </c>
      <c r="Q182" s="1">
        <v>0</v>
      </c>
      <c r="R182" s="1">
        <f>IF(Q182 + R181 &lt; 0, Q182 + R181, 0)</f>
        <v>0</v>
      </c>
      <c r="S182" s="1">
        <v>0</v>
      </c>
      <c r="T182" s="1">
        <f>IF(S182 + T181 &lt; 0, S182 + T181, 0)</f>
        <v>0</v>
      </c>
    </row>
    <row r="183" spans="1:20" s="1" customFormat="1">
      <c r="A183" s="3">
        <v>45196</v>
      </c>
      <c r="B183" s="2" t="s">
        <v>14</v>
      </c>
      <c r="C183" s="2">
        <v>14</v>
      </c>
      <c r="D183" s="2">
        <v>19</v>
      </c>
      <c r="E183" s="1">
        <v>0</v>
      </c>
      <c r="F183" s="1">
        <f>IF(E183 + F182 &lt; 0, E183 + F182, 0)</f>
        <v>0</v>
      </c>
      <c r="G183" s="1">
        <v>0</v>
      </c>
      <c r="H183" s="1">
        <f>IF(G183 + H182 &lt; 0, G183 + H182, 0)</f>
        <v>0</v>
      </c>
      <c r="I183" s="1">
        <v>0</v>
      </c>
      <c r="J183" s="1">
        <f>IF(I183 + J182 &lt; 0, I183 + J182, 0)</f>
        <v>0</v>
      </c>
      <c r="K183" s="1">
        <v>0</v>
      </c>
      <c r="L183" s="1">
        <f>IF(K183 + L182 &lt; 0, K183 + L182, 0)</f>
        <v>0</v>
      </c>
      <c r="M183" s="1">
        <v>0</v>
      </c>
      <c r="N183" s="1">
        <f>IF(M183 + N182 &lt; 0, M183 + N182, 0)</f>
        <v>0</v>
      </c>
      <c r="O183" s="1">
        <v>0</v>
      </c>
      <c r="P183" s="1">
        <f>IF(O183 + P182 &lt; 0, O183 + P182, 0)</f>
        <v>0</v>
      </c>
      <c r="Q183" s="1">
        <v>0</v>
      </c>
      <c r="R183" s="1">
        <f>IF(Q183 + R182 &lt; 0, Q183 + R182, 0)</f>
        <v>0</v>
      </c>
      <c r="S183" s="1">
        <v>0</v>
      </c>
      <c r="T183" s="1">
        <f>IF(S183 + T182 &lt; 0, S183 + T182, 0)</f>
        <v>0</v>
      </c>
    </row>
    <row r="184" spans="1:20" s="1" customFormat="1">
      <c r="A184" s="3">
        <v>45197</v>
      </c>
      <c r="B184" s="2" t="s">
        <v>16</v>
      </c>
      <c r="C184" s="2">
        <v>13</v>
      </c>
      <c r="D184" s="2">
        <v>18</v>
      </c>
      <c r="E184" s="1">
        <v>0</v>
      </c>
      <c r="F184" s="1">
        <f>IF(E184 + F183 &lt; 0, E184 + F183, 0)</f>
        <v>0</v>
      </c>
      <c r="G184" s="1">
        <v>0</v>
      </c>
      <c r="H184" s="1">
        <f>IF(G184 + H183 &lt; 0, G184 + H183, 0)</f>
        <v>0</v>
      </c>
      <c r="I184" s="1">
        <v>0</v>
      </c>
      <c r="J184" s="1">
        <f>IF(I184 + J183 &lt; 0, I184 + J183, 0)</f>
        <v>0</v>
      </c>
      <c r="K184" s="1">
        <v>0</v>
      </c>
      <c r="L184" s="1">
        <f>IF(K184 + L183 &lt; 0, K184 + L183, 0)</f>
        <v>0</v>
      </c>
      <c r="M184" s="1">
        <v>0</v>
      </c>
      <c r="N184" s="1">
        <f>IF(M184 + N183 &lt; 0, M184 + N183, 0)</f>
        <v>0</v>
      </c>
      <c r="O184" s="1">
        <v>0</v>
      </c>
      <c r="P184" s="1">
        <f>IF(O184 + P183 &lt; 0, O184 + P183, 0)</f>
        <v>0</v>
      </c>
      <c r="Q184" s="1">
        <v>0</v>
      </c>
      <c r="R184" s="1">
        <f>IF(Q184 + R183 &lt; 0, Q184 + R183, 0)</f>
        <v>0</v>
      </c>
      <c r="S184" s="1">
        <v>0</v>
      </c>
      <c r="T184" s="1">
        <f>IF(S184 + T183 &lt; 0, S184 + T183, 0)</f>
        <v>0</v>
      </c>
    </row>
    <row r="185" spans="1:20" s="1" customFormat="1">
      <c r="A185" s="3">
        <v>45198</v>
      </c>
      <c r="B185" s="2" t="s">
        <v>15</v>
      </c>
      <c r="C185" s="2">
        <v>12</v>
      </c>
      <c r="D185" s="2">
        <v>17</v>
      </c>
      <c r="E185" s="1">
        <v>0</v>
      </c>
      <c r="F185" s="1">
        <f>IF(E185 + F184 &lt; 0, E185 + F184, 0)</f>
        <v>0</v>
      </c>
      <c r="G185" s="1">
        <v>0</v>
      </c>
      <c r="H185" s="1">
        <f>IF(G185 + H184 &lt; 0, G185 + H184, 0)</f>
        <v>0</v>
      </c>
      <c r="I185" s="1">
        <v>0</v>
      </c>
      <c r="J185" s="1">
        <f>IF(I185 + J184 &lt; 0, I185 + J184, 0)</f>
        <v>0</v>
      </c>
      <c r="K185" s="1">
        <v>0</v>
      </c>
      <c r="L185" s="1">
        <f>IF(K185 + L184 &lt; 0, K185 + L184, 0)</f>
        <v>0</v>
      </c>
      <c r="M185" s="1">
        <v>0</v>
      </c>
      <c r="N185" s="1">
        <f>IF(M185 + N184 &lt; 0, M185 + N184, 0)</f>
        <v>0</v>
      </c>
      <c r="O185" s="1">
        <v>0</v>
      </c>
      <c r="P185" s="1">
        <f>IF(O185 + P184 &lt; 0, O185 + P184, 0)</f>
        <v>0</v>
      </c>
      <c r="Q185" s="1">
        <v>0</v>
      </c>
      <c r="R185" s="1">
        <f>IF(Q185 + R184 &lt; 0, Q185 + R184, 0)</f>
        <v>0</v>
      </c>
      <c r="S185" s="1">
        <v>0</v>
      </c>
      <c r="T185" s="1">
        <f>IF(S185 + T184 &lt; 0, S185 + T184, 0)</f>
        <v>0</v>
      </c>
    </row>
    <row r="186" spans="1:20" s="1" customFormat="1">
      <c r="A186" s="3">
        <v>45202</v>
      </c>
      <c r="B186" s="2" t="s">
        <v>13</v>
      </c>
      <c r="C186" s="2">
        <v>11</v>
      </c>
      <c r="D186" s="2">
        <v>16</v>
      </c>
      <c r="E186" s="1">
        <v>0</v>
      </c>
      <c r="F186" s="1">
        <f>IF(E186 + F185 &lt; 0, E186 + F185, 0)</f>
        <v>0</v>
      </c>
      <c r="G186" s="1">
        <v>0</v>
      </c>
      <c r="H186" s="1">
        <f>IF(G186 + H185 &lt; 0, G186 + H185, 0)</f>
        <v>0</v>
      </c>
      <c r="I186" s="1">
        <v>0</v>
      </c>
      <c r="J186" s="1">
        <f>IF(I186 + J185 &lt; 0, I186 + J185, 0)</f>
        <v>0</v>
      </c>
      <c r="K186" s="1">
        <v>0</v>
      </c>
      <c r="L186" s="1">
        <f>IF(K186 + L185 &lt; 0, K186 + L185, 0)</f>
        <v>0</v>
      </c>
      <c r="M186" s="1">
        <v>0</v>
      </c>
      <c r="N186" s="1">
        <f>IF(M186 + N185 &lt; 0, M186 + N185, 0)</f>
        <v>0</v>
      </c>
      <c r="O186" s="1">
        <v>0</v>
      </c>
      <c r="P186" s="1">
        <f>IF(O186 + P185 &lt; 0, O186 + P185, 0)</f>
        <v>0</v>
      </c>
      <c r="Q186" s="1">
        <v>0</v>
      </c>
      <c r="R186" s="1">
        <f>IF(Q186 + R185 &lt; 0, Q186 + R185, 0)</f>
        <v>0</v>
      </c>
      <c r="S186" s="1">
        <v>0</v>
      </c>
      <c r="T186" s="1">
        <f>IF(S186 + T185 &lt; 0, S186 + T185, 0)</f>
        <v>0</v>
      </c>
    </row>
    <row r="187" spans="1:20" s="1" customFormat="1">
      <c r="A187" s="3">
        <v>45203</v>
      </c>
      <c r="B187" s="2" t="s">
        <v>14</v>
      </c>
      <c r="C187" s="2">
        <v>10</v>
      </c>
      <c r="D187" s="2">
        <v>15</v>
      </c>
      <c r="E187" s="1">
        <v>68778.22303298544</v>
      </c>
      <c r="F187" s="1">
        <f>IF(E187 + F186 &lt; 0, E187 + F186, 0)</f>
        <v>0</v>
      </c>
      <c r="G187" s="1">
        <v>-212102.6346481653</v>
      </c>
      <c r="H187" s="1">
        <f>IF(G187 + H186 &lt; 0, G187 + H186, 0)</f>
        <v>0</v>
      </c>
      <c r="I187" s="1">
        <v>-212102.6346481653</v>
      </c>
      <c r="J187" s="1">
        <f>IF(I187 + J186 &lt; 0, I187 + J186, 0)</f>
        <v>0</v>
      </c>
      <c r="K187" s="1">
        <v>-212102.6346481653</v>
      </c>
      <c r="L187" s="1">
        <f>IF(K187 + L186 &lt; 0, K187 + L186, 0)</f>
        <v>0</v>
      </c>
      <c r="M187" s="1">
        <v>0</v>
      </c>
      <c r="N187" s="1">
        <f>IF(M187 + N186 &lt; 0, M187 + N186, 0)</f>
        <v>0</v>
      </c>
      <c r="O187" s="1">
        <v>0</v>
      </c>
      <c r="P187" s="1">
        <f>IF(O187 + P186 &lt; 0, O187 + P186, 0)</f>
        <v>0</v>
      </c>
      <c r="Q187" s="1">
        <v>0</v>
      </c>
      <c r="R187" s="1">
        <f>IF(Q187 + R186 &lt; 0, Q187 + R186, 0)</f>
        <v>0</v>
      </c>
      <c r="S187" s="1">
        <v>0</v>
      </c>
      <c r="T187" s="1">
        <f>IF(S187 + T186 &lt; 0, S187 + T186, 0)</f>
        <v>0</v>
      </c>
    </row>
    <row r="188" spans="1:20" s="1" customFormat="1">
      <c r="A188" s="3">
        <v>45204</v>
      </c>
      <c r="B188" s="2" t="s">
        <v>16</v>
      </c>
      <c r="C188" s="2">
        <v>9</v>
      </c>
      <c r="D188" s="2">
        <v>14</v>
      </c>
      <c r="E188" s="1">
        <v>219782.2056004274</v>
      </c>
      <c r="F188" s="1">
        <f>IF(E188 + F187 &lt; 0, E188 + F187, 0)</f>
        <v>0</v>
      </c>
      <c r="G188" s="1">
        <v>219782.2056004274</v>
      </c>
      <c r="H188" s="1">
        <f>IF(G188 + H187 &lt; 0, G188 + H187, 0)</f>
        <v>0</v>
      </c>
      <c r="I188" s="1">
        <v>219782.2056004274</v>
      </c>
      <c r="J188" s="1">
        <f>IF(I188 + J187 &lt; 0, I188 + J187, 0)</f>
        <v>0</v>
      </c>
      <c r="K188" s="1">
        <v>219782.2056004274</v>
      </c>
      <c r="L188" s="1">
        <f>IF(K188 + L187 &lt; 0, K188 + L187, 0)</f>
        <v>0</v>
      </c>
      <c r="M188" s="1">
        <v>0</v>
      </c>
      <c r="N188" s="1">
        <f>IF(M188 + N187 &lt; 0, M188 + N187, 0)</f>
        <v>0</v>
      </c>
      <c r="O188" s="1">
        <v>0</v>
      </c>
      <c r="P188" s="1">
        <f>IF(O188 + P187 &lt; 0, O188 + P187, 0)</f>
        <v>0</v>
      </c>
      <c r="Q188" s="1">
        <v>0</v>
      </c>
      <c r="R188" s="1">
        <f>IF(Q188 + R187 &lt; 0, Q188 + R187, 0)</f>
        <v>0</v>
      </c>
      <c r="S188" s="1">
        <v>0</v>
      </c>
      <c r="T188" s="1">
        <f>IF(S188 + T187 &lt; 0, S188 + T187, 0)</f>
        <v>0</v>
      </c>
    </row>
    <row r="189" spans="1:20" s="1" customFormat="1">
      <c r="A189" s="3">
        <v>45205</v>
      </c>
      <c r="B189" s="2" t="s">
        <v>15</v>
      </c>
      <c r="C189" s="2">
        <v>8</v>
      </c>
      <c r="D189" s="2">
        <v>13</v>
      </c>
      <c r="E189" s="1">
        <v>126917.1284959402</v>
      </c>
      <c r="F189" s="1">
        <f>IF(E189 + F188 &lt; 0, E189 + F188, 0)</f>
        <v>0</v>
      </c>
      <c r="G189" s="1">
        <v>126917.1284959402</v>
      </c>
      <c r="H189" s="1">
        <f>IF(G189 + H188 &lt; 0, G189 + H188, 0)</f>
        <v>0</v>
      </c>
      <c r="I189" s="1">
        <v>126917.1284959402</v>
      </c>
      <c r="J189" s="1">
        <f>IF(I189 + J188 &lt; 0, I189 + J188, 0)</f>
        <v>0</v>
      </c>
      <c r="K189" s="1">
        <v>126917.1284959402</v>
      </c>
      <c r="L189" s="1">
        <f>IF(K189 + L188 &lt; 0, K189 + L188, 0)</f>
        <v>0</v>
      </c>
      <c r="M189" s="1">
        <v>0</v>
      </c>
      <c r="N189" s="1">
        <f>IF(M189 + N188 &lt; 0, M189 + N188, 0)</f>
        <v>0</v>
      </c>
      <c r="O189" s="1">
        <v>0</v>
      </c>
      <c r="P189" s="1">
        <f>IF(O189 + P188 &lt; 0, O189 + P188, 0)</f>
        <v>0</v>
      </c>
      <c r="Q189" s="1">
        <v>0</v>
      </c>
      <c r="R189" s="1">
        <f>IF(Q189 + R188 &lt; 0, Q189 + R188, 0)</f>
        <v>0</v>
      </c>
      <c r="S189" s="1">
        <v>0</v>
      </c>
      <c r="T189" s="1">
        <f>IF(S189 + T188 &lt; 0, S189 + T188, 0)</f>
        <v>0</v>
      </c>
    </row>
    <row r="190" spans="1:20" s="1" customFormat="1">
      <c r="A190" s="3">
        <v>45208</v>
      </c>
      <c r="B190" s="2" t="s">
        <v>12</v>
      </c>
      <c r="C190" s="2">
        <v>7</v>
      </c>
      <c r="D190" s="2">
        <v>12</v>
      </c>
      <c r="E190" s="1">
        <v>113629.3196962653</v>
      </c>
      <c r="F190" s="1">
        <f>IF(E190 + F189 &lt; 0, E190 + F189, 0)</f>
        <v>0</v>
      </c>
      <c r="G190" s="1">
        <v>113629.3196962653</v>
      </c>
      <c r="H190" s="1">
        <f>IF(G190 + H189 &lt; 0, G190 + H189, 0)</f>
        <v>0</v>
      </c>
      <c r="I190" s="1">
        <v>113629.3196962653</v>
      </c>
      <c r="J190" s="1">
        <f>IF(I190 + J189 &lt; 0, I190 + J189, 0)</f>
        <v>0</v>
      </c>
      <c r="K190" s="1">
        <v>113629.3196962653</v>
      </c>
      <c r="L190" s="1">
        <f>IF(K190 + L189 &lt; 0, K190 + L189, 0)</f>
        <v>0</v>
      </c>
      <c r="M190" s="1">
        <v>0</v>
      </c>
      <c r="N190" s="1">
        <f>IF(M190 + N189 &lt; 0, M190 + N189, 0)</f>
        <v>0</v>
      </c>
      <c r="O190" s="1">
        <v>0</v>
      </c>
      <c r="P190" s="1">
        <f>IF(O190 + P189 &lt; 0, O190 + P189, 0)</f>
        <v>0</v>
      </c>
      <c r="Q190" s="1">
        <v>0</v>
      </c>
      <c r="R190" s="1">
        <f>IF(Q190 + R189 &lt; 0, Q190 + R189, 0)</f>
        <v>0</v>
      </c>
      <c r="S190" s="1">
        <v>0</v>
      </c>
      <c r="T190" s="1">
        <f>IF(S190 + T189 &lt; 0, S190 + T189, 0)</f>
        <v>0</v>
      </c>
    </row>
    <row r="191" spans="1:20" s="1" customFormat="1">
      <c r="A191" s="3">
        <v>45209</v>
      </c>
      <c r="B191" s="2" t="s">
        <v>13</v>
      </c>
      <c r="C191" s="2">
        <v>6</v>
      </c>
      <c r="D191" s="2">
        <v>11</v>
      </c>
      <c r="E191" s="1">
        <v>95214.84374999999</v>
      </c>
      <c r="F191" s="1">
        <f>IF(E191 + F190 &lt; 0, E191 + F190, 0)</f>
        <v>0</v>
      </c>
      <c r="G191" s="1">
        <v>95214.84374999999</v>
      </c>
      <c r="H191" s="1">
        <f>IF(G191 + H190 &lt; 0, G191 + H190, 0)</f>
        <v>0</v>
      </c>
      <c r="I191" s="1">
        <v>95214.84374999999</v>
      </c>
      <c r="J191" s="1">
        <f>IF(I191 + J190 &lt; 0, I191 + J190, 0)</f>
        <v>0</v>
      </c>
      <c r="K191" s="1">
        <v>95214.84374999999</v>
      </c>
      <c r="L191" s="1">
        <f>IF(K191 + L190 &lt; 0, K191 + L190, 0)</f>
        <v>0</v>
      </c>
      <c r="M191" s="1">
        <v>0</v>
      </c>
      <c r="N191" s="1">
        <f>IF(M191 + N190 &lt; 0, M191 + N190, 0)</f>
        <v>0</v>
      </c>
      <c r="O191" s="1">
        <v>0</v>
      </c>
      <c r="P191" s="1">
        <f>IF(O191 + P190 &lt; 0, O191 + P190, 0)</f>
        <v>0</v>
      </c>
      <c r="Q191" s="1">
        <v>0</v>
      </c>
      <c r="R191" s="1">
        <f>IF(Q191 + R190 &lt; 0, Q191 + R190, 0)</f>
        <v>0</v>
      </c>
      <c r="S191" s="1">
        <v>0</v>
      </c>
      <c r="T191" s="1">
        <f>IF(S191 + T190 &lt; 0, S191 + T190, 0)</f>
        <v>0</v>
      </c>
    </row>
    <row r="192" spans="1:20" s="1" customFormat="1">
      <c r="A192" s="3">
        <v>45210</v>
      </c>
      <c r="B192" s="2" t="s">
        <v>14</v>
      </c>
      <c r="C192" s="2">
        <v>5</v>
      </c>
      <c r="D192" s="2">
        <v>10</v>
      </c>
      <c r="E192" s="1">
        <v>-51141.46416963317</v>
      </c>
      <c r="F192" s="1">
        <f>IF(E192 + F191 &lt; 0, E192 + F191, 0)</f>
        <v>0</v>
      </c>
      <c r="G192" s="1">
        <v>-38832.99798792756</v>
      </c>
      <c r="H192" s="1">
        <f>IF(G192 + H191 &lt; 0, G192 + H191, 0)</f>
        <v>0</v>
      </c>
      <c r="I192" s="1">
        <v>-38832.99798792756</v>
      </c>
      <c r="J192" s="1">
        <f>IF(I192 + J191 &lt; 0, I192 + J191, 0)</f>
        <v>0</v>
      </c>
      <c r="K192" s="1">
        <v>-38832.99798792756</v>
      </c>
      <c r="L192" s="1">
        <f>IF(K192 + L191 &lt; 0, K192 + L191, 0)</f>
        <v>0</v>
      </c>
      <c r="M192" s="1">
        <v>0</v>
      </c>
      <c r="N192" s="1">
        <f>IF(M192 + N191 &lt; 0, M192 + N191, 0)</f>
        <v>0</v>
      </c>
      <c r="O192" s="1">
        <v>0</v>
      </c>
      <c r="P192" s="1">
        <f>IF(O192 + P191 &lt; 0, O192 + P191, 0)</f>
        <v>0</v>
      </c>
      <c r="Q192" s="1">
        <v>0</v>
      </c>
      <c r="R192" s="1">
        <f>IF(Q192 + R191 &lt; 0, Q192 + R191, 0)</f>
        <v>0</v>
      </c>
      <c r="S192" s="1">
        <v>0</v>
      </c>
      <c r="T192" s="1">
        <f>IF(S192 + T191 &lt; 0, S192 + T191, 0)</f>
        <v>0</v>
      </c>
    </row>
    <row r="193" spans="1:20" s="1" customFormat="1">
      <c r="A193" s="3">
        <v>45211</v>
      </c>
      <c r="B193" s="2" t="s">
        <v>16</v>
      </c>
      <c r="C193" s="2">
        <v>4</v>
      </c>
      <c r="D193" s="2">
        <v>9</v>
      </c>
      <c r="E193" s="1">
        <v>156327.3385907546</v>
      </c>
      <c r="F193" s="1">
        <f>IF(E193 + F192 &lt; 0, E193 + F192, 0)</f>
        <v>0</v>
      </c>
      <c r="G193" s="1">
        <v>152401.1027761749</v>
      </c>
      <c r="H193" s="1">
        <f>IF(G193 + H192 &lt; 0, G193 + H192, 0)</f>
        <v>0</v>
      </c>
      <c r="I193" s="1">
        <v>152401.1027761749</v>
      </c>
      <c r="J193" s="1">
        <f>IF(I193 + J192 &lt; 0, I193 + J192, 0)</f>
        <v>0</v>
      </c>
      <c r="K193" s="1">
        <v>152401.1027761749</v>
      </c>
      <c r="L193" s="1">
        <f>IF(K193 + L192 &lt; 0, K193 + L192, 0)</f>
        <v>0</v>
      </c>
      <c r="M193" s="1">
        <v>0</v>
      </c>
      <c r="N193" s="1">
        <f>IF(M193 + N192 &lt; 0, M193 + N192, 0)</f>
        <v>0</v>
      </c>
      <c r="O193" s="1">
        <v>0</v>
      </c>
      <c r="P193" s="1">
        <f>IF(O193 + P192 &lt; 0, O193 + P192, 0)</f>
        <v>0</v>
      </c>
      <c r="Q193" s="1">
        <v>0</v>
      </c>
      <c r="R193" s="1">
        <f>IF(Q193 + R192 &lt; 0, Q193 + R192, 0)</f>
        <v>0</v>
      </c>
      <c r="S193" s="1">
        <v>0</v>
      </c>
      <c r="T193" s="1">
        <f>IF(S193 + T192 &lt; 0, S193 + T192, 0)</f>
        <v>0</v>
      </c>
    </row>
    <row r="194" spans="1:20" s="1" customFormat="1">
      <c r="A194" s="3">
        <v>45212</v>
      </c>
      <c r="B194" s="2" t="s">
        <v>15</v>
      </c>
      <c r="C194" s="2">
        <v>3</v>
      </c>
      <c r="D194" s="2">
        <v>8</v>
      </c>
      <c r="E194" s="1">
        <v>99186.66156836503</v>
      </c>
      <c r="F194" s="1">
        <f>IF(E194 + F193 &lt; 0, E194 + F193, 0)</f>
        <v>0</v>
      </c>
      <c r="G194" s="1">
        <v>111851.9580664691</v>
      </c>
      <c r="H194" s="1">
        <f>IF(G194 + H193 &lt; 0, G194 + H193, 0)</f>
        <v>0</v>
      </c>
      <c r="I194" s="1">
        <v>111851.9580664691</v>
      </c>
      <c r="J194" s="1">
        <f>IF(I194 + J193 &lt; 0, I194 + J193, 0)</f>
        <v>0</v>
      </c>
      <c r="K194" s="1">
        <v>111851.9580664691</v>
      </c>
      <c r="L194" s="1">
        <f>IF(K194 + L193 &lt; 0, K194 + L193, 0)</f>
        <v>0</v>
      </c>
      <c r="M194" s="1">
        <v>0</v>
      </c>
      <c r="N194" s="1">
        <f>IF(M194 + N193 &lt; 0, M194 + N193, 0)</f>
        <v>0</v>
      </c>
      <c r="O194" s="1">
        <v>0</v>
      </c>
      <c r="P194" s="1">
        <f>IF(O194 + P193 &lt; 0, O194 + P193, 0)</f>
        <v>0</v>
      </c>
      <c r="Q194" s="1">
        <v>0</v>
      </c>
      <c r="R194" s="1">
        <f>IF(Q194 + R193 &lt; 0, Q194 + R193, 0)</f>
        <v>0</v>
      </c>
      <c r="S194" s="1">
        <v>0</v>
      </c>
      <c r="T194" s="1">
        <f>IF(S194 + T193 &lt; 0, S194 + T193, 0)</f>
        <v>0</v>
      </c>
    </row>
    <row r="195" spans="1:20" s="1" customFormat="1">
      <c r="A195" s="3">
        <v>45215</v>
      </c>
      <c r="B195" s="2" t="s">
        <v>12</v>
      </c>
      <c r="C195" s="2">
        <v>2</v>
      </c>
      <c r="D195" s="2">
        <v>7</v>
      </c>
      <c r="E195" s="1">
        <v>-59354.5326559344</v>
      </c>
      <c r="F195" s="1">
        <f>IF(E195 + F194 &lt; 0, E195 + F194, 0)</f>
        <v>0</v>
      </c>
      <c r="G195" s="1">
        <v>143784.0484789129</v>
      </c>
      <c r="H195" s="1">
        <f>IF(G195 + H194 &lt; 0, G195 + H194, 0)</f>
        <v>0</v>
      </c>
      <c r="I195" s="1">
        <v>143784.0484789129</v>
      </c>
      <c r="J195" s="1">
        <f>IF(I195 + J194 &lt; 0, I195 + J194, 0)</f>
        <v>0</v>
      </c>
      <c r="K195" s="1">
        <v>143784.0484789129</v>
      </c>
      <c r="L195" s="1">
        <f>IF(K195 + L194 &lt; 0, K195 + L194, 0)</f>
        <v>0</v>
      </c>
      <c r="M195" s="1">
        <v>0</v>
      </c>
      <c r="N195" s="1">
        <f>IF(M195 + N194 &lt; 0, M195 + N194, 0)</f>
        <v>0</v>
      </c>
      <c r="O195" s="1">
        <v>0</v>
      </c>
      <c r="P195" s="1">
        <f>IF(O195 + P194 &lt; 0, O195 + P194, 0)</f>
        <v>0</v>
      </c>
      <c r="Q195" s="1">
        <v>0</v>
      </c>
      <c r="R195" s="1">
        <f>IF(Q195 + R194 &lt; 0, Q195 + R194, 0)</f>
        <v>0</v>
      </c>
      <c r="S195" s="1">
        <v>0</v>
      </c>
      <c r="T195" s="1">
        <f>IF(S195 + T194 &lt; 0, S195 + T194, 0)</f>
        <v>0</v>
      </c>
    </row>
    <row r="196" spans="1:20" s="1" customFormat="1">
      <c r="A196" s="3">
        <v>45216</v>
      </c>
      <c r="B196" s="2" t="s">
        <v>13</v>
      </c>
      <c r="C196" s="2">
        <v>1</v>
      </c>
      <c r="D196" s="2">
        <v>6</v>
      </c>
      <c r="E196" s="1">
        <v>70089.62946992331</v>
      </c>
      <c r="F196" s="1">
        <f>IF(E196 + F195 &lt; 0, E196 + F195, 0)</f>
        <v>0</v>
      </c>
      <c r="G196" s="1">
        <v>48295.19204114949</v>
      </c>
      <c r="H196" s="1">
        <f>IF(G196 + H195 &lt; 0, G196 + H195, 0)</f>
        <v>0</v>
      </c>
      <c r="I196" s="1">
        <v>249586.5032186528</v>
      </c>
      <c r="J196" s="1">
        <f>IF(I196 + J195 &lt; 0, I196 + J195, 0)</f>
        <v>0</v>
      </c>
      <c r="K196" s="1">
        <v>249586.5032186528</v>
      </c>
      <c r="L196" s="1">
        <f>IF(K196 + L195 &lt; 0, K196 + L195, 0)</f>
        <v>0</v>
      </c>
      <c r="M196" s="1">
        <v>62942.12218649518</v>
      </c>
      <c r="N196" s="1">
        <f>IF(M196 + N195 &lt; 0, M196 + N195, 0)</f>
        <v>0</v>
      </c>
      <c r="O196" s="1">
        <v>62942.12218649518</v>
      </c>
      <c r="P196" s="1">
        <f>IF(O196 + P195 &lt; 0, O196 + P195, 0)</f>
        <v>0</v>
      </c>
      <c r="Q196" s="1">
        <v>62942.12218649518</v>
      </c>
      <c r="R196" s="1">
        <f>IF(Q196 + R195 &lt; 0, Q196 + R195, 0)</f>
        <v>0</v>
      </c>
      <c r="S196" s="1">
        <v>62942.12218649518</v>
      </c>
      <c r="T196" s="1">
        <f>IF(S196 + T195 &lt; 0, S196 + T195, 0)</f>
        <v>0</v>
      </c>
    </row>
    <row r="197" spans="1:20" s="1" customFormat="1">
      <c r="A197" s="3">
        <v>45217</v>
      </c>
      <c r="B197" s="2" t="s">
        <v>14</v>
      </c>
      <c r="C197" s="2">
        <v>0</v>
      </c>
      <c r="D197" s="2">
        <v>5</v>
      </c>
      <c r="E197" s="1">
        <v>0</v>
      </c>
      <c r="F197" s="1">
        <f>IF(E197 + F196 &lt; 0, E197 + F196, 0)</f>
        <v>0</v>
      </c>
      <c r="G197" s="1">
        <v>0</v>
      </c>
      <c r="H197" s="1">
        <f>IF(G197 + H196 &lt; 0, G197 + H196, 0)</f>
        <v>0</v>
      </c>
      <c r="I197" s="1">
        <v>0</v>
      </c>
      <c r="J197" s="1">
        <f>IF(I197 + J196 &lt; 0, I197 + J196, 0)</f>
        <v>0</v>
      </c>
      <c r="K197" s="1">
        <v>0</v>
      </c>
      <c r="L197" s="1">
        <f>IF(K197 + L196 &lt; 0, K197 + L196, 0)</f>
        <v>0</v>
      </c>
      <c r="M197" s="1">
        <v>83846.40311082308</v>
      </c>
      <c r="N197" s="1">
        <f>IF(M197 + N196 &lt; 0, M197 + N196, 0)</f>
        <v>0</v>
      </c>
      <c r="O197" s="1">
        <v>83846.40311082308</v>
      </c>
      <c r="P197" s="1">
        <f>IF(O197 + P196 &lt; 0, O197 + P196, 0)</f>
        <v>0</v>
      </c>
      <c r="Q197" s="1">
        <v>83846.40311082308</v>
      </c>
      <c r="R197" s="1">
        <f>IF(Q197 + R196 &lt; 0, Q197 + R196, 0)</f>
        <v>0</v>
      </c>
      <c r="S197" s="1">
        <v>83846.40311082308</v>
      </c>
      <c r="T197" s="1">
        <f>IF(S197 + T196 &lt; 0, S197 + T196, 0)</f>
        <v>0</v>
      </c>
    </row>
    <row r="198" spans="1:20" s="1" customFormat="1">
      <c r="A198" s="3">
        <v>45218</v>
      </c>
      <c r="B198" s="2" t="s">
        <v>16</v>
      </c>
      <c r="C198" s="2">
        <v>0</v>
      </c>
      <c r="D198" s="2">
        <v>0</v>
      </c>
      <c r="E198" s="1">
        <v>0</v>
      </c>
      <c r="F198" s="1">
        <f>IF(E198 + F197 &lt; 0, E198 + F197, 0)</f>
        <v>0</v>
      </c>
      <c r="G198" s="1">
        <v>0</v>
      </c>
      <c r="H198" s="1">
        <f>IF(G198 + H197 &lt; 0, G198 + H197, 0)</f>
        <v>0</v>
      </c>
      <c r="I198" s="1">
        <v>0</v>
      </c>
      <c r="J198" s="1">
        <f>IF(I198 + J197 &lt; 0, I198 + J197, 0)</f>
        <v>0</v>
      </c>
      <c r="K198" s="1">
        <v>0</v>
      </c>
      <c r="L198" s="1">
        <f>IF(K198 + L197 &lt; 0, K198 + L197, 0)</f>
        <v>0</v>
      </c>
      <c r="M198" s="1">
        <v>0</v>
      </c>
      <c r="N198" s="1">
        <f>IF(M198 + N197 &lt; 0, M198 + N197, 0)</f>
        <v>0</v>
      </c>
      <c r="O198" s="1">
        <v>0</v>
      </c>
      <c r="P198" s="1">
        <f>IF(O198 + P197 &lt; 0, O198 + P197, 0)</f>
        <v>0</v>
      </c>
      <c r="Q198" s="1">
        <v>0</v>
      </c>
      <c r="R198" s="1">
        <f>IF(Q198 + R197 &lt; 0, Q198 + R197, 0)</f>
        <v>0</v>
      </c>
      <c r="S198" s="1">
        <v>0</v>
      </c>
      <c r="T198" s="1">
        <f>IF(S198 + T197 &lt; 0, S198 + T197, 0)</f>
        <v>0</v>
      </c>
    </row>
    <row r="199" spans="1:20" s="1" customFormat="1">
      <c r="A199" s="3">
        <v>45219</v>
      </c>
      <c r="B199" s="2" t="s">
        <v>15</v>
      </c>
      <c r="C199" s="2">
        <v>14</v>
      </c>
      <c r="D199" s="2">
        <v>3</v>
      </c>
      <c r="E199" s="1">
        <v>0</v>
      </c>
      <c r="F199" s="1">
        <f>IF(E199 + F198 &lt; 0, E199 + F198, 0)</f>
        <v>0</v>
      </c>
      <c r="G199" s="1">
        <v>0</v>
      </c>
      <c r="H199" s="1">
        <f>IF(G199 + H198 &lt; 0, G199 + H198, 0)</f>
        <v>0</v>
      </c>
      <c r="I199" s="1">
        <v>0</v>
      </c>
      <c r="J199" s="1">
        <f>IF(I199 + J198 &lt; 0, I199 + J198, 0)</f>
        <v>0</v>
      </c>
      <c r="K199" s="1">
        <v>0</v>
      </c>
      <c r="L199" s="1">
        <f>IF(K199 + L198 &lt; 0, K199 + L198, 0)</f>
        <v>0</v>
      </c>
      <c r="M199" s="1">
        <v>85544.21768707484</v>
      </c>
      <c r="N199" s="1">
        <f>IF(M199 + N198 &lt; 0, M199 + N198, 0)</f>
        <v>0</v>
      </c>
      <c r="O199" s="1">
        <v>85544.21768707484</v>
      </c>
      <c r="P199" s="1">
        <f>IF(O199 + P198 &lt; 0, O199 + P198, 0)</f>
        <v>0</v>
      </c>
      <c r="Q199" s="1">
        <v>85544.21768707484</v>
      </c>
      <c r="R199" s="1">
        <f>IF(Q199 + R198 &lt; 0, Q199 + R198, 0)</f>
        <v>0</v>
      </c>
      <c r="S199" s="1">
        <v>85544.21768707484</v>
      </c>
      <c r="T199" s="1">
        <f>IF(S199 + T198 &lt; 0, S199 + T198, 0)</f>
        <v>0</v>
      </c>
    </row>
    <row r="200" spans="1:20" s="1" customFormat="1">
      <c r="A200" s="3">
        <v>45222</v>
      </c>
      <c r="B200" s="2" t="s">
        <v>12</v>
      </c>
      <c r="C200" s="2">
        <v>13</v>
      </c>
      <c r="D200" s="2">
        <v>2</v>
      </c>
      <c r="E200" s="1">
        <v>0</v>
      </c>
      <c r="F200" s="1">
        <f>IF(E200 + F199 &lt; 0, E200 + F199, 0)</f>
        <v>0</v>
      </c>
      <c r="G200" s="1">
        <v>0</v>
      </c>
      <c r="H200" s="1">
        <f>IF(G200 + H199 &lt; 0, G200 + H199, 0)</f>
        <v>0</v>
      </c>
      <c r="I200" s="1">
        <v>0</v>
      </c>
      <c r="J200" s="1">
        <f>IF(I200 + J199 &lt; 0, I200 + J199, 0)</f>
        <v>0</v>
      </c>
      <c r="K200" s="1">
        <v>0</v>
      </c>
      <c r="L200" s="1">
        <f>IF(K200 + L199 &lt; 0, K200 + L199, 0)</f>
        <v>0</v>
      </c>
      <c r="M200" s="1">
        <v>54048.07358556057</v>
      </c>
      <c r="N200" s="1">
        <f>IF(M200 + N199 &lt; 0, M200 + N199, 0)</f>
        <v>0</v>
      </c>
      <c r="O200" s="1">
        <v>70982.29781325928</v>
      </c>
      <c r="P200" s="1">
        <f>IF(O200 + P199 &lt; 0, O200 + P199, 0)</f>
        <v>0</v>
      </c>
      <c r="Q200" s="1">
        <v>70982.29781325928</v>
      </c>
      <c r="R200" s="1">
        <f>IF(Q200 + R199 &lt; 0, Q200 + R199, 0)</f>
        <v>0</v>
      </c>
      <c r="S200" s="1">
        <v>70982.29781325928</v>
      </c>
      <c r="T200" s="1">
        <f>IF(S200 + T199 &lt; 0, S200 + T199, 0)</f>
        <v>0</v>
      </c>
    </row>
    <row r="201" spans="1:20" s="1" customFormat="1">
      <c r="A201" s="3">
        <v>45223</v>
      </c>
      <c r="B201" s="2" t="s">
        <v>13</v>
      </c>
      <c r="C201" s="2">
        <v>12</v>
      </c>
      <c r="D201" s="2">
        <v>1</v>
      </c>
      <c r="E201" s="1">
        <v>0</v>
      </c>
      <c r="F201" s="1">
        <f>IF(E201 + F200 &lt; 0, E201 + F200, 0)</f>
        <v>0</v>
      </c>
      <c r="G201" s="1">
        <v>0</v>
      </c>
      <c r="H201" s="1">
        <f>IF(G201 + H200 &lt; 0, G201 + H200, 0)</f>
        <v>0</v>
      </c>
      <c r="I201" s="1">
        <v>0</v>
      </c>
      <c r="J201" s="1">
        <f>IF(I201 + J200 &lt; 0, I201 + J200, 0)</f>
        <v>0</v>
      </c>
      <c r="K201" s="1">
        <v>0</v>
      </c>
      <c r="L201" s="1">
        <f>IF(K201 + L200 &lt; 0, K201 + L200, 0)</f>
        <v>0</v>
      </c>
      <c r="M201" s="1">
        <v>86567.29131175469</v>
      </c>
      <c r="N201" s="1">
        <f>IF(M201 + N200 &lt; 0, M201 + N200, 0)</f>
        <v>0</v>
      </c>
      <c r="O201" s="1">
        <v>91712.09540034071</v>
      </c>
      <c r="P201" s="1">
        <f>IF(O201 + P200 &lt; 0, O201 + P200, 0)</f>
        <v>0</v>
      </c>
      <c r="Q201" s="1">
        <v>94305.79216354343</v>
      </c>
      <c r="R201" s="1">
        <f>IF(Q201 + R200 &lt; 0, Q201 + R200, 0)</f>
        <v>0</v>
      </c>
      <c r="S201" s="1">
        <v>94305.79216354343</v>
      </c>
      <c r="T201" s="1">
        <f>IF(S201 + T200 &lt; 0, S201 + T200, 0)</f>
        <v>0</v>
      </c>
    </row>
    <row r="202" spans="1:20" s="1" customFormat="1">
      <c r="A202" s="3">
        <v>45224</v>
      </c>
      <c r="B202" s="2" t="s">
        <v>14</v>
      </c>
      <c r="C202" s="2">
        <v>11</v>
      </c>
      <c r="D202" s="2">
        <v>16</v>
      </c>
      <c r="E202" s="1">
        <v>0</v>
      </c>
      <c r="F202" s="1">
        <f>IF(E202 + F201 &lt; 0, E202 + F201, 0)</f>
        <v>0</v>
      </c>
      <c r="G202" s="1">
        <v>0</v>
      </c>
      <c r="H202" s="1">
        <f>IF(G202 + H201 &lt; 0, G202 + H201, 0)</f>
        <v>0</v>
      </c>
      <c r="I202" s="1">
        <v>0</v>
      </c>
      <c r="J202" s="1">
        <f>IF(I202 + J201 &lt; 0, I202 + J201, 0)</f>
        <v>0</v>
      </c>
      <c r="K202" s="1">
        <v>0</v>
      </c>
      <c r="L202" s="1">
        <f>IF(K202 + L201 &lt; 0, K202 + L201, 0)</f>
        <v>0</v>
      </c>
      <c r="M202" s="1">
        <v>0</v>
      </c>
      <c r="N202" s="1">
        <f>IF(M202 + N201 &lt; 0, M202 + N201, 0)</f>
        <v>0</v>
      </c>
      <c r="O202" s="1">
        <v>0</v>
      </c>
      <c r="P202" s="1">
        <f>IF(O202 + P201 &lt; 0, O202 + P201, 0)</f>
        <v>0</v>
      </c>
      <c r="Q202" s="1">
        <v>0</v>
      </c>
      <c r="R202" s="1">
        <f>IF(Q202 + R201 &lt; 0, Q202 + R201, 0)</f>
        <v>0</v>
      </c>
      <c r="S202" s="1">
        <v>0</v>
      </c>
      <c r="T202" s="1">
        <f>IF(S202 + T201 &lt; 0, S202 + T201, 0)</f>
        <v>0</v>
      </c>
    </row>
    <row r="203" spans="1:20" s="1" customFormat="1">
      <c r="A203" s="3">
        <v>45225</v>
      </c>
      <c r="B203" s="2" t="s">
        <v>16</v>
      </c>
      <c r="C203" s="2">
        <v>10</v>
      </c>
      <c r="D203" s="2">
        <v>15</v>
      </c>
      <c r="E203" s="1">
        <v>15108.34168336673</v>
      </c>
      <c r="F203" s="1">
        <f>IF(E203 + F202 &lt; 0, E203 + F202, 0)</f>
        <v>0</v>
      </c>
      <c r="G203" s="1">
        <v>15108.34168336673</v>
      </c>
      <c r="H203" s="1">
        <f>IF(G203 + H202 &lt; 0, G203 + H202, 0)</f>
        <v>0</v>
      </c>
      <c r="I203" s="1">
        <v>15108.34168336673</v>
      </c>
      <c r="J203" s="1">
        <f>IF(I203 + J202 &lt; 0, I203 + J202, 0)</f>
        <v>0</v>
      </c>
      <c r="K203" s="1">
        <v>15108.34168336673</v>
      </c>
      <c r="L203" s="1">
        <f>IF(K203 + L202 &lt; 0, K203 + L202, 0)</f>
        <v>0</v>
      </c>
      <c r="M203" s="1">
        <v>0</v>
      </c>
      <c r="N203" s="1">
        <f>IF(M203 + N202 &lt; 0, M203 + N202, 0)</f>
        <v>0</v>
      </c>
      <c r="O203" s="1">
        <v>0</v>
      </c>
      <c r="P203" s="1">
        <f>IF(O203 + P202 &lt; 0, O203 + P202, 0)</f>
        <v>0</v>
      </c>
      <c r="Q203" s="1">
        <v>0</v>
      </c>
      <c r="R203" s="1">
        <f>IF(Q203 + R202 &lt; 0, Q203 + R202, 0)</f>
        <v>0</v>
      </c>
      <c r="S203" s="1">
        <v>0</v>
      </c>
      <c r="T203" s="1">
        <f>IF(S203 + T202 &lt; 0, S203 + T202, 0)</f>
        <v>0</v>
      </c>
    </row>
    <row r="204" spans="1:20" s="1" customFormat="1">
      <c r="A204" s="3">
        <v>45229</v>
      </c>
      <c r="B204" s="2" t="s">
        <v>12</v>
      </c>
      <c r="C204" s="2">
        <v>9</v>
      </c>
      <c r="D204" s="2">
        <v>14</v>
      </c>
      <c r="E204" s="1">
        <v>-118440.2585119798</v>
      </c>
      <c r="F204" s="1">
        <f>IF(E204 + F203 &lt; 0, E204 + F203, 0)</f>
        <v>0</v>
      </c>
      <c r="G204" s="1">
        <v>-76355.61160151324</v>
      </c>
      <c r="H204" s="1">
        <f>IF(G204 + H203 &lt; 0, G204 + H203, 0)</f>
        <v>0</v>
      </c>
      <c r="I204" s="1">
        <v>-76355.61160151324</v>
      </c>
      <c r="J204" s="1">
        <f>IF(I204 + J203 &lt; 0, I204 + J203, 0)</f>
        <v>0</v>
      </c>
      <c r="K204" s="1">
        <v>-76355.61160151324</v>
      </c>
      <c r="L204" s="1">
        <f>IF(K204 + L203 &lt; 0, K204 + L203, 0)</f>
        <v>0</v>
      </c>
      <c r="M204" s="1">
        <v>0</v>
      </c>
      <c r="N204" s="1">
        <f>IF(M204 + N203 &lt; 0, M204 + N203, 0)</f>
        <v>0</v>
      </c>
      <c r="O204" s="1">
        <v>0</v>
      </c>
      <c r="P204" s="1">
        <f>IF(O204 + P203 &lt; 0, O204 + P203, 0)</f>
        <v>0</v>
      </c>
      <c r="Q204" s="1">
        <v>0</v>
      </c>
      <c r="R204" s="1">
        <f>IF(Q204 + R203 &lt; 0, Q204 + R203, 0)</f>
        <v>0</v>
      </c>
      <c r="S204" s="1">
        <v>0</v>
      </c>
      <c r="T204" s="1">
        <f>IF(S204 + T203 &lt; 0, S204 + T203, 0)</f>
        <v>0</v>
      </c>
    </row>
    <row r="205" spans="1:20" s="1" customFormat="1">
      <c r="A205" s="3">
        <v>45230</v>
      </c>
      <c r="B205" s="2" t="s">
        <v>13</v>
      </c>
      <c r="C205" s="2">
        <v>8</v>
      </c>
      <c r="D205" s="2">
        <v>13</v>
      </c>
      <c r="E205" s="1">
        <v>99974.13347128815</v>
      </c>
      <c r="F205" s="1">
        <f>IF(E205 + F204 &lt; 0, E205 + F204, 0)</f>
        <v>0</v>
      </c>
      <c r="G205" s="1">
        <v>99974.13347128815</v>
      </c>
      <c r="H205" s="1">
        <f>IF(G205 + H204 &lt; 0, G205 + H204, 0)</f>
        <v>0</v>
      </c>
      <c r="I205" s="1">
        <v>99974.13347128815</v>
      </c>
      <c r="J205" s="1">
        <f>IF(I205 + J204 &lt; 0, I205 + J204, 0)</f>
        <v>0</v>
      </c>
      <c r="K205" s="1">
        <v>99974.13347128815</v>
      </c>
      <c r="L205" s="1">
        <f>IF(K205 + L204 &lt; 0, K205 + L204, 0)</f>
        <v>0</v>
      </c>
      <c r="M205" s="1">
        <v>0</v>
      </c>
      <c r="N205" s="1">
        <f>IF(M205 + N204 &lt; 0, M205 + N204, 0)</f>
        <v>0</v>
      </c>
      <c r="O205" s="1">
        <v>0</v>
      </c>
      <c r="P205" s="1">
        <f>IF(O205 + P204 &lt; 0, O205 + P204, 0)</f>
        <v>0</v>
      </c>
      <c r="Q205" s="1">
        <v>0</v>
      </c>
      <c r="R205" s="1">
        <f>IF(Q205 + R204 &lt; 0, Q205 + R204, 0)</f>
        <v>0</v>
      </c>
      <c r="S205" s="1">
        <v>0</v>
      </c>
      <c r="T205" s="1">
        <f>IF(S205 + T204 &lt; 0, S205 + T204, 0)</f>
        <v>0</v>
      </c>
    </row>
    <row r="206" spans="1:20" s="1" customFormat="1">
      <c r="A206" s="3">
        <v>45231</v>
      </c>
      <c r="B206" s="2" t="s">
        <v>14</v>
      </c>
      <c r="C206" s="2">
        <v>7</v>
      </c>
      <c r="D206" s="2">
        <v>12</v>
      </c>
      <c r="E206" s="1">
        <v>0</v>
      </c>
      <c r="F206" s="1">
        <f>IF(E206 + F205 &lt; 0, E206 + F205, 0)</f>
        <v>0</v>
      </c>
      <c r="G206" s="1">
        <v>0</v>
      </c>
      <c r="H206" s="1">
        <f>IF(G206 + H205 &lt; 0, G206 + H205, 0)</f>
        <v>0</v>
      </c>
      <c r="I206" s="1">
        <v>0</v>
      </c>
      <c r="J206" s="1">
        <f>IF(I206 + J205 &lt; 0, I206 + J205, 0)</f>
        <v>0</v>
      </c>
      <c r="K206" s="1">
        <v>0</v>
      </c>
      <c r="L206" s="1">
        <f>IF(K206 + L205 &lt; 0, K206 + L205, 0)</f>
        <v>0</v>
      </c>
      <c r="M206" s="1">
        <v>0</v>
      </c>
      <c r="N206" s="1">
        <f>IF(M206 + N205 &lt; 0, M206 + N205, 0)</f>
        <v>0</v>
      </c>
      <c r="O206" s="1">
        <v>0</v>
      </c>
      <c r="P206" s="1">
        <f>IF(O206 + P205 &lt; 0, O206 + P205, 0)</f>
        <v>0</v>
      </c>
      <c r="Q206" s="1">
        <v>0</v>
      </c>
      <c r="R206" s="1">
        <f>IF(Q206 + R205 &lt; 0, Q206 + R205, 0)</f>
        <v>0</v>
      </c>
      <c r="S206" s="1">
        <v>0</v>
      </c>
      <c r="T206" s="1">
        <f>IF(S206 + T205 &lt; 0, S206 + T205, 0)</f>
        <v>0</v>
      </c>
    </row>
    <row r="207" spans="1:20" s="1" customFormat="1">
      <c r="A207" s="3">
        <v>45232</v>
      </c>
      <c r="B207" s="2" t="s">
        <v>16</v>
      </c>
      <c r="C207" s="2">
        <v>6</v>
      </c>
      <c r="D207" s="2">
        <v>11</v>
      </c>
      <c r="E207" s="1">
        <v>5381.444647997893</v>
      </c>
      <c r="F207" s="1">
        <f>IF(E207 + F206 &lt; 0, E207 + F206, 0)</f>
        <v>0</v>
      </c>
      <c r="G207" s="1">
        <v>5381.444647997893</v>
      </c>
      <c r="H207" s="1">
        <f>IF(G207 + H206 &lt; 0, G207 + H206, 0)</f>
        <v>0</v>
      </c>
      <c r="I207" s="1">
        <v>5381.444647997893</v>
      </c>
      <c r="J207" s="1">
        <f>IF(I207 + J206 &lt; 0, I207 + J206, 0)</f>
        <v>0</v>
      </c>
      <c r="K207" s="1">
        <v>5381.444647997893</v>
      </c>
      <c r="L207" s="1">
        <f>IF(K207 + L206 &lt; 0, K207 + L206, 0)</f>
        <v>0</v>
      </c>
      <c r="M207" s="1">
        <v>0</v>
      </c>
      <c r="N207" s="1">
        <f>IF(M207 + N206 &lt; 0, M207 + N206, 0)</f>
        <v>0</v>
      </c>
      <c r="O207" s="1">
        <v>0</v>
      </c>
      <c r="P207" s="1">
        <f>IF(O207 + P206 &lt; 0, O207 + P206, 0)</f>
        <v>0</v>
      </c>
      <c r="Q207" s="1">
        <v>0</v>
      </c>
      <c r="R207" s="1">
        <f>IF(Q207 + R206 &lt; 0, Q207 + R206, 0)</f>
        <v>0</v>
      </c>
      <c r="S207" s="1">
        <v>0</v>
      </c>
      <c r="T207" s="1">
        <f>IF(S207 + T206 &lt; 0, S207 + T206, 0)</f>
        <v>0</v>
      </c>
    </row>
    <row r="208" spans="1:20" s="1" customFormat="1">
      <c r="A208" s="3">
        <v>45233</v>
      </c>
      <c r="B208" s="2" t="s">
        <v>15</v>
      </c>
      <c r="C208" s="2">
        <v>5</v>
      </c>
      <c r="D208" s="2">
        <v>10</v>
      </c>
      <c r="E208" s="1">
        <v>0</v>
      </c>
      <c r="F208" s="1">
        <f>IF(E208 + F207 &lt; 0, E208 + F207, 0)</f>
        <v>0</v>
      </c>
      <c r="G208" s="1">
        <v>0</v>
      </c>
      <c r="H208" s="1">
        <f>IF(G208 + H207 &lt; 0, G208 + H207, 0)</f>
        <v>0</v>
      </c>
      <c r="I208" s="1">
        <v>0</v>
      </c>
      <c r="J208" s="1">
        <f>IF(I208 + J207 &lt; 0, I208 + J207, 0)</f>
        <v>0</v>
      </c>
      <c r="K208" s="1">
        <v>0</v>
      </c>
      <c r="L208" s="1">
        <f>IF(K208 + L207 &lt; 0, K208 + L207, 0)</f>
        <v>0</v>
      </c>
      <c r="M208" s="1">
        <v>0</v>
      </c>
      <c r="N208" s="1">
        <f>IF(M208 + N207 &lt; 0, M208 + N207, 0)</f>
        <v>0</v>
      </c>
      <c r="O208" s="1">
        <v>0</v>
      </c>
      <c r="P208" s="1">
        <f>IF(O208 + P207 &lt; 0, O208 + P207, 0)</f>
        <v>0</v>
      </c>
      <c r="Q208" s="1">
        <v>0</v>
      </c>
      <c r="R208" s="1">
        <f>IF(Q208 + R207 &lt; 0, Q208 + R207, 0)</f>
        <v>0</v>
      </c>
      <c r="S208" s="1">
        <v>0</v>
      </c>
      <c r="T208" s="1">
        <f>IF(S208 + T207 &lt; 0, S208 + T207, 0)</f>
        <v>0</v>
      </c>
    </row>
    <row r="209" spans="1:20" s="1" customFormat="1">
      <c r="A209" s="3">
        <v>45237</v>
      </c>
      <c r="B209" s="2" t="s">
        <v>13</v>
      </c>
      <c r="C209" s="2">
        <v>4</v>
      </c>
      <c r="D209" s="2">
        <v>9</v>
      </c>
      <c r="E209" s="1">
        <v>-50129.81643790309</v>
      </c>
      <c r="F209" s="1">
        <f>IF(E209 + F208 &lt; 0, E209 + F208, 0)</f>
        <v>0</v>
      </c>
      <c r="G209" s="1">
        <v>-85935.17446667769</v>
      </c>
      <c r="H209" s="1">
        <f>IF(G209 + H208 &lt; 0, G209 + H208, 0)</f>
        <v>0</v>
      </c>
      <c r="I209" s="1">
        <v>-85935.17446667769</v>
      </c>
      <c r="J209" s="1">
        <f>IF(I209 + J208 &lt; 0, I209 + J208, 0)</f>
        <v>0</v>
      </c>
      <c r="K209" s="1">
        <v>-85935.17446667769</v>
      </c>
      <c r="L209" s="1">
        <f>IF(K209 + L208 &lt; 0, K209 + L208, 0)</f>
        <v>0</v>
      </c>
      <c r="M209" s="1">
        <v>0</v>
      </c>
      <c r="N209" s="1">
        <f>IF(M209 + N208 &lt; 0, M209 + N208, 0)</f>
        <v>0</v>
      </c>
      <c r="O209" s="1">
        <v>0</v>
      </c>
      <c r="P209" s="1">
        <f>IF(O209 + P208 &lt; 0, O209 + P208, 0)</f>
        <v>0</v>
      </c>
      <c r="Q209" s="1">
        <v>0</v>
      </c>
      <c r="R209" s="1">
        <f>IF(Q209 + R208 &lt; 0, Q209 + R208, 0)</f>
        <v>0</v>
      </c>
      <c r="S209" s="1">
        <v>0</v>
      </c>
      <c r="T209" s="1">
        <f>IF(S209 + T208 &lt; 0, S209 + T208, 0)</f>
        <v>0</v>
      </c>
    </row>
    <row r="210" spans="1:20" s="1" customFormat="1">
      <c r="A210" s="3">
        <v>45239</v>
      </c>
      <c r="B210" s="2" t="s">
        <v>16</v>
      </c>
      <c r="C210" s="2">
        <v>3</v>
      </c>
      <c r="D210" s="2">
        <v>8</v>
      </c>
      <c r="E210" s="1">
        <v>142692.2941404461</v>
      </c>
      <c r="F210" s="1">
        <f>IF(E210 + F209 &lt; 0, E210 + F209, 0)</f>
        <v>0</v>
      </c>
      <c r="G210" s="1">
        <v>142692.2941404461</v>
      </c>
      <c r="H210" s="1">
        <f>IF(G210 + H209 &lt; 0, G210 + H209, 0)</f>
        <v>0</v>
      </c>
      <c r="I210" s="1">
        <v>142692.2941404461</v>
      </c>
      <c r="J210" s="1">
        <f>IF(I210 + J209 &lt; 0, I210 + J209, 0)</f>
        <v>0</v>
      </c>
      <c r="K210" s="1">
        <v>142692.2941404461</v>
      </c>
      <c r="L210" s="1">
        <f>IF(K210 + L209 &lt; 0, K210 + L209, 0)</f>
        <v>0</v>
      </c>
      <c r="M210" s="1">
        <v>0</v>
      </c>
      <c r="N210" s="1">
        <f>IF(M210 + N209 &lt; 0, M210 + N209, 0)</f>
        <v>0</v>
      </c>
      <c r="O210" s="1">
        <v>0</v>
      </c>
      <c r="P210" s="1">
        <f>IF(O210 + P209 &lt; 0, O210 + P209, 0)</f>
        <v>0</v>
      </c>
      <c r="Q210" s="1">
        <v>0</v>
      </c>
      <c r="R210" s="1">
        <f>IF(Q210 + R209 &lt; 0, Q210 + R209, 0)</f>
        <v>0</v>
      </c>
      <c r="S210" s="1">
        <v>0</v>
      </c>
      <c r="T210" s="1">
        <f>IF(S210 + T209 &lt; 0, S210 + T209, 0)</f>
        <v>0</v>
      </c>
    </row>
    <row r="211" spans="1:20" s="1" customFormat="1">
      <c r="A211" s="3">
        <v>45240</v>
      </c>
      <c r="B211" s="2" t="s">
        <v>15</v>
      </c>
      <c r="C211" s="2">
        <v>2</v>
      </c>
      <c r="D211" s="2">
        <v>7</v>
      </c>
      <c r="E211" s="1">
        <v>115577.2733641586</v>
      </c>
      <c r="F211" s="1">
        <f>IF(E211 + F210 &lt; 0, E211 + F210, 0)</f>
        <v>0</v>
      </c>
      <c r="G211" s="1">
        <v>115577.2733641586</v>
      </c>
      <c r="H211" s="1">
        <f>IF(G211 + H210 &lt; 0, G211 + H210, 0)</f>
        <v>0</v>
      </c>
      <c r="I211" s="1">
        <v>115577.2733641586</v>
      </c>
      <c r="J211" s="1">
        <f>IF(I211 + J210 &lt; 0, I211 + J210, 0)</f>
        <v>0</v>
      </c>
      <c r="K211" s="1">
        <v>115577.2733641586</v>
      </c>
      <c r="L211" s="1">
        <f>IF(K211 + L210 &lt; 0, K211 + L210, 0)</f>
        <v>0</v>
      </c>
      <c r="M211" s="1">
        <v>0</v>
      </c>
      <c r="N211" s="1">
        <f>IF(M211 + N210 &lt; 0, M211 + N210, 0)</f>
        <v>0</v>
      </c>
      <c r="O211" s="1">
        <v>0</v>
      </c>
      <c r="P211" s="1">
        <f>IF(O211 + P210 &lt; 0, O211 + P210, 0)</f>
        <v>0</v>
      </c>
      <c r="Q211" s="1">
        <v>0</v>
      </c>
      <c r="R211" s="1">
        <f>IF(Q211 + R210 &lt; 0, Q211 + R210, 0)</f>
        <v>0</v>
      </c>
      <c r="S211" s="1">
        <v>0</v>
      </c>
      <c r="T211" s="1">
        <f>IF(S211 + T210 &lt; 0, S211 + T210, 0)</f>
        <v>0</v>
      </c>
    </row>
    <row r="212" spans="1:20" s="1" customFormat="1">
      <c r="A212" s="3">
        <v>45242</v>
      </c>
      <c r="B212" s="2" t="s">
        <v>17</v>
      </c>
      <c r="C212" s="2">
        <v>1</v>
      </c>
      <c r="D212" s="2">
        <v>6</v>
      </c>
      <c r="E212" s="1">
        <v>46646.02683178534</v>
      </c>
      <c r="F212" s="1">
        <f>IF(E212 + F211 &lt; 0, E212 + F211, 0)</f>
        <v>0</v>
      </c>
      <c r="G212" s="1">
        <v>46646.02683178534</v>
      </c>
      <c r="H212" s="1">
        <f>IF(G212 + H211 &lt; 0, G212 + H211, 0)</f>
        <v>0</v>
      </c>
      <c r="I212" s="1">
        <v>46646.02683178534</v>
      </c>
      <c r="J212" s="1">
        <f>IF(I212 + J211 &lt; 0, I212 + J211, 0)</f>
        <v>0</v>
      </c>
      <c r="K212" s="1">
        <v>46646.02683178534</v>
      </c>
      <c r="L212" s="1">
        <f>IF(K212 + L211 &lt; 0, K212 + L211, 0)</f>
        <v>0</v>
      </c>
      <c r="M212" s="1">
        <v>42843.07288246881</v>
      </c>
      <c r="N212" s="1">
        <f>IF(M212 + N211 &lt; 0, M212 + N211, 0)</f>
        <v>0</v>
      </c>
      <c r="O212" s="1">
        <v>42843.07288246881</v>
      </c>
      <c r="P212" s="1">
        <f>IF(O212 + P211 &lt; 0, O212 + P211, 0)</f>
        <v>0</v>
      </c>
      <c r="Q212" s="1">
        <v>42843.07288246881</v>
      </c>
      <c r="R212" s="1">
        <f>IF(Q212 + R211 &lt; 0, Q212 + R211, 0)</f>
        <v>0</v>
      </c>
      <c r="S212" s="1">
        <v>42843.07288246881</v>
      </c>
      <c r="T212" s="1">
        <f>IF(S212 + T211 &lt; 0, S212 + T211, 0)</f>
        <v>0</v>
      </c>
    </row>
    <row r="213" spans="1:20" s="1" customFormat="1">
      <c r="A213" s="3">
        <v>45246</v>
      </c>
      <c r="B213" s="2" t="s">
        <v>16</v>
      </c>
      <c r="C213" s="2">
        <v>17</v>
      </c>
      <c r="D213" s="2">
        <v>5</v>
      </c>
      <c r="E213" s="1">
        <v>0</v>
      </c>
      <c r="F213" s="1">
        <f>IF(E213 + F212 &lt; 0, E213 + F212, 0)</f>
        <v>0</v>
      </c>
      <c r="G213" s="1">
        <v>0</v>
      </c>
      <c r="H213" s="1">
        <f>IF(G213 + H212 &lt; 0, G213 + H212, 0)</f>
        <v>0</v>
      </c>
      <c r="I213" s="1">
        <v>0</v>
      </c>
      <c r="J213" s="1">
        <f>IF(I213 + J212 &lt; 0, I213 + J212, 0)</f>
        <v>0</v>
      </c>
      <c r="K213" s="1">
        <v>0</v>
      </c>
      <c r="L213" s="1">
        <f>IF(K213 + L212 &lt; 0, K213 + L212, 0)</f>
        <v>0</v>
      </c>
      <c r="M213" s="1">
        <v>-148611.1111111111</v>
      </c>
      <c r="N213" s="1">
        <f>IF(M213 + N212 &lt; 0, M213 + N212, 0)</f>
        <v>0</v>
      </c>
      <c r="O213" s="1">
        <v>-192365.0568181818</v>
      </c>
      <c r="P213" s="1">
        <f>IF(O213 + P212 &lt; 0, O213 + P212, 0)</f>
        <v>0</v>
      </c>
      <c r="Q213" s="1">
        <v>-192365.0568181818</v>
      </c>
      <c r="R213" s="1">
        <f>IF(Q213 + R212 &lt; 0, Q213 + R212, 0)</f>
        <v>0</v>
      </c>
      <c r="S213" s="1">
        <v>-192365.0568181818</v>
      </c>
      <c r="T213" s="1">
        <f>IF(S213 + T212 &lt; 0, S213 + T212, 0)</f>
        <v>0</v>
      </c>
    </row>
    <row r="214" spans="1:20" s="1" customFormat="1">
      <c r="A214" s="3">
        <v>45247</v>
      </c>
      <c r="B214" s="2" t="s">
        <v>15</v>
      </c>
      <c r="C214" s="2">
        <v>16</v>
      </c>
      <c r="D214" s="2">
        <v>4</v>
      </c>
      <c r="E214" s="1">
        <v>0</v>
      </c>
      <c r="F214" s="1">
        <f>IF(E214 + F213 &lt; 0, E214 + F213, 0)</f>
        <v>0</v>
      </c>
      <c r="G214" s="1">
        <v>0</v>
      </c>
      <c r="H214" s="1">
        <f>IF(G214 + H213 &lt; 0, G214 + H213, 0)</f>
        <v>0</v>
      </c>
      <c r="I214" s="1">
        <v>0</v>
      </c>
      <c r="J214" s="1">
        <f>IF(I214 + J213 &lt; 0, I214 + J213, 0)</f>
        <v>0</v>
      </c>
      <c r="K214" s="1">
        <v>0</v>
      </c>
      <c r="L214" s="1">
        <f>IF(K214 + L213 &lt; 0, K214 + L213, 0)</f>
        <v>0</v>
      </c>
      <c r="M214" s="1">
        <v>-39952.32708468001</v>
      </c>
      <c r="N214" s="1">
        <f>IF(M214 + N213 &lt; 0, M214 + N213, 0)</f>
        <v>0</v>
      </c>
      <c r="O214" s="1">
        <v>-48816.25727213961</v>
      </c>
      <c r="P214" s="1">
        <f>IF(O214 + P213 &lt; 0, O214 + P213, 0)</f>
        <v>0</v>
      </c>
      <c r="Q214" s="1">
        <v>-49208.14479638008</v>
      </c>
      <c r="R214" s="1">
        <f>IF(Q214 + R213 &lt; 0, Q214 + R213, 0)</f>
        <v>0</v>
      </c>
      <c r="S214" s="1">
        <v>-49208.14479638008</v>
      </c>
      <c r="T214" s="1">
        <f>IF(S214 + T213 &lt; 0, S214 + T213, 0)</f>
        <v>0</v>
      </c>
    </row>
    <row r="215" spans="1:20" s="1" customFormat="1">
      <c r="A215" s="3">
        <v>45251</v>
      </c>
      <c r="B215" s="2" t="s">
        <v>13</v>
      </c>
      <c r="C215" s="2">
        <v>15</v>
      </c>
      <c r="D215" s="2">
        <v>3</v>
      </c>
      <c r="E215" s="1">
        <v>0</v>
      </c>
      <c r="F215" s="1">
        <f>IF(E215 + F214 &lt; 0, E215 + F214, 0)</f>
        <v>0</v>
      </c>
      <c r="G215" s="1">
        <v>0</v>
      </c>
      <c r="H215" s="1">
        <f>IF(G215 + H214 &lt; 0, G215 + H214, 0)</f>
        <v>0</v>
      </c>
      <c r="I215" s="1">
        <v>0</v>
      </c>
      <c r="J215" s="1">
        <f>IF(I215 + J214 &lt; 0, I215 + J214, 0)</f>
        <v>0</v>
      </c>
      <c r="K215" s="1">
        <v>0</v>
      </c>
      <c r="L215" s="1">
        <f>IF(K215 + L214 &lt; 0, K215 + L214, 0)</f>
        <v>0</v>
      </c>
      <c r="M215" s="1">
        <v>10114.10788381743</v>
      </c>
      <c r="N215" s="1">
        <f>IF(M215 + N214 &lt; 0, M215 + N214, 0)</f>
        <v>0</v>
      </c>
      <c r="O215" s="1">
        <v>10114.10788381743</v>
      </c>
      <c r="P215" s="1">
        <f>IF(O215 + P214 &lt; 0, O215 + P214, 0)</f>
        <v>0</v>
      </c>
      <c r="Q215" s="1">
        <v>10114.10788381743</v>
      </c>
      <c r="R215" s="1">
        <f>IF(Q215 + R214 &lt; 0, Q215 + R214, 0)</f>
        <v>0</v>
      </c>
      <c r="S215" s="1">
        <v>10114.10788381743</v>
      </c>
      <c r="T215" s="1">
        <f>IF(S215 + T214 &lt; 0, S215 + T214, 0)</f>
        <v>0</v>
      </c>
    </row>
    <row r="216" spans="1:20" s="1" customFormat="1">
      <c r="A216" s="3">
        <v>45252</v>
      </c>
      <c r="B216" s="2" t="s">
        <v>14</v>
      </c>
      <c r="C216" s="2">
        <v>14</v>
      </c>
      <c r="D216" s="2">
        <v>2</v>
      </c>
      <c r="E216" s="1">
        <v>0</v>
      </c>
      <c r="F216" s="1">
        <f>IF(E216 + F215 &lt; 0, E216 + F215, 0)</f>
        <v>0</v>
      </c>
      <c r="G216" s="1">
        <v>0</v>
      </c>
      <c r="H216" s="1">
        <f>IF(G216 + H215 &lt; 0, G216 + H215, 0)</f>
        <v>0</v>
      </c>
      <c r="I216" s="1">
        <v>0</v>
      </c>
      <c r="J216" s="1">
        <f>IF(I216 + J215 &lt; 0, I216 + J215, 0)</f>
        <v>0</v>
      </c>
      <c r="K216" s="1">
        <v>0</v>
      </c>
      <c r="L216" s="1">
        <f>IF(K216 + L215 &lt; 0, K216 + L215, 0)</f>
        <v>0</v>
      </c>
      <c r="M216" s="1">
        <v>87154.23669467786</v>
      </c>
      <c r="N216" s="1">
        <f>IF(M216 + N215 &lt; 0, M216 + N215, 0)</f>
        <v>0</v>
      </c>
      <c r="O216" s="1">
        <v>87154.23669467786</v>
      </c>
      <c r="P216" s="1">
        <f>IF(O216 + P215 &lt; 0, O216 + P215, 0)</f>
        <v>0</v>
      </c>
      <c r="Q216" s="1">
        <v>87154.23669467786</v>
      </c>
      <c r="R216" s="1">
        <f>IF(Q216 + R215 &lt; 0, Q216 + R215, 0)</f>
        <v>0</v>
      </c>
      <c r="S216" s="1">
        <v>87154.23669467786</v>
      </c>
      <c r="T216" s="1">
        <f>IF(S216 + T215 &lt; 0, S216 + T215, 0)</f>
        <v>0</v>
      </c>
    </row>
    <row r="217" spans="1:20" s="1" customFormat="1">
      <c r="A217" s="3">
        <v>45253</v>
      </c>
      <c r="B217" s="2" t="s">
        <v>16</v>
      </c>
      <c r="C217" s="2">
        <v>13</v>
      </c>
      <c r="D217" s="2">
        <v>1</v>
      </c>
      <c r="E217" s="1">
        <v>0</v>
      </c>
      <c r="F217" s="1">
        <f>IF(E217 + F216 &lt; 0, E217 + F216, 0)</f>
        <v>0</v>
      </c>
      <c r="G217" s="1">
        <v>0</v>
      </c>
      <c r="H217" s="1">
        <f>IF(G217 + H216 &lt; 0, G217 + H216, 0)</f>
        <v>0</v>
      </c>
      <c r="I217" s="1">
        <v>0</v>
      </c>
      <c r="J217" s="1">
        <f>IF(I217 + J216 &lt; 0, I217 + J216, 0)</f>
        <v>0</v>
      </c>
      <c r="K217" s="1">
        <v>0</v>
      </c>
      <c r="L217" s="1">
        <f>IF(K217 + L216 &lt; 0, K217 + L216, 0)</f>
        <v>0</v>
      </c>
      <c r="M217" s="1">
        <v>26197.50086775425</v>
      </c>
      <c r="N217" s="1">
        <f>IF(M217 + N216 &lt; 0, M217 + N216, 0)</f>
        <v>0</v>
      </c>
      <c r="O217" s="1">
        <v>45209.99652898299</v>
      </c>
      <c r="P217" s="1">
        <f>IF(O217 + P216 &lt; 0, O217 + P216, 0)</f>
        <v>0</v>
      </c>
      <c r="Q217" s="1">
        <v>45209.99652898299</v>
      </c>
      <c r="R217" s="1">
        <f>IF(Q217 + R216 &lt; 0, Q217 + R216, 0)</f>
        <v>0</v>
      </c>
      <c r="S217" s="1">
        <v>45209.99652898299</v>
      </c>
      <c r="T217" s="1">
        <f>IF(S217 + T216 &lt; 0, S217 + T216, 0)</f>
        <v>0</v>
      </c>
    </row>
    <row r="218" spans="1:20" s="1" customFormat="1">
      <c r="A218" s="3">
        <v>45254</v>
      </c>
      <c r="B218" s="2" t="s">
        <v>15</v>
      </c>
      <c r="C218" s="2">
        <v>12</v>
      </c>
      <c r="D218" s="2">
        <v>13</v>
      </c>
      <c r="E218" s="1">
        <v>0</v>
      </c>
      <c r="F218" s="1">
        <f>IF(E218 + F217 &lt; 0, E218 + F217, 0)</f>
        <v>0</v>
      </c>
      <c r="G218" s="1">
        <v>0</v>
      </c>
      <c r="H218" s="1">
        <f>IF(G218 + H217 &lt; 0, G218 + H217, 0)</f>
        <v>0</v>
      </c>
      <c r="I218" s="1">
        <v>0</v>
      </c>
      <c r="J218" s="1">
        <f>IF(I218 + J217 &lt; 0, I218 + J217, 0)</f>
        <v>0</v>
      </c>
      <c r="K218" s="1">
        <v>0</v>
      </c>
      <c r="L218" s="1">
        <f>IF(K218 + L217 &lt; 0, K218 + L217, 0)</f>
        <v>0</v>
      </c>
      <c r="M218" s="1">
        <v>0</v>
      </c>
      <c r="N218" s="1">
        <f>IF(M218 + N217 &lt; 0, M218 + N217, 0)</f>
        <v>0</v>
      </c>
      <c r="O218" s="1">
        <v>0</v>
      </c>
      <c r="P218" s="1">
        <f>IF(O218 + P217 &lt; 0, O218 + P217, 0)</f>
        <v>0</v>
      </c>
      <c r="Q218" s="1">
        <v>0</v>
      </c>
      <c r="R218" s="1">
        <f>IF(Q218 + R217 &lt; 0, Q218 + R217, 0)</f>
        <v>0</v>
      </c>
      <c r="S218" s="1">
        <v>0</v>
      </c>
      <c r="T218" s="1">
        <f>IF(S218 + T217 &lt; 0, S218 + T217, 0)</f>
        <v>0</v>
      </c>
    </row>
    <row r="219" spans="1:20" s="1" customFormat="1">
      <c r="A219" s="3">
        <v>45260</v>
      </c>
      <c r="B219" s="2" t="s">
        <v>16</v>
      </c>
      <c r="C219" s="2">
        <v>11</v>
      </c>
      <c r="D219" s="2">
        <v>12</v>
      </c>
      <c r="E219" s="1">
        <v>0</v>
      </c>
      <c r="F219" s="1">
        <f>IF(E219 + F218 &lt; 0, E219 + F218, 0)</f>
        <v>0</v>
      </c>
      <c r="G219" s="1">
        <v>0</v>
      </c>
      <c r="H219" s="1">
        <f>IF(G219 + H218 &lt; 0, G219 + H218, 0)</f>
        <v>0</v>
      </c>
      <c r="I219" s="1">
        <v>0</v>
      </c>
      <c r="J219" s="1">
        <f>IF(I219 + J218 &lt; 0, I219 + J218, 0)</f>
        <v>0</v>
      </c>
      <c r="K219" s="1">
        <v>0</v>
      </c>
      <c r="L219" s="1">
        <f>IF(K219 + L218 &lt; 0, K219 + L218, 0)</f>
        <v>0</v>
      </c>
      <c r="M219" s="1">
        <v>0</v>
      </c>
      <c r="N219" s="1">
        <f>IF(M219 + N218 &lt; 0, M219 + N218, 0)</f>
        <v>0</v>
      </c>
      <c r="O219" s="1">
        <v>0</v>
      </c>
      <c r="P219" s="1">
        <f>IF(O219 + P218 &lt; 0, O219 + P218, 0)</f>
        <v>0</v>
      </c>
      <c r="Q219" s="1">
        <v>0</v>
      </c>
      <c r="R219" s="1">
        <f>IF(Q219 + R218 &lt; 0, Q219 + R218, 0)</f>
        <v>0</v>
      </c>
      <c r="S219" s="1">
        <v>0</v>
      </c>
      <c r="T219" s="1">
        <f>IF(S219 + T218 &lt; 0, S219 + T218, 0)</f>
        <v>0</v>
      </c>
    </row>
    <row r="220" spans="1:20" s="1" customFormat="1">
      <c r="A220" s="3">
        <v>45261</v>
      </c>
      <c r="B220" s="2" t="s">
        <v>15</v>
      </c>
      <c r="C220" s="2">
        <v>10</v>
      </c>
      <c r="D220" s="2">
        <v>11</v>
      </c>
      <c r="E220" s="1">
        <v>112246.1527650903</v>
      </c>
      <c r="F220" s="1">
        <f>IF(E220 + F219 &lt; 0, E220 + F219, 0)</f>
        <v>0</v>
      </c>
      <c r="G220" s="1">
        <v>112246.1527650903</v>
      </c>
      <c r="H220" s="1">
        <f>IF(G220 + H219 &lt; 0, G220 + H219, 0)</f>
        <v>0</v>
      </c>
      <c r="I220" s="1">
        <v>112246.1527650903</v>
      </c>
      <c r="J220" s="1">
        <f>IF(I220 + J219 &lt; 0, I220 + J219, 0)</f>
        <v>0</v>
      </c>
      <c r="K220" s="1">
        <v>112246.1527650903</v>
      </c>
      <c r="L220" s="1">
        <f>IF(K220 + L219 &lt; 0, K220 + L219, 0)</f>
        <v>0</v>
      </c>
      <c r="M220" s="1">
        <v>0</v>
      </c>
      <c r="N220" s="1">
        <f>IF(M220 + N219 &lt; 0, M220 + N219, 0)</f>
        <v>0</v>
      </c>
      <c r="O220" s="1">
        <v>0</v>
      </c>
      <c r="P220" s="1">
        <f>IF(O220 + P219 &lt; 0, O220 + P219, 0)</f>
        <v>0</v>
      </c>
      <c r="Q220" s="1">
        <v>0</v>
      </c>
      <c r="R220" s="1">
        <f>IF(Q220 + R219 &lt; 0, Q220 + R219, 0)</f>
        <v>0</v>
      </c>
      <c r="S220" s="1">
        <v>0</v>
      </c>
      <c r="T220" s="1">
        <f>IF(S220 + T219 &lt; 0, S220 + T219, 0)</f>
        <v>0</v>
      </c>
    </row>
    <row r="221" spans="1:20" s="1" customFormat="1">
      <c r="A221" s="3">
        <v>45264</v>
      </c>
      <c r="B221" s="2" t="s">
        <v>12</v>
      </c>
      <c r="C221" s="2">
        <v>9</v>
      </c>
      <c r="D221" s="2">
        <v>10</v>
      </c>
      <c r="E221" s="1">
        <v>48313.9597653579</v>
      </c>
      <c r="F221" s="1">
        <f>IF(E221 + F220 &lt; 0, E221 + F220, 0)</f>
        <v>0</v>
      </c>
      <c r="G221" s="1">
        <v>48313.9597653579</v>
      </c>
      <c r="H221" s="1">
        <f>IF(G221 + H220 &lt; 0, G221 + H220, 0)</f>
        <v>0</v>
      </c>
      <c r="I221" s="1">
        <v>48313.9597653579</v>
      </c>
      <c r="J221" s="1">
        <f>IF(I221 + J220 &lt; 0, I221 + J220, 0)</f>
        <v>0</v>
      </c>
      <c r="K221" s="1">
        <v>48313.9597653579</v>
      </c>
      <c r="L221" s="1">
        <f>IF(K221 + L220 &lt; 0, K221 + L220, 0)</f>
        <v>0</v>
      </c>
      <c r="M221" s="1">
        <v>0</v>
      </c>
      <c r="N221" s="1">
        <f>IF(M221 + N220 &lt; 0, M221 + N220, 0)</f>
        <v>0</v>
      </c>
      <c r="O221" s="1">
        <v>0</v>
      </c>
      <c r="P221" s="1">
        <f>IF(O221 + P220 &lt; 0, O221 + P220, 0)</f>
        <v>0</v>
      </c>
      <c r="Q221" s="1">
        <v>0</v>
      </c>
      <c r="R221" s="1">
        <f>IF(Q221 + R220 &lt; 0, Q221 + R220, 0)</f>
        <v>0</v>
      </c>
      <c r="S221" s="1">
        <v>0</v>
      </c>
      <c r="T221" s="1">
        <f>IF(S221 + T220 &lt; 0, S221 + T220, 0)</f>
        <v>0</v>
      </c>
    </row>
    <row r="222" spans="1:20" s="1" customFormat="1">
      <c r="A222" s="3">
        <v>45265</v>
      </c>
      <c r="B222" s="2" t="s">
        <v>13</v>
      </c>
      <c r="C222" s="2">
        <v>8</v>
      </c>
      <c r="D222" s="2">
        <v>9</v>
      </c>
      <c r="E222" s="1">
        <v>93804.45832123148</v>
      </c>
      <c r="F222" s="1">
        <f>IF(E222 + F221 &lt; 0, E222 + F221, 0)</f>
        <v>0</v>
      </c>
      <c r="G222" s="1">
        <v>93804.45832123148</v>
      </c>
      <c r="H222" s="1">
        <f>IF(G222 + H221 &lt; 0, G222 + H221, 0)</f>
        <v>0</v>
      </c>
      <c r="I222" s="1">
        <v>93804.45832123148</v>
      </c>
      <c r="J222" s="1">
        <f>IF(I222 + J221 &lt; 0, I222 + J221, 0)</f>
        <v>0</v>
      </c>
      <c r="K222" s="1">
        <v>93804.45832123148</v>
      </c>
      <c r="L222" s="1">
        <f>IF(K222 + L221 &lt; 0, K222 + L221, 0)</f>
        <v>0</v>
      </c>
      <c r="M222" s="1">
        <v>0</v>
      </c>
      <c r="N222" s="1">
        <f>IF(M222 + N221 &lt; 0, M222 + N221, 0)</f>
        <v>0</v>
      </c>
      <c r="O222" s="1">
        <v>0</v>
      </c>
      <c r="P222" s="1">
        <f>IF(O222 + P221 &lt; 0, O222 + P221, 0)</f>
        <v>0</v>
      </c>
      <c r="Q222" s="1">
        <v>0</v>
      </c>
      <c r="R222" s="1">
        <f>IF(Q222 + R221 &lt; 0, Q222 + R221, 0)</f>
        <v>0</v>
      </c>
      <c r="S222" s="1">
        <v>0</v>
      </c>
      <c r="T222" s="1">
        <f>IF(S222 + T221 &lt; 0, S222 + T221, 0)</f>
        <v>0</v>
      </c>
    </row>
    <row r="223" spans="1:20" s="1" customFormat="1">
      <c r="A223" s="3">
        <v>45266</v>
      </c>
      <c r="B223" s="2" t="s">
        <v>14</v>
      </c>
      <c r="C223" s="2">
        <v>7</v>
      </c>
      <c r="D223" s="2">
        <v>8</v>
      </c>
      <c r="E223" s="1">
        <v>58604.78339019107</v>
      </c>
      <c r="F223" s="1">
        <f>IF(E223 + F222 &lt; 0, E223 + F222, 0)</f>
        <v>0</v>
      </c>
      <c r="G223" s="1">
        <v>-107658.3764352005</v>
      </c>
      <c r="H223" s="1">
        <f>IF(G223 + H222 &lt; 0, G223 + H222, 0)</f>
        <v>0</v>
      </c>
      <c r="I223" s="1">
        <v>-85745.20377095483</v>
      </c>
      <c r="J223" s="1">
        <f>IF(I223 + J222 &lt; 0, I223 + J222, 0)</f>
        <v>0</v>
      </c>
      <c r="K223" s="1">
        <v>-85745.20377095483</v>
      </c>
      <c r="L223" s="1">
        <f>IF(K223 + L222 &lt; 0, K223 + L222, 0)</f>
        <v>0</v>
      </c>
      <c r="M223" s="1">
        <v>0</v>
      </c>
      <c r="N223" s="1">
        <f>IF(M223 + N222 &lt; 0, M223 + N222, 0)</f>
        <v>0</v>
      </c>
      <c r="O223" s="1">
        <v>0</v>
      </c>
      <c r="P223" s="1">
        <f>IF(O223 + P222 &lt; 0, O223 + P222, 0)</f>
        <v>0</v>
      </c>
      <c r="Q223" s="1">
        <v>0</v>
      </c>
      <c r="R223" s="1">
        <f>IF(Q223 + R222 &lt; 0, Q223 + R222, 0)</f>
        <v>0</v>
      </c>
      <c r="S223" s="1">
        <v>0</v>
      </c>
      <c r="T223" s="1">
        <f>IF(S223 + T222 &lt; 0, S223 + T222, 0)</f>
        <v>0</v>
      </c>
    </row>
    <row r="224" spans="1:20" s="1" customFormat="1">
      <c r="A224" s="3">
        <v>45267</v>
      </c>
      <c r="B224" s="2" t="s">
        <v>16</v>
      </c>
      <c r="C224" s="2">
        <v>6</v>
      </c>
      <c r="D224" s="2">
        <v>7</v>
      </c>
      <c r="E224" s="1">
        <v>176543.3979510226</v>
      </c>
      <c r="F224" s="1">
        <f>IF(E224 + F223 &lt; 0, E224 + F223, 0)</f>
        <v>0</v>
      </c>
      <c r="G224" s="1">
        <v>176543.3979510226</v>
      </c>
      <c r="H224" s="1">
        <f>IF(G224 + H223 &lt; 0, G224 + H223, 0)</f>
        <v>0</v>
      </c>
      <c r="I224" s="1">
        <v>176543.3979510226</v>
      </c>
      <c r="J224" s="1">
        <f>IF(I224 + J223 &lt; 0, I224 + J223, 0)</f>
        <v>0</v>
      </c>
      <c r="K224" s="1">
        <v>176543.3979510226</v>
      </c>
      <c r="L224" s="1">
        <f>IF(K224 + L223 &lt; 0, K224 + L223, 0)</f>
        <v>0</v>
      </c>
      <c r="M224" s="1">
        <v>0</v>
      </c>
      <c r="N224" s="1">
        <f>IF(M224 + N223 &lt; 0, M224 + N223, 0)</f>
        <v>0</v>
      </c>
      <c r="O224" s="1">
        <v>0</v>
      </c>
      <c r="P224" s="1">
        <f>IF(O224 + P223 &lt; 0, O224 + P223, 0)</f>
        <v>0</v>
      </c>
      <c r="Q224" s="1">
        <v>0</v>
      </c>
      <c r="R224" s="1">
        <f>IF(Q224 + R223 &lt; 0, Q224 + R223, 0)</f>
        <v>0</v>
      </c>
      <c r="S224" s="1">
        <v>0</v>
      </c>
      <c r="T224" s="1">
        <f>IF(S224 + T223 &lt; 0, S224 + T223, 0)</f>
        <v>0</v>
      </c>
    </row>
    <row r="225" spans="1:20" s="1" customFormat="1">
      <c r="A225" s="3">
        <v>45268</v>
      </c>
      <c r="B225" s="2" t="s">
        <v>15</v>
      </c>
      <c r="C225" s="2">
        <v>5</v>
      </c>
      <c r="D225" s="2">
        <v>6</v>
      </c>
      <c r="E225" s="1">
        <v>57761.5213035424</v>
      </c>
      <c r="F225" s="1">
        <f>IF(E225 + F224 &lt; 0, E225 + F224, 0)</f>
        <v>0</v>
      </c>
      <c r="G225" s="1">
        <v>91310.34743487957</v>
      </c>
      <c r="H225" s="1">
        <f>IF(G225 + H224 &lt; 0, G225 + H224, 0)</f>
        <v>0</v>
      </c>
      <c r="I225" s="1">
        <v>91310.34743487957</v>
      </c>
      <c r="J225" s="1">
        <f>IF(I225 + J224 &lt; 0, I225 + J224, 0)</f>
        <v>0</v>
      </c>
      <c r="K225" s="1">
        <v>91310.34743487957</v>
      </c>
      <c r="L225" s="1">
        <f>IF(K225 + L224 &lt; 0, K225 + L224, 0)</f>
        <v>0</v>
      </c>
      <c r="M225" s="1">
        <v>1831.854994215194</v>
      </c>
      <c r="N225" s="1">
        <f>IF(M225 + N224 &lt; 0, M225 + N224, 0)</f>
        <v>0</v>
      </c>
      <c r="O225" s="1">
        <v>1831.854994215194</v>
      </c>
      <c r="P225" s="1">
        <f>IF(O225 + P224 &lt; 0, O225 + P224, 0)</f>
        <v>0</v>
      </c>
      <c r="Q225" s="1">
        <v>1831.854994215194</v>
      </c>
      <c r="R225" s="1">
        <f>IF(Q225 + R224 &lt; 0, Q225 + R224, 0)</f>
        <v>0</v>
      </c>
      <c r="S225" s="1">
        <v>1831.854994215194</v>
      </c>
      <c r="T225" s="1">
        <f>IF(S225 + T224 &lt; 0, S225 + T224, 0)</f>
        <v>0</v>
      </c>
    </row>
    <row r="226" spans="1:20" s="1" customFormat="1">
      <c r="A226" s="3">
        <v>45271</v>
      </c>
      <c r="B226" s="2" t="s">
        <v>12</v>
      </c>
      <c r="C226" s="2">
        <v>4</v>
      </c>
      <c r="D226" s="2">
        <v>5</v>
      </c>
      <c r="E226" s="1">
        <v>118882.9391640637</v>
      </c>
      <c r="F226" s="1">
        <f>IF(E226 + F225 &lt; 0, E226 + F225, 0)</f>
        <v>0</v>
      </c>
      <c r="G226" s="1">
        <v>118882.9391640637</v>
      </c>
      <c r="H226" s="1">
        <f>IF(G226 + H225 &lt; 0, G226 + H225, 0)</f>
        <v>0</v>
      </c>
      <c r="I226" s="1">
        <v>118882.9391640637</v>
      </c>
      <c r="J226" s="1">
        <f>IF(I226 + J225 &lt; 0, I226 + J225, 0)</f>
        <v>0</v>
      </c>
      <c r="K226" s="1">
        <v>118882.9391640637</v>
      </c>
      <c r="L226" s="1">
        <f>IF(K226 + L225 &lt; 0, K226 + L225, 0)</f>
        <v>0</v>
      </c>
      <c r="M226" s="1">
        <v>-158903.2061688312</v>
      </c>
      <c r="N226" s="1">
        <f>IF(M226 + N225 &lt; 0, M226 + N225, 0)</f>
        <v>0</v>
      </c>
      <c r="O226" s="1">
        <v>-158903.2061688312</v>
      </c>
      <c r="P226" s="1">
        <f>IF(O226 + P225 &lt; 0, O226 + P225, 0)</f>
        <v>0</v>
      </c>
      <c r="Q226" s="1">
        <v>-158903.2061688312</v>
      </c>
      <c r="R226" s="1">
        <f>IF(Q226 + R225 &lt; 0, Q226 + R225, 0)</f>
        <v>0</v>
      </c>
      <c r="S226" s="1">
        <v>-158903.2061688312</v>
      </c>
      <c r="T226" s="1">
        <f>IF(S226 + T225 &lt; 0, S226 + T225, 0)</f>
        <v>0</v>
      </c>
    </row>
    <row r="227" spans="1:20" s="1" customFormat="1">
      <c r="A227" s="3">
        <v>45272</v>
      </c>
      <c r="B227" s="2" t="s">
        <v>13</v>
      </c>
      <c r="C227" s="2">
        <v>3</v>
      </c>
      <c r="D227" s="2">
        <v>4</v>
      </c>
      <c r="E227" s="1">
        <v>151972.6816576844</v>
      </c>
      <c r="F227" s="1">
        <f>IF(E227 + F226 &lt; 0, E227 + F226, 0)</f>
        <v>0</v>
      </c>
      <c r="G227" s="1">
        <v>-53286.56383571829</v>
      </c>
      <c r="H227" s="1">
        <f>IF(G227 + H226 &lt; 0, G227 + H226, 0)</f>
        <v>0</v>
      </c>
      <c r="I227" s="1">
        <v>-333442.66864895</v>
      </c>
      <c r="J227" s="1">
        <f>IF(I227 + J226 &lt; 0, I227 + J226, 0)</f>
        <v>0</v>
      </c>
      <c r="K227" s="1">
        <v>-333442.66864895</v>
      </c>
      <c r="L227" s="1">
        <f>IF(K227 + L226 &lt; 0, K227 + L226, 0)</f>
        <v>0</v>
      </c>
      <c r="M227" s="1">
        <v>-115512.2950819671</v>
      </c>
      <c r="N227" s="1">
        <f>IF(M227 + N226 &lt; 0, M227 + N226, 0)</f>
        <v>0</v>
      </c>
      <c r="O227" s="1">
        <v>-115512.2950819671</v>
      </c>
      <c r="P227" s="1">
        <f>IF(O227 + P226 &lt; 0, O227 + P226, 0)</f>
        <v>0</v>
      </c>
      <c r="Q227" s="1">
        <v>-115512.2950819671</v>
      </c>
      <c r="R227" s="1">
        <f>IF(Q227 + R226 &lt; 0, Q227 + R226, 0)</f>
        <v>0</v>
      </c>
      <c r="S227" s="1">
        <v>-115512.2950819671</v>
      </c>
      <c r="T227" s="1">
        <f>IF(S227 + T226 &lt; 0, S227 + T226, 0)</f>
        <v>0</v>
      </c>
    </row>
    <row r="228" spans="1:20" s="1" customFormat="1">
      <c r="A228" s="3">
        <v>45273</v>
      </c>
      <c r="B228" s="2" t="s">
        <v>14</v>
      </c>
      <c r="C228" s="2">
        <v>2</v>
      </c>
      <c r="D228" s="2">
        <v>3</v>
      </c>
      <c r="E228" s="1">
        <v>155023.8677378042</v>
      </c>
      <c r="F228" s="1">
        <f>IF(E228 + F227 &lt; 0, E228 + F227, 0)</f>
        <v>0</v>
      </c>
      <c r="G228" s="1">
        <v>241180.5798113866</v>
      </c>
      <c r="H228" s="1">
        <f>IF(G228 + H227 &lt; 0, G228 + H227, 0)</f>
        <v>0</v>
      </c>
      <c r="I228" s="1">
        <v>241180.5798113866</v>
      </c>
      <c r="J228" s="1">
        <f>IF(I228 + J227 &lt; 0, I228 + J227, 0)</f>
        <v>0</v>
      </c>
      <c r="K228" s="1">
        <v>241180.5798113866</v>
      </c>
      <c r="L228" s="1">
        <f>IF(K228 + L227 &lt; 0, K228 + L227, 0)</f>
        <v>0</v>
      </c>
      <c r="M228" s="1">
        <v>41080.84358523726</v>
      </c>
      <c r="N228" s="1">
        <f>IF(M228 + N227 &lt; 0, M228 + N227, 0)</f>
        <v>0</v>
      </c>
      <c r="O228" s="1">
        <v>41080.84358523726</v>
      </c>
      <c r="P228" s="1">
        <f>IF(O228 + P227 &lt; 0, O228 + P227, 0)</f>
        <v>0</v>
      </c>
      <c r="Q228" s="1">
        <v>41080.84358523726</v>
      </c>
      <c r="R228" s="1">
        <f>IF(Q228 + R227 &lt; 0, Q228 + R227, 0)</f>
        <v>0</v>
      </c>
      <c r="S228" s="1">
        <v>41080.84358523726</v>
      </c>
      <c r="T228" s="1">
        <f>IF(S228 + T227 &lt; 0, S228 + T227, 0)</f>
        <v>0</v>
      </c>
    </row>
    <row r="229" spans="1:20" s="1" customFormat="1">
      <c r="A229" s="3">
        <v>45274</v>
      </c>
      <c r="B229" s="2" t="s">
        <v>16</v>
      </c>
      <c r="C229" s="2">
        <v>1</v>
      </c>
      <c r="D229" s="2">
        <v>2</v>
      </c>
      <c r="E229" s="1">
        <v>83159.72887067747</v>
      </c>
      <c r="F229" s="1">
        <f>IF(E229 + F228 &lt; 0, E229 + F228, 0)</f>
        <v>0</v>
      </c>
      <c r="G229" s="1">
        <v>30400.56676751044</v>
      </c>
      <c r="H229" s="1">
        <f>IF(G229 + H228 &lt; 0, G229 + H228, 0)</f>
        <v>0</v>
      </c>
      <c r="I229" s="1">
        <v>-112443.9934132424</v>
      </c>
      <c r="J229" s="1">
        <f>IF(I229 + J228 &lt; 0, I229 + J228, 0)</f>
        <v>0</v>
      </c>
      <c r="K229" s="1">
        <v>-194002.9870179604</v>
      </c>
      <c r="L229" s="1">
        <f>IF(K229 + L228 &lt; 0, K229 + L228, 0)</f>
        <v>0</v>
      </c>
      <c r="M229" s="1">
        <v>83717.59456013599</v>
      </c>
      <c r="N229" s="1">
        <f>IF(M229 + N228 &lt; 0, M229 + N228, 0)</f>
        <v>0</v>
      </c>
      <c r="O229" s="1">
        <v>83717.59456013599</v>
      </c>
      <c r="P229" s="1">
        <f>IF(O229 + P228 &lt; 0, O229 + P228, 0)</f>
        <v>0</v>
      </c>
      <c r="Q229" s="1">
        <v>83717.59456013599</v>
      </c>
      <c r="R229" s="1">
        <f>IF(Q229 + R228 &lt; 0, Q229 + R228, 0)</f>
        <v>0</v>
      </c>
      <c r="S229" s="1">
        <v>83717.59456013599</v>
      </c>
      <c r="T229" s="1">
        <f>IF(S229 + T228 &lt; 0, S229 + T228, 0)</f>
        <v>0</v>
      </c>
    </row>
    <row r="230" spans="1:20" s="1" customFormat="1">
      <c r="A230" s="3">
        <v>45275</v>
      </c>
      <c r="B230" s="2" t="s">
        <v>15</v>
      </c>
      <c r="C230" s="2">
        <v>5</v>
      </c>
      <c r="D230" s="2">
        <v>1</v>
      </c>
      <c r="E230" s="1">
        <v>-25773.95941342024</v>
      </c>
      <c r="F230" s="1">
        <f>IF(E230 + F229 &lt; 0, E230 + F229, 0)</f>
        <v>0</v>
      </c>
      <c r="G230" s="1">
        <v>-25773.95941342024</v>
      </c>
      <c r="H230" s="1">
        <f>IF(G230 + H229 &lt; 0, G230 + H229, 0)</f>
        <v>0</v>
      </c>
      <c r="I230" s="1">
        <v>-25773.95941342024</v>
      </c>
      <c r="J230" s="1">
        <f>IF(I230 + J229 &lt; 0, I230 + J229, 0)</f>
        <v>0</v>
      </c>
      <c r="K230" s="1">
        <v>-25773.95941342024</v>
      </c>
      <c r="L230" s="1">
        <f>IF(K230 + L229 &lt; 0, K230 + L229, 0)</f>
        <v>0</v>
      </c>
      <c r="M230" s="1">
        <v>-28565.55692560624</v>
      </c>
      <c r="N230" s="1">
        <f>IF(M230 + N229 &lt; 0, M230 + N229, 0)</f>
        <v>0</v>
      </c>
      <c r="O230" s="1">
        <v>-28565.55692560624</v>
      </c>
      <c r="P230" s="1">
        <f>IF(O230 + P229 &lt; 0, O230 + P229, 0)</f>
        <v>0</v>
      </c>
      <c r="Q230" s="1">
        <v>-28565.55692560624</v>
      </c>
      <c r="R230" s="1">
        <f>IF(Q230 + R229 &lt; 0, Q230 + R229, 0)</f>
        <v>0</v>
      </c>
      <c r="S230" s="1">
        <v>-28565.55692560624</v>
      </c>
      <c r="T230" s="1">
        <f>IF(S230 + T229 &lt; 0, S230 + T229, 0)</f>
        <v>0</v>
      </c>
    </row>
    <row r="231" spans="1:20" s="1" customFormat="1">
      <c r="A231" s="3">
        <v>45292</v>
      </c>
      <c r="B231" s="2" t="s">
        <v>12</v>
      </c>
      <c r="C231" s="2">
        <v>4</v>
      </c>
      <c r="D231" s="2">
        <v>5</v>
      </c>
      <c r="E231" s="1">
        <v>-9211.502782931355</v>
      </c>
      <c r="F231" s="1">
        <f>IF(E231 + F230 &lt; 0, E231 + F230, 0)</f>
        <v>0</v>
      </c>
      <c r="G231" s="1">
        <v>-9211.502782931355</v>
      </c>
      <c r="H231" s="1">
        <f>IF(G231 + H230 &lt; 0, G231 + H230, 0)</f>
        <v>0</v>
      </c>
      <c r="I231" s="1">
        <v>-9211.502782931355</v>
      </c>
      <c r="J231" s="1">
        <f>IF(I231 + J230 &lt; 0, I231 + J230, 0)</f>
        <v>0</v>
      </c>
      <c r="K231" s="1">
        <v>-9211.502782931355</v>
      </c>
      <c r="L231" s="1">
        <f>IF(K231 + L230 &lt; 0, K231 + L230, 0)</f>
        <v>0</v>
      </c>
      <c r="M231" s="1">
        <v>-9687.623566627126</v>
      </c>
      <c r="N231" s="1">
        <f>IF(M231 + N230 &lt; 0, M231 + N230, 0)</f>
        <v>0</v>
      </c>
      <c r="O231" s="1">
        <v>-9687.623566627126</v>
      </c>
      <c r="P231" s="1">
        <f>IF(O231 + P230 &lt; 0, O231 + P230, 0)</f>
        <v>0</v>
      </c>
      <c r="Q231" s="1">
        <v>-9687.623566627126</v>
      </c>
      <c r="R231" s="1">
        <f>IF(Q231 + R230 &lt; 0, Q231 + R230, 0)</f>
        <v>0</v>
      </c>
      <c r="S231" s="1">
        <v>-9687.623566627126</v>
      </c>
      <c r="T231" s="1">
        <f>IF(S231 + T230 &lt; 0, S231 + T230, 0)</f>
        <v>0</v>
      </c>
    </row>
    <row r="232" spans="1:20" s="1" customFormat="1">
      <c r="A232" s="3">
        <v>45293</v>
      </c>
      <c r="B232" s="2" t="s">
        <v>13</v>
      </c>
      <c r="C232" s="2">
        <v>3</v>
      </c>
      <c r="D232" s="2">
        <v>4</v>
      </c>
      <c r="E232" s="1">
        <v>-10521.59261565517</v>
      </c>
      <c r="F232" s="1">
        <f>IF(E232 + F231 &lt; 0, E232 + F231, 0)</f>
        <v>0</v>
      </c>
      <c r="G232" s="1">
        <v>-307772.6090619391</v>
      </c>
      <c r="H232" s="1">
        <f>IF(G232 + H231 &lt; 0, G232 + H231, 0)</f>
        <v>0</v>
      </c>
      <c r="I232" s="1">
        <v>-307772.6090619391</v>
      </c>
      <c r="J232" s="1">
        <f>IF(I232 + J231 &lt; 0, I232 + J231, 0)</f>
        <v>0</v>
      </c>
      <c r="K232" s="1">
        <v>-307772.6090619391</v>
      </c>
      <c r="L232" s="1">
        <f>IF(K232 + L231 &lt; 0, K232 + L231, 0)</f>
        <v>0</v>
      </c>
      <c r="M232" s="1">
        <v>-9622.641509433963</v>
      </c>
      <c r="N232" s="1">
        <f>IF(M232 + N231 &lt; 0, M232 + N231, 0)</f>
        <v>0</v>
      </c>
      <c r="O232" s="1">
        <v>-9622.641509433963</v>
      </c>
      <c r="P232" s="1">
        <f>IF(O232 + P231 &lt; 0, O232 + P231, 0)</f>
        <v>0</v>
      </c>
      <c r="Q232" s="1">
        <v>-9622.641509433963</v>
      </c>
      <c r="R232" s="1">
        <f>IF(Q232 + R231 &lt; 0, Q232 + R231, 0)</f>
        <v>0</v>
      </c>
      <c r="S232" s="1">
        <v>-9622.641509433963</v>
      </c>
      <c r="T232" s="1">
        <f>IF(S232 + T231 &lt; 0, S232 + T231, 0)</f>
        <v>0</v>
      </c>
    </row>
    <row r="233" spans="1:20" s="1" customFormat="1">
      <c r="A233" s="3">
        <v>45294</v>
      </c>
      <c r="B233" s="2" t="s">
        <v>14</v>
      </c>
      <c r="C233" s="2">
        <v>2</v>
      </c>
      <c r="D233" s="2">
        <v>3</v>
      </c>
      <c r="E233" s="1">
        <v>33423.03044036558</v>
      </c>
      <c r="F233" s="1">
        <f>IF(E233 + F232 &lt; 0, E233 + F232, 0)</f>
        <v>0</v>
      </c>
      <c r="G233" s="1">
        <v>-78650.20016617569</v>
      </c>
      <c r="H233" s="1">
        <f>IF(G233 + H232 &lt; 0, G233 + H232, 0)</f>
        <v>0</v>
      </c>
      <c r="I233" s="1">
        <v>-78650.20016617569</v>
      </c>
      <c r="J233" s="1">
        <f>IF(I233 + J232 &lt; 0, I233 + J232, 0)</f>
        <v>0</v>
      </c>
      <c r="K233" s="1">
        <v>-78650.20016617569</v>
      </c>
      <c r="L233" s="1">
        <f>IF(K233 + L232 &lt; 0, K233 + L232, 0)</f>
        <v>0</v>
      </c>
      <c r="M233" s="1">
        <v>-68655.85168018541</v>
      </c>
      <c r="N233" s="1">
        <f>IF(M233 + N232 &lt; 0, M233 + N232, 0)</f>
        <v>0</v>
      </c>
      <c r="O233" s="1">
        <v>-68655.85168018541</v>
      </c>
      <c r="P233" s="1">
        <f>IF(O233 + P232 &lt; 0, O233 + P232, 0)</f>
        <v>0</v>
      </c>
      <c r="Q233" s="1">
        <v>-68655.85168018541</v>
      </c>
      <c r="R233" s="1">
        <f>IF(Q233 + R232 &lt; 0, Q233 + R232, 0)</f>
        <v>0</v>
      </c>
      <c r="S233" s="1">
        <v>-68655.85168018541</v>
      </c>
      <c r="T233" s="1">
        <f>IF(S233 + T232 &lt; 0, S233 + T232, 0)</f>
        <v>0</v>
      </c>
    </row>
    <row r="234" spans="1:20" s="1" customFormat="1">
      <c r="A234" s="3">
        <v>45308</v>
      </c>
      <c r="B234" s="2" t="s">
        <v>14</v>
      </c>
      <c r="C234" s="2">
        <v>1</v>
      </c>
      <c r="D234" s="2">
        <v>2</v>
      </c>
      <c r="E234" s="1">
        <v>54817.34652291504</v>
      </c>
      <c r="F234" s="1">
        <f>IF(E234 + F233 &lt; 0, E234 + F233, 0)</f>
        <v>0</v>
      </c>
      <c r="G234" s="1">
        <v>4066.170204883116</v>
      </c>
      <c r="H234" s="1">
        <f>IF(G234 + H233 &lt; 0, G234 + H233, 0)</f>
        <v>0</v>
      </c>
      <c r="I234" s="1">
        <v>78081.58274980549</v>
      </c>
      <c r="J234" s="1">
        <f>IF(I234 + J233 &lt; 0, I234 + J233, 0)</f>
        <v>0</v>
      </c>
      <c r="K234" s="1">
        <v>182560.8536178726</v>
      </c>
      <c r="L234" s="1">
        <f>IF(K234 + L233 &lt; 0, K234 + L233, 0)</f>
        <v>0</v>
      </c>
      <c r="M234" s="1">
        <v>91880.34188034188</v>
      </c>
      <c r="N234" s="1">
        <f>IF(M234 + N233 &lt; 0, M234 + N233, 0)</f>
        <v>0</v>
      </c>
      <c r="O234" s="1">
        <v>91880.34188034188</v>
      </c>
      <c r="P234" s="1">
        <f>IF(O234 + P233 &lt; 0, O234 + P233, 0)</f>
        <v>0</v>
      </c>
      <c r="Q234" s="1">
        <v>91880.34188034188</v>
      </c>
      <c r="R234" s="1">
        <f>IF(Q234 + R233 &lt; 0, Q234 + R233, 0)</f>
        <v>0</v>
      </c>
      <c r="S234" s="1">
        <v>91880.34188034188</v>
      </c>
      <c r="T234" s="1">
        <f>IF(S234 + T233 &lt; 0, S234 + T233, 0)</f>
        <v>0</v>
      </c>
    </row>
    <row r="235" spans="1:20" s="1" customFormat="1">
      <c r="A235" s="3">
        <v>45309</v>
      </c>
      <c r="B235" s="2" t="s">
        <v>16</v>
      </c>
      <c r="C235" s="2">
        <v>7</v>
      </c>
      <c r="D235" s="2">
        <v>1</v>
      </c>
      <c r="E235" s="1">
        <v>77086.00770218228</v>
      </c>
      <c r="F235" s="1">
        <f>IF(E235 + F234 &lt; 0, E235 + F234, 0)</f>
        <v>0</v>
      </c>
      <c r="G235" s="1">
        <v>77086.00770218228</v>
      </c>
      <c r="H235" s="1">
        <f>IF(G235 + H234 &lt; 0, G235 + H234, 0)</f>
        <v>0</v>
      </c>
      <c r="I235" s="1">
        <v>77086.00770218228</v>
      </c>
      <c r="J235" s="1">
        <f>IF(I235 + J234 &lt; 0, I235 + J234, 0)</f>
        <v>0</v>
      </c>
      <c r="K235" s="1">
        <v>77086.00770218228</v>
      </c>
      <c r="L235" s="1">
        <f>IF(K235 + L234 &lt; 0, K235 + L234, 0)</f>
        <v>0</v>
      </c>
      <c r="M235" s="1">
        <v>-120422.1681723419</v>
      </c>
      <c r="N235" s="1">
        <f>IF(M235 + N234 &lt; 0, M235 + N234, 0)</f>
        <v>0</v>
      </c>
      <c r="O235" s="1">
        <v>-120422.1681723419</v>
      </c>
      <c r="P235" s="1">
        <f>IF(O235 + P234 &lt; 0, O235 + P234, 0)</f>
        <v>0</v>
      </c>
      <c r="Q235" s="1">
        <v>-120422.1681723419</v>
      </c>
      <c r="R235" s="1">
        <f>IF(Q235 + R234 &lt; 0, Q235 + R234, 0)</f>
        <v>0</v>
      </c>
      <c r="S235" s="1">
        <v>-120422.1681723419</v>
      </c>
      <c r="T235" s="1">
        <f>IF(S235 + T234 &lt; 0, S235 + T234, 0)</f>
        <v>0</v>
      </c>
    </row>
    <row r="236" spans="1:20" s="1" customFormat="1">
      <c r="A236" s="3">
        <v>45327</v>
      </c>
      <c r="B236" s="2" t="s">
        <v>12</v>
      </c>
      <c r="C236" s="2">
        <v>6</v>
      </c>
      <c r="D236" s="2">
        <v>12</v>
      </c>
      <c r="E236" s="1">
        <v>77393.90140481546</v>
      </c>
      <c r="F236" s="1">
        <f>IF(E236 + F235 &lt; 0, E236 + F235, 0)</f>
        <v>0</v>
      </c>
      <c r="G236" s="1">
        <v>77393.90140481546</v>
      </c>
      <c r="H236" s="1">
        <f>IF(G236 + H235 &lt; 0, G236 + H235, 0)</f>
        <v>0</v>
      </c>
      <c r="I236" s="1">
        <v>77393.90140481546</v>
      </c>
      <c r="J236" s="1">
        <f>IF(I236 + J235 &lt; 0, I236 + J235, 0)</f>
        <v>0</v>
      </c>
      <c r="K236" s="1">
        <v>77393.90140481546</v>
      </c>
      <c r="L236" s="1">
        <f>IF(K236 + L235 &lt; 0, K236 + L235, 0)</f>
        <v>0</v>
      </c>
      <c r="M236" s="1">
        <v>0</v>
      </c>
      <c r="N236" s="1">
        <f>IF(M236 + N235 &lt; 0, M236 + N235, 0)</f>
        <v>0</v>
      </c>
      <c r="O236" s="1">
        <v>0</v>
      </c>
      <c r="P236" s="1">
        <f>IF(O236 + P235 &lt; 0, O236 + P235, 0)</f>
        <v>0</v>
      </c>
      <c r="Q236" s="1">
        <v>0</v>
      </c>
      <c r="R236" s="1">
        <f>IF(Q236 + R235 &lt; 0, Q236 + R235, 0)</f>
        <v>0</v>
      </c>
      <c r="S236" s="1">
        <v>0</v>
      </c>
      <c r="T236" s="1">
        <f>IF(S236 + T235 &lt; 0, S236 + T235, 0)</f>
        <v>0</v>
      </c>
    </row>
    <row r="237" spans="1:20" s="1" customFormat="1">
      <c r="A237" s="3">
        <v>45328</v>
      </c>
      <c r="B237" s="2" t="s">
        <v>13</v>
      </c>
      <c r="C237" s="2">
        <v>5</v>
      </c>
      <c r="D237" s="2">
        <v>11</v>
      </c>
      <c r="E237" s="1">
        <v>111349.3896403827</v>
      </c>
      <c r="F237" s="1">
        <f>IF(E237 + F236 &lt; 0, E237 + F236, 0)</f>
        <v>0</v>
      </c>
      <c r="G237" s="1">
        <v>111349.3896403827</v>
      </c>
      <c r="H237" s="1">
        <f>IF(G237 + H236 &lt; 0, G237 + H236, 0)</f>
        <v>0</v>
      </c>
      <c r="I237" s="1">
        <v>111349.3896403827</v>
      </c>
      <c r="J237" s="1">
        <f>IF(I237 + J236 &lt; 0, I237 + J236, 0)</f>
        <v>0</v>
      </c>
      <c r="K237" s="1">
        <v>111349.3896403827</v>
      </c>
      <c r="L237" s="1">
        <f>IF(K237 + L236 &lt; 0, K237 + L236, 0)</f>
        <v>0</v>
      </c>
      <c r="M237" s="1">
        <v>0</v>
      </c>
      <c r="N237" s="1">
        <f>IF(M237 + N236 &lt; 0, M237 + N236, 0)</f>
        <v>0</v>
      </c>
      <c r="O237" s="1">
        <v>0</v>
      </c>
      <c r="P237" s="1">
        <f>IF(O237 + P236 &lt; 0, O237 + P236, 0)</f>
        <v>0</v>
      </c>
      <c r="Q237" s="1">
        <v>0</v>
      </c>
      <c r="R237" s="1">
        <f>IF(Q237 + R236 &lt; 0, Q237 + R236, 0)</f>
        <v>0</v>
      </c>
      <c r="S237" s="1">
        <v>0</v>
      </c>
      <c r="T237" s="1">
        <f>IF(S237 + T236 &lt; 0, S237 + T236, 0)</f>
        <v>0</v>
      </c>
    </row>
    <row r="238" spans="1:20" s="1" customFormat="1">
      <c r="A238" s="3">
        <v>45329</v>
      </c>
      <c r="B238" s="2" t="s">
        <v>14</v>
      </c>
      <c r="C238" s="2">
        <v>4</v>
      </c>
      <c r="D238" s="2">
        <v>10</v>
      </c>
      <c r="E238" s="1">
        <v>82678.66884888161</v>
      </c>
      <c r="F238" s="1">
        <f>IF(E238 + F237 &lt; 0, E238 + F237, 0)</f>
        <v>0</v>
      </c>
      <c r="G238" s="1">
        <v>82678.66884888161</v>
      </c>
      <c r="H238" s="1">
        <f>IF(G238 + H237 &lt; 0, G238 + H237, 0)</f>
        <v>0</v>
      </c>
      <c r="I238" s="1">
        <v>82678.66884888161</v>
      </c>
      <c r="J238" s="1">
        <f>IF(I238 + J237 &lt; 0, I238 + J237, 0)</f>
        <v>0</v>
      </c>
      <c r="K238" s="1">
        <v>82678.66884888161</v>
      </c>
      <c r="L238" s="1">
        <f>IF(K238 + L237 &lt; 0, K238 + L237, 0)</f>
        <v>0</v>
      </c>
      <c r="M238" s="1">
        <v>0</v>
      </c>
      <c r="N238" s="1">
        <f>IF(M238 + N237 &lt; 0, M238 + N237, 0)</f>
        <v>0</v>
      </c>
      <c r="O238" s="1">
        <v>0</v>
      </c>
      <c r="P238" s="1">
        <f>IF(O238 + P237 &lt; 0, O238 + P237, 0)</f>
        <v>0</v>
      </c>
      <c r="Q238" s="1">
        <v>0</v>
      </c>
      <c r="R238" s="1">
        <f>IF(Q238 + R237 &lt; 0, Q238 + R237, 0)</f>
        <v>0</v>
      </c>
      <c r="S238" s="1">
        <v>0</v>
      </c>
      <c r="T238" s="1">
        <f>IF(S238 + T237 &lt; 0, S238 + T237, 0)</f>
        <v>0</v>
      </c>
    </row>
    <row r="239" spans="1:20" s="1" customFormat="1">
      <c r="A239" s="3">
        <v>45334</v>
      </c>
      <c r="B239" s="2" t="s">
        <v>12</v>
      </c>
      <c r="C239" s="2">
        <v>3</v>
      </c>
      <c r="D239" s="2">
        <v>9</v>
      </c>
      <c r="E239" s="1">
        <v>-14294.47852760737</v>
      </c>
      <c r="F239" s="1">
        <f>IF(E239 + F238 &lt; 0, E239 + F238, 0)</f>
        <v>0</v>
      </c>
      <c r="G239" s="1">
        <v>71507.44960560912</v>
      </c>
      <c r="H239" s="1">
        <f>IF(G239 + H238 &lt; 0, G239 + H238, 0)</f>
        <v>0</v>
      </c>
      <c r="I239" s="1">
        <v>71507.44960560912</v>
      </c>
      <c r="J239" s="1">
        <f>IF(I239 + J238 &lt; 0, I239 + J238, 0)</f>
        <v>0</v>
      </c>
      <c r="K239" s="1">
        <v>71507.44960560912</v>
      </c>
      <c r="L239" s="1">
        <f>IF(K239 + L238 &lt; 0, K239 + L238, 0)</f>
        <v>0</v>
      </c>
      <c r="M239" s="1">
        <v>0</v>
      </c>
      <c r="N239" s="1">
        <f>IF(M239 + N238 &lt; 0, M239 + N238, 0)</f>
        <v>0</v>
      </c>
      <c r="O239" s="1">
        <v>0</v>
      </c>
      <c r="P239" s="1">
        <f>IF(O239 + P238 &lt; 0, O239 + P238, 0)</f>
        <v>0</v>
      </c>
      <c r="Q239" s="1">
        <v>0</v>
      </c>
      <c r="R239" s="1">
        <f>IF(Q239 + R238 &lt; 0, Q239 + R238, 0)</f>
        <v>0</v>
      </c>
      <c r="S239" s="1">
        <v>0</v>
      </c>
      <c r="T239" s="1">
        <f>IF(S239 + T238 &lt; 0, S239 + T238, 0)</f>
        <v>0</v>
      </c>
    </row>
    <row r="240" spans="1:20" s="1" customFormat="1">
      <c r="A240" s="3">
        <v>45335</v>
      </c>
      <c r="B240" s="2" t="s">
        <v>13</v>
      </c>
      <c r="C240" s="2">
        <v>2</v>
      </c>
      <c r="D240" s="2">
        <v>8</v>
      </c>
      <c r="E240" s="1">
        <v>119323.8557558946</v>
      </c>
      <c r="F240" s="1">
        <f>IF(E240 + F239 &lt; 0, E240 + F239, 0)</f>
        <v>0</v>
      </c>
      <c r="G240" s="1">
        <v>89069.00138696254</v>
      </c>
      <c r="H240" s="1">
        <f>IF(G240 + H239 &lt; 0, G240 + H239, 0)</f>
        <v>0</v>
      </c>
      <c r="I240" s="1">
        <v>89069.00138696254</v>
      </c>
      <c r="J240" s="1">
        <f>IF(I240 + J239 &lt; 0, I240 + J239, 0)</f>
        <v>0</v>
      </c>
      <c r="K240" s="1">
        <v>89069.00138696254</v>
      </c>
      <c r="L240" s="1">
        <f>IF(K240 + L239 &lt; 0, K240 + L239, 0)</f>
        <v>0</v>
      </c>
      <c r="M240" s="1">
        <v>0</v>
      </c>
      <c r="N240" s="1">
        <f>IF(M240 + N239 &lt; 0, M240 + N239, 0)</f>
        <v>0</v>
      </c>
      <c r="O240" s="1">
        <v>0</v>
      </c>
      <c r="P240" s="1">
        <f>IF(O240 + P239 &lt; 0, O240 + P239, 0)</f>
        <v>0</v>
      </c>
      <c r="Q240" s="1">
        <v>0</v>
      </c>
      <c r="R240" s="1">
        <f>IF(Q240 + R239 &lt; 0, Q240 + R239, 0)</f>
        <v>0</v>
      </c>
      <c r="S240" s="1">
        <v>0</v>
      </c>
      <c r="T240" s="1">
        <f>IF(S240 + T239 &lt; 0, S240 + T239, 0)</f>
        <v>0</v>
      </c>
    </row>
    <row r="241" spans="1:20" s="1" customFormat="1">
      <c r="A241" s="3">
        <v>45336</v>
      </c>
      <c r="B241" s="2" t="s">
        <v>14</v>
      </c>
      <c r="C241" s="2">
        <v>1</v>
      </c>
      <c r="D241" s="2">
        <v>7</v>
      </c>
      <c r="E241" s="1">
        <v>-89214.32251416794</v>
      </c>
      <c r="F241" s="1">
        <f>IF(E241 + F240 &lt; 0, E241 + F240, 0)</f>
        <v>0</v>
      </c>
      <c r="G241" s="1">
        <v>-55896.44513137559</v>
      </c>
      <c r="H241" s="1">
        <f>IF(G241 + H240 &lt; 0, G241 + H240, 0)</f>
        <v>0</v>
      </c>
      <c r="I241" s="1">
        <v>-8157.307229950207</v>
      </c>
      <c r="J241" s="1">
        <f>IF(I241 + J240 &lt; 0, I241 + J240, 0)</f>
        <v>0</v>
      </c>
      <c r="K241" s="1">
        <v>-5753.048256912256</v>
      </c>
      <c r="L241" s="1">
        <f>IF(K241 + L240 &lt; 0, K241 + L240, 0)</f>
        <v>0</v>
      </c>
      <c r="M241" s="1">
        <v>0</v>
      </c>
      <c r="N241" s="1">
        <f>IF(M241 + N240 &lt; 0, M241 + N240, 0)</f>
        <v>0</v>
      </c>
      <c r="O241" s="1">
        <v>0</v>
      </c>
      <c r="P241" s="1">
        <f>IF(O241 + P240 &lt; 0, O241 + P240, 0)</f>
        <v>0</v>
      </c>
      <c r="Q241" s="1">
        <v>0</v>
      </c>
      <c r="R241" s="1">
        <f>IF(Q241 + R240 &lt; 0, Q241 + R240, 0)</f>
        <v>0</v>
      </c>
      <c r="S241" s="1">
        <v>0</v>
      </c>
      <c r="T241" s="1">
        <f>IF(S241 + T240 &lt; 0, S241 + T240, 0)</f>
        <v>0</v>
      </c>
    </row>
    <row r="242" spans="1:20" s="1" customFormat="1">
      <c r="A242" s="3">
        <v>45337</v>
      </c>
      <c r="B242" s="2" t="s">
        <v>16</v>
      </c>
      <c r="C242" s="2">
        <v>22</v>
      </c>
      <c r="D242" s="2">
        <v>6</v>
      </c>
      <c r="E242" s="1">
        <v>0</v>
      </c>
      <c r="F242" s="1">
        <f>IF(E242 + F241 &lt; 0, E242 + F241, 0)</f>
        <v>0</v>
      </c>
      <c r="G242" s="1">
        <v>0</v>
      </c>
      <c r="H242" s="1">
        <f>IF(G242 + H241 &lt; 0, G242 + H241, 0)</f>
        <v>0</v>
      </c>
      <c r="I242" s="1">
        <v>0</v>
      </c>
      <c r="J242" s="1">
        <f>IF(I242 + J241 &lt; 0, I242 + J241, 0)</f>
        <v>0</v>
      </c>
      <c r="K242" s="1">
        <v>0</v>
      </c>
      <c r="L242" s="1">
        <f>IF(K242 + L241 &lt; 0, K242 + L241, 0)</f>
        <v>0</v>
      </c>
      <c r="M242" s="1">
        <v>105801.1049723757</v>
      </c>
      <c r="N242" s="1">
        <f>IF(M242 + N241 &lt; 0, M242 + N241, 0)</f>
        <v>0</v>
      </c>
      <c r="O242" s="1">
        <v>105801.1049723757</v>
      </c>
      <c r="P242" s="1">
        <f>IF(O242 + P241 &lt; 0, O242 + P241, 0)</f>
        <v>0</v>
      </c>
      <c r="Q242" s="1">
        <v>105801.1049723757</v>
      </c>
      <c r="R242" s="1">
        <f>IF(Q242 + R241 &lt; 0, Q242 + R241, 0)</f>
        <v>0</v>
      </c>
      <c r="S242" s="1">
        <v>105801.1049723757</v>
      </c>
      <c r="T242" s="1">
        <f>IF(S242 + T241 &lt; 0, S242 + T241, 0)</f>
        <v>0</v>
      </c>
    </row>
    <row r="243" spans="1:20" s="1" customFormat="1">
      <c r="A243" s="3">
        <v>45338</v>
      </c>
      <c r="B243" s="2" t="s">
        <v>15</v>
      </c>
      <c r="C243" s="2">
        <v>21</v>
      </c>
      <c r="D243" s="2">
        <v>5</v>
      </c>
      <c r="E243" s="1">
        <v>0</v>
      </c>
      <c r="F243" s="1">
        <f>IF(E243 + F242 &lt; 0, E243 + F242, 0)</f>
        <v>0</v>
      </c>
      <c r="G243" s="1">
        <v>0</v>
      </c>
      <c r="H243" s="1">
        <f>IF(G243 + H242 &lt; 0, G243 + H242, 0)</f>
        <v>0</v>
      </c>
      <c r="I243" s="1">
        <v>0</v>
      </c>
      <c r="J243" s="1">
        <f>IF(I243 + J242 &lt; 0, I243 + J242, 0)</f>
        <v>0</v>
      </c>
      <c r="K243" s="1">
        <v>0</v>
      </c>
      <c r="L243" s="1">
        <f>IF(K243 + L242 &lt; 0, K243 + L242, 0)</f>
        <v>0</v>
      </c>
      <c r="M243" s="1">
        <v>92876.00994406462</v>
      </c>
      <c r="N243" s="1">
        <f>IF(M243 + N242 &lt; 0, M243 + N242, 0)</f>
        <v>0</v>
      </c>
      <c r="O243" s="1">
        <v>92876.00994406462</v>
      </c>
      <c r="P243" s="1">
        <f>IF(O243 + P242 &lt; 0, O243 + P242, 0)</f>
        <v>0</v>
      </c>
      <c r="Q243" s="1">
        <v>92876.00994406462</v>
      </c>
      <c r="R243" s="1">
        <f>IF(Q243 + R242 &lt; 0, Q243 + R242, 0)</f>
        <v>0</v>
      </c>
      <c r="S243" s="1">
        <v>92876.00994406462</v>
      </c>
      <c r="T243" s="1">
        <f>IF(S243 + T242 &lt; 0, S243 + T242, 0)</f>
        <v>0</v>
      </c>
    </row>
    <row r="244" spans="1:20" s="1" customFormat="1">
      <c r="A244" s="3">
        <v>45341</v>
      </c>
      <c r="B244" s="2" t="s">
        <v>12</v>
      </c>
      <c r="C244" s="2">
        <v>20</v>
      </c>
      <c r="D244" s="2">
        <v>4</v>
      </c>
      <c r="E244" s="1">
        <v>0</v>
      </c>
      <c r="F244" s="1">
        <f>IF(E244 + F243 &lt; 0, E244 + F243, 0)</f>
        <v>0</v>
      </c>
      <c r="G244" s="1">
        <v>0</v>
      </c>
      <c r="H244" s="1">
        <f>IF(G244 + H243 &lt; 0, G244 + H243, 0)</f>
        <v>0</v>
      </c>
      <c r="I244" s="1">
        <v>0</v>
      </c>
      <c r="J244" s="1">
        <f>IF(I244 + J243 &lt; 0, I244 + J243, 0)</f>
        <v>0</v>
      </c>
      <c r="K244" s="1">
        <v>0</v>
      </c>
      <c r="L244" s="1">
        <f>IF(K244 + L243 &lt; 0, K244 + L243, 0)</f>
        <v>0</v>
      </c>
      <c r="M244" s="1">
        <v>74710.7969151671</v>
      </c>
      <c r="N244" s="1">
        <f>IF(M244 + N243 &lt; 0, M244 + N243, 0)</f>
        <v>0</v>
      </c>
      <c r="O244" s="1">
        <v>74710.7969151671</v>
      </c>
      <c r="P244" s="1">
        <f>IF(O244 + P243 &lt; 0, O244 + P243, 0)</f>
        <v>0</v>
      </c>
      <c r="Q244" s="1">
        <v>74710.7969151671</v>
      </c>
      <c r="R244" s="1">
        <f>IF(Q244 + R243 &lt; 0, Q244 + R243, 0)</f>
        <v>0</v>
      </c>
      <c r="S244" s="1">
        <v>74710.7969151671</v>
      </c>
      <c r="T244" s="1">
        <f>IF(S244 + T243 &lt; 0, S244 + T243, 0)</f>
        <v>0</v>
      </c>
    </row>
    <row r="245" spans="1:20" s="1" customFormat="1">
      <c r="A245" s="3">
        <v>45342</v>
      </c>
      <c r="B245" s="2" t="s">
        <v>13</v>
      </c>
      <c r="C245" s="2">
        <v>19</v>
      </c>
      <c r="D245" s="2">
        <v>3</v>
      </c>
      <c r="E245" s="1">
        <v>0</v>
      </c>
      <c r="F245" s="1">
        <f>IF(E245 + F244 &lt; 0, E245 + F244, 0)</f>
        <v>0</v>
      </c>
      <c r="G245" s="1">
        <v>0</v>
      </c>
      <c r="H245" s="1">
        <f>IF(G245 + H244 &lt; 0, G245 + H244, 0)</f>
        <v>0</v>
      </c>
      <c r="I245" s="1">
        <v>0</v>
      </c>
      <c r="J245" s="1">
        <f>IF(I245 + J244 &lt; 0, I245 + J244, 0)</f>
        <v>0</v>
      </c>
      <c r="K245" s="1">
        <v>0</v>
      </c>
      <c r="L245" s="1">
        <f>IF(K245 + L244 &lt; 0, K245 + L244, 0)</f>
        <v>0</v>
      </c>
      <c r="M245" s="1">
        <v>45934.69910371319</v>
      </c>
      <c r="N245" s="1">
        <f>IF(M245 + N244 &lt; 0, M245 + N244, 0)</f>
        <v>0</v>
      </c>
      <c r="O245" s="1">
        <v>45934.69910371319</v>
      </c>
      <c r="P245" s="1">
        <f>IF(O245 + P244 &lt; 0, O245 + P244, 0)</f>
        <v>0</v>
      </c>
      <c r="Q245" s="1">
        <v>45934.69910371319</v>
      </c>
      <c r="R245" s="1">
        <f>IF(Q245 + R244 &lt; 0, Q245 + R244, 0)</f>
        <v>0</v>
      </c>
      <c r="S245" s="1">
        <v>45934.69910371319</v>
      </c>
      <c r="T245" s="1">
        <f>IF(S245 + T244 &lt; 0, S245 + T244, 0)</f>
        <v>0</v>
      </c>
    </row>
    <row r="246" spans="1:20" s="1" customFormat="1">
      <c r="A246" s="3">
        <v>45343</v>
      </c>
      <c r="B246" s="2" t="s">
        <v>14</v>
      </c>
      <c r="C246" s="2">
        <v>0</v>
      </c>
      <c r="D246" s="2">
        <v>0</v>
      </c>
      <c r="E246" s="1">
        <v>0</v>
      </c>
      <c r="F246" s="1">
        <f>IF(E246 + F245 &lt; 0, E246 + F245, 0)</f>
        <v>0</v>
      </c>
      <c r="G246" s="1">
        <v>0</v>
      </c>
      <c r="H246" s="1">
        <f>IF(G246 + H245 &lt; 0, G246 + H245, 0)</f>
        <v>0</v>
      </c>
      <c r="I246" s="1">
        <v>0</v>
      </c>
      <c r="J246" s="1">
        <f>IF(I246 + J245 &lt; 0, I246 + J245, 0)</f>
        <v>0</v>
      </c>
      <c r="K246" s="1">
        <v>0</v>
      </c>
      <c r="L246" s="1">
        <f>IF(K246 + L245 &lt; 0, K246 + L245, 0)</f>
        <v>0</v>
      </c>
      <c r="M246" s="1">
        <v>0</v>
      </c>
      <c r="N246" s="1">
        <f>IF(M246 + N245 &lt; 0, M246 + N245, 0)</f>
        <v>0</v>
      </c>
      <c r="O246" s="1">
        <v>0</v>
      </c>
      <c r="P246" s="1">
        <f>IF(O246 + P245 &lt; 0, O246 + P245, 0)</f>
        <v>0</v>
      </c>
      <c r="Q246" s="1">
        <v>0</v>
      </c>
      <c r="R246" s="1">
        <f>IF(Q246 + R245 &lt; 0, Q246 + R245, 0)</f>
        <v>0</v>
      </c>
      <c r="S246" s="1">
        <v>0</v>
      </c>
      <c r="T246" s="1">
        <f>IF(S246 + T245 &lt; 0, S246 + T245, 0)</f>
        <v>0</v>
      </c>
    </row>
    <row r="247" spans="1:20" s="1" customFormat="1">
      <c r="A247" s="3">
        <v>45344</v>
      </c>
      <c r="B247" s="2" t="s">
        <v>16</v>
      </c>
      <c r="C247" s="2">
        <v>17</v>
      </c>
      <c r="D247" s="2">
        <v>1</v>
      </c>
      <c r="E247" s="1">
        <v>0</v>
      </c>
      <c r="F247" s="1">
        <f>IF(E247 + F246 &lt; 0, E247 + F246, 0)</f>
        <v>0</v>
      </c>
      <c r="G247" s="1">
        <v>0</v>
      </c>
      <c r="H247" s="1">
        <f>IF(G247 + H246 &lt; 0, G247 + H246, 0)</f>
        <v>0</v>
      </c>
      <c r="I247" s="1">
        <v>0</v>
      </c>
      <c r="J247" s="1">
        <f>IF(I247 + J246 &lt; 0, I247 + J246, 0)</f>
        <v>0</v>
      </c>
      <c r="K247" s="1">
        <v>0</v>
      </c>
      <c r="L247" s="1">
        <f>IF(K247 + L246 &lt; 0, K247 + L246, 0)</f>
        <v>0</v>
      </c>
      <c r="M247" s="1">
        <v>-86111.11111111109</v>
      </c>
      <c r="N247" s="1">
        <f>IF(M247 + N246 &lt; 0, M247 + N246, 0)</f>
        <v>0</v>
      </c>
      <c r="O247" s="1">
        <v>-104629.6296296296</v>
      </c>
      <c r="P247" s="1">
        <f>IF(O247 + P246 &lt; 0, O247 + P246, 0)</f>
        <v>0</v>
      </c>
      <c r="Q247" s="1">
        <v>71324.78632478631</v>
      </c>
      <c r="R247" s="1">
        <f>IF(Q247 + R246 &lt; 0, Q247 + R246, 0)</f>
        <v>0</v>
      </c>
      <c r="S247" s="1">
        <v>71324.78632478631</v>
      </c>
      <c r="T247" s="1">
        <f>IF(S247 + T246 &lt; 0, S247 + T246, 0)</f>
        <v>0</v>
      </c>
    </row>
    <row r="248" spans="1:20" s="1" customFormat="1">
      <c r="A248" s="3">
        <v>45345</v>
      </c>
      <c r="B248" s="2" t="s">
        <v>15</v>
      </c>
      <c r="C248" s="2">
        <v>16</v>
      </c>
      <c r="D248" s="2">
        <v>20</v>
      </c>
      <c r="E248" s="1">
        <v>0</v>
      </c>
      <c r="F248" s="1">
        <f>IF(E248 + F247 &lt; 0, E248 + F247, 0)</f>
        <v>0</v>
      </c>
      <c r="G248" s="1">
        <v>0</v>
      </c>
      <c r="H248" s="1">
        <f>IF(G248 + H247 &lt; 0, G248 + H247, 0)</f>
        <v>0</v>
      </c>
      <c r="I248" s="1">
        <v>0</v>
      </c>
      <c r="J248" s="1">
        <f>IF(I248 + J247 &lt; 0, I248 + J247, 0)</f>
        <v>0</v>
      </c>
      <c r="K248" s="1">
        <v>0</v>
      </c>
      <c r="L248" s="1">
        <f>IF(K248 + L247 &lt; 0, K248 + L247, 0)</f>
        <v>0</v>
      </c>
      <c r="M248" s="1">
        <v>0</v>
      </c>
      <c r="N248" s="1">
        <f>IF(M248 + N247 &lt; 0, M248 + N247, 0)</f>
        <v>0</v>
      </c>
      <c r="O248" s="1">
        <v>0</v>
      </c>
      <c r="P248" s="1">
        <f>IF(O248 + P247 &lt; 0, O248 + P247, 0)</f>
        <v>0</v>
      </c>
      <c r="Q248" s="1">
        <v>0</v>
      </c>
      <c r="R248" s="1">
        <f>IF(Q248 + R247 &lt; 0, Q248 + R247, 0)</f>
        <v>0</v>
      </c>
      <c r="S248" s="1">
        <v>0</v>
      </c>
      <c r="T248" s="1">
        <f>IF(S248 + T247 &lt; 0, S248 + T247, 0)</f>
        <v>0</v>
      </c>
    </row>
    <row r="249" spans="1:20" s="1" customFormat="1">
      <c r="A249" s="3">
        <v>45348</v>
      </c>
      <c r="B249" s="2" t="s">
        <v>12</v>
      </c>
      <c r="C249" s="2">
        <v>15</v>
      </c>
      <c r="D249" s="2">
        <v>19</v>
      </c>
      <c r="E249" s="1">
        <v>0</v>
      </c>
      <c r="F249" s="1">
        <f>IF(E249 + F248 &lt; 0, E249 + F248, 0)</f>
        <v>0</v>
      </c>
      <c r="G249" s="1">
        <v>0</v>
      </c>
      <c r="H249" s="1">
        <f>IF(G249 + H248 &lt; 0, G249 + H248, 0)</f>
        <v>0</v>
      </c>
      <c r="I249" s="1">
        <v>0</v>
      </c>
      <c r="J249" s="1">
        <f>IF(I249 + J248 &lt; 0, I249 + J248, 0)</f>
        <v>0</v>
      </c>
      <c r="K249" s="1">
        <v>0</v>
      </c>
      <c r="L249" s="1">
        <f>IF(K249 + L248 &lt; 0, K249 + L248, 0)</f>
        <v>0</v>
      </c>
      <c r="M249" s="1">
        <v>0</v>
      </c>
      <c r="N249" s="1">
        <f>IF(M249 + N248 &lt; 0, M249 + N248, 0)</f>
        <v>0</v>
      </c>
      <c r="O249" s="1">
        <v>0</v>
      </c>
      <c r="P249" s="1">
        <f>IF(O249 + P248 &lt; 0, O249 + P248, 0)</f>
        <v>0</v>
      </c>
      <c r="Q249" s="1">
        <v>0</v>
      </c>
      <c r="R249" s="1">
        <f>IF(Q249 + R248 &lt; 0, Q249 + R248, 0)</f>
        <v>0</v>
      </c>
      <c r="S249" s="1">
        <v>0</v>
      </c>
      <c r="T249" s="1">
        <f>IF(S249 + T248 &lt; 0, S249 + T248, 0)</f>
        <v>0</v>
      </c>
    </row>
    <row r="250" spans="1:20" s="1" customFormat="1">
      <c r="A250" s="3">
        <v>45349</v>
      </c>
      <c r="B250" s="2" t="s">
        <v>13</v>
      </c>
      <c r="C250" s="2">
        <v>14</v>
      </c>
      <c r="D250" s="2">
        <v>18</v>
      </c>
      <c r="E250" s="1">
        <v>0</v>
      </c>
      <c r="F250" s="1">
        <f>IF(E250 + F249 &lt; 0, E250 + F249, 0)</f>
        <v>0</v>
      </c>
      <c r="G250" s="1">
        <v>0</v>
      </c>
      <c r="H250" s="1">
        <f>IF(G250 + H249 &lt; 0, G250 + H249, 0)</f>
        <v>0</v>
      </c>
      <c r="I250" s="1">
        <v>0</v>
      </c>
      <c r="J250" s="1">
        <f>IF(I250 + J249 &lt; 0, I250 + J249, 0)</f>
        <v>0</v>
      </c>
      <c r="K250" s="1">
        <v>0</v>
      </c>
      <c r="L250" s="1">
        <f>IF(K250 + L249 &lt; 0, K250 + L249, 0)</f>
        <v>0</v>
      </c>
      <c r="M250" s="1">
        <v>0</v>
      </c>
      <c r="N250" s="1">
        <f>IF(M250 + N249 &lt; 0, M250 + N249, 0)</f>
        <v>0</v>
      </c>
      <c r="O250" s="1">
        <v>0</v>
      </c>
      <c r="P250" s="1">
        <f>IF(O250 + P249 &lt; 0, O250 + P249, 0)</f>
        <v>0</v>
      </c>
      <c r="Q250" s="1">
        <v>0</v>
      </c>
      <c r="R250" s="1">
        <f>IF(Q250 + R249 &lt; 0, Q250 + R249, 0)</f>
        <v>0</v>
      </c>
      <c r="S250" s="1">
        <v>0</v>
      </c>
      <c r="T250" s="1">
        <f>IF(S250 + T249 &lt; 0, S250 + T249, 0)</f>
        <v>0</v>
      </c>
    </row>
    <row r="251" spans="1:20" s="1" customFormat="1">
      <c r="A251" s="3">
        <v>45350</v>
      </c>
      <c r="B251" s="2" t="s">
        <v>14</v>
      </c>
      <c r="C251" s="2">
        <v>13</v>
      </c>
      <c r="D251" s="2">
        <v>17</v>
      </c>
      <c r="E251" s="1">
        <v>0</v>
      </c>
      <c r="F251" s="1">
        <f>IF(E251 + F250 &lt; 0, E251 + F250, 0)</f>
        <v>0</v>
      </c>
      <c r="G251" s="1">
        <v>0</v>
      </c>
      <c r="H251" s="1">
        <f>IF(G251 + H250 &lt; 0, G251 + H250, 0)</f>
        <v>0</v>
      </c>
      <c r="I251" s="1">
        <v>0</v>
      </c>
      <c r="J251" s="1">
        <f>IF(I251 + J250 &lt; 0, I251 + J250, 0)</f>
        <v>0</v>
      </c>
      <c r="K251" s="1">
        <v>0</v>
      </c>
      <c r="L251" s="1">
        <f>IF(K251 + L250 &lt; 0, K251 + L250, 0)</f>
        <v>0</v>
      </c>
      <c r="M251" s="1">
        <v>0</v>
      </c>
      <c r="N251" s="1">
        <f>IF(M251 + N250 &lt; 0, M251 + N250, 0)</f>
        <v>0</v>
      </c>
      <c r="O251" s="1">
        <v>0</v>
      </c>
      <c r="P251" s="1">
        <f>IF(O251 + P250 &lt; 0, O251 + P250, 0)</f>
        <v>0</v>
      </c>
      <c r="Q251" s="1">
        <v>0</v>
      </c>
      <c r="R251" s="1">
        <f>IF(Q251 + R250 &lt; 0, Q251 + R250, 0)</f>
        <v>0</v>
      </c>
      <c r="S251" s="1">
        <v>0</v>
      </c>
      <c r="T251" s="1">
        <f>IF(S251 + T250 &lt; 0, S251 + T250, 0)</f>
        <v>0</v>
      </c>
    </row>
    <row r="252" spans="1:20" s="1" customFormat="1">
      <c r="A252" s="3">
        <v>45351</v>
      </c>
      <c r="B252" s="2" t="s">
        <v>16</v>
      </c>
      <c r="C252" s="2">
        <v>12</v>
      </c>
      <c r="D252" s="2">
        <v>16</v>
      </c>
      <c r="E252" s="1">
        <v>0</v>
      </c>
      <c r="F252" s="1">
        <f>IF(E252 + F251 &lt; 0, E252 + F251, 0)</f>
        <v>0</v>
      </c>
      <c r="G252" s="1">
        <v>0</v>
      </c>
      <c r="H252" s="1">
        <f>IF(G252 + H251 &lt; 0, G252 + H251, 0)</f>
        <v>0</v>
      </c>
      <c r="I252" s="1">
        <v>0</v>
      </c>
      <c r="J252" s="1">
        <f>IF(I252 + J251 &lt; 0, I252 + J251, 0)</f>
        <v>0</v>
      </c>
      <c r="K252" s="1">
        <v>0</v>
      </c>
      <c r="L252" s="1">
        <f>IF(K252 + L251 &lt; 0, K252 + L251, 0)</f>
        <v>0</v>
      </c>
      <c r="M252" s="1">
        <v>0</v>
      </c>
      <c r="N252" s="1">
        <f>IF(M252 + N251 &lt; 0, M252 + N251, 0)</f>
        <v>0</v>
      </c>
      <c r="O252" s="1">
        <v>0</v>
      </c>
      <c r="P252" s="1">
        <f>IF(O252 + P251 &lt; 0, O252 + P251, 0)</f>
        <v>0</v>
      </c>
      <c r="Q252" s="1">
        <v>0</v>
      </c>
      <c r="R252" s="1">
        <f>IF(Q252 + R251 &lt; 0, Q252 + R251, 0)</f>
        <v>0</v>
      </c>
      <c r="S252" s="1">
        <v>0</v>
      </c>
      <c r="T252" s="1">
        <f>IF(S252 + T251 &lt; 0, S252 + T251, 0)</f>
        <v>0</v>
      </c>
    </row>
    <row r="253" spans="1:20" s="1" customFormat="1">
      <c r="A253" s="3">
        <v>45352</v>
      </c>
      <c r="B253" s="2" t="s">
        <v>15</v>
      </c>
      <c r="C253" s="2">
        <v>11</v>
      </c>
      <c r="D253" s="2">
        <v>15</v>
      </c>
      <c r="E253" s="1">
        <v>0</v>
      </c>
      <c r="F253" s="1">
        <f>IF(E253 + F252 &lt; 0, E253 + F252, 0)</f>
        <v>0</v>
      </c>
      <c r="G253" s="1">
        <v>0</v>
      </c>
      <c r="H253" s="1">
        <f>IF(G253 + H252 &lt; 0, G253 + H252, 0)</f>
        <v>0</v>
      </c>
      <c r="I253" s="1">
        <v>0</v>
      </c>
      <c r="J253" s="1">
        <f>IF(I253 + J252 &lt; 0, I253 + J252, 0)</f>
        <v>0</v>
      </c>
      <c r="K253" s="1">
        <v>0</v>
      </c>
      <c r="L253" s="1">
        <f>IF(K253 + L252 &lt; 0, K253 + L252, 0)</f>
        <v>0</v>
      </c>
      <c r="M253" s="1">
        <v>0</v>
      </c>
      <c r="N253" s="1">
        <f>IF(M253 + N252 &lt; 0, M253 + N252, 0)</f>
        <v>0</v>
      </c>
      <c r="O253" s="1">
        <v>0</v>
      </c>
      <c r="P253" s="1">
        <f>IF(O253 + P252 &lt; 0, O253 + P252, 0)</f>
        <v>0</v>
      </c>
      <c r="Q253" s="1">
        <v>0</v>
      </c>
      <c r="R253" s="1">
        <f>IF(Q253 + R252 &lt; 0, Q253 + R252, 0)</f>
        <v>0</v>
      </c>
      <c r="S253" s="1">
        <v>0</v>
      </c>
      <c r="T253" s="1">
        <f>IF(S253 + T252 &lt; 0, S253 + T252, 0)</f>
        <v>0</v>
      </c>
    </row>
    <row r="254" spans="1:20" s="1" customFormat="1">
      <c r="A254" s="3">
        <v>45355</v>
      </c>
      <c r="B254" s="2" t="s">
        <v>12</v>
      </c>
      <c r="C254" s="2">
        <v>10</v>
      </c>
      <c r="D254" s="2">
        <v>14</v>
      </c>
      <c r="E254" s="1">
        <v>34659.35760745659</v>
      </c>
      <c r="F254" s="1">
        <f>IF(E254 + F253 &lt; 0, E254 + F253, 0)</f>
        <v>0</v>
      </c>
      <c r="G254" s="1">
        <v>34659.35760745659</v>
      </c>
      <c r="H254" s="1">
        <f>IF(G254 + H253 &lt; 0, G254 + H253, 0)</f>
        <v>0</v>
      </c>
      <c r="I254" s="1">
        <v>34659.35760745659</v>
      </c>
      <c r="J254" s="1">
        <f>IF(I254 + J253 &lt; 0, I254 + J253, 0)</f>
        <v>0</v>
      </c>
      <c r="K254" s="1">
        <v>34659.35760745659</v>
      </c>
      <c r="L254" s="1">
        <f>IF(K254 + L253 &lt; 0, K254 + L253, 0)</f>
        <v>0</v>
      </c>
      <c r="M254" s="1">
        <v>0</v>
      </c>
      <c r="N254" s="1">
        <f>IF(M254 + N253 &lt; 0, M254 + N253, 0)</f>
        <v>0</v>
      </c>
      <c r="O254" s="1">
        <v>0</v>
      </c>
      <c r="P254" s="1">
        <f>IF(O254 + P253 &lt; 0, O254 + P253, 0)</f>
        <v>0</v>
      </c>
      <c r="Q254" s="1">
        <v>0</v>
      </c>
      <c r="R254" s="1">
        <f>IF(Q254 + R253 &lt; 0, Q254 + R253, 0)</f>
        <v>0</v>
      </c>
      <c r="S254" s="1">
        <v>0</v>
      </c>
      <c r="T254" s="1">
        <f>IF(S254 + T253 &lt; 0, S254 + T253, 0)</f>
        <v>0</v>
      </c>
    </row>
    <row r="255" spans="1:20" s="1" customFormat="1">
      <c r="A255" s="3">
        <v>45356</v>
      </c>
      <c r="B255" s="2" t="s">
        <v>13</v>
      </c>
      <c r="C255" s="2">
        <v>9</v>
      </c>
      <c r="D255" s="2">
        <v>13</v>
      </c>
      <c r="E255" s="1">
        <v>59624.96587496588</v>
      </c>
      <c r="F255" s="1">
        <f>IF(E255 + F254 &lt; 0, E255 + F254, 0)</f>
        <v>0</v>
      </c>
      <c r="G255" s="1">
        <v>59624.96587496588</v>
      </c>
      <c r="H255" s="1">
        <f>IF(G255 + H254 &lt; 0, G255 + H254, 0)</f>
        <v>0</v>
      </c>
      <c r="I255" s="1">
        <v>59624.96587496588</v>
      </c>
      <c r="J255" s="1">
        <f>IF(I255 + J254 &lt; 0, I255 + J254, 0)</f>
        <v>0</v>
      </c>
      <c r="K255" s="1">
        <v>59624.96587496588</v>
      </c>
      <c r="L255" s="1">
        <f>IF(K255 + L254 &lt; 0, K255 + L254, 0)</f>
        <v>0</v>
      </c>
      <c r="M255" s="1">
        <v>0</v>
      </c>
      <c r="N255" s="1">
        <f>IF(M255 + N254 &lt; 0, M255 + N254, 0)</f>
        <v>0</v>
      </c>
      <c r="O255" s="1">
        <v>0</v>
      </c>
      <c r="P255" s="1">
        <f>IF(O255 + P254 &lt; 0, O255 + P254, 0)</f>
        <v>0</v>
      </c>
      <c r="Q255" s="1">
        <v>0</v>
      </c>
      <c r="R255" s="1">
        <f>IF(Q255 + R254 &lt; 0, Q255 + R254, 0)</f>
        <v>0</v>
      </c>
      <c r="S255" s="1">
        <v>0</v>
      </c>
      <c r="T255" s="1">
        <f>IF(S255 + T254 &lt; 0, S255 + T254, 0)</f>
        <v>0</v>
      </c>
    </row>
    <row r="256" spans="1:20" s="1" customFormat="1">
      <c r="A256" s="3">
        <v>45357</v>
      </c>
      <c r="B256" s="2" t="s">
        <v>14</v>
      </c>
      <c r="C256" s="2">
        <v>8</v>
      </c>
      <c r="D256" s="2">
        <v>12</v>
      </c>
      <c r="E256" s="1">
        <v>-60604.45205479456</v>
      </c>
      <c r="F256" s="1">
        <f>IF(E256 + F255 &lt; 0, E256 + F255, 0)</f>
        <v>0</v>
      </c>
      <c r="G256" s="1">
        <v>-4845.890410958919</v>
      </c>
      <c r="H256" s="1">
        <f>IF(G256 + H255 &lt; 0, G256 + H255, 0)</f>
        <v>0</v>
      </c>
      <c r="I256" s="1">
        <v>-4845.890410958919</v>
      </c>
      <c r="J256" s="1">
        <f>IF(I256 + J255 &lt; 0, I256 + J255, 0)</f>
        <v>0</v>
      </c>
      <c r="K256" s="1">
        <v>-4845.890410958919</v>
      </c>
      <c r="L256" s="1">
        <f>IF(K256 + L255 &lt; 0, K256 + L255, 0)</f>
        <v>0</v>
      </c>
      <c r="M256" s="1">
        <v>0</v>
      </c>
      <c r="N256" s="1">
        <f>IF(M256 + N255 &lt; 0, M256 + N255, 0)</f>
        <v>0</v>
      </c>
      <c r="O256" s="1">
        <v>0</v>
      </c>
      <c r="P256" s="1">
        <f>IF(O256 + P255 &lt; 0, O256 + P255, 0)</f>
        <v>0</v>
      </c>
      <c r="Q256" s="1">
        <v>0</v>
      </c>
      <c r="R256" s="1">
        <f>IF(Q256 + R255 &lt; 0, Q256 + R255, 0)</f>
        <v>0</v>
      </c>
      <c r="S256" s="1">
        <v>0</v>
      </c>
      <c r="T256" s="1">
        <f>IF(S256 + T255 &lt; 0, S256 + T255, 0)</f>
        <v>0</v>
      </c>
    </row>
    <row r="257" spans="1:20" s="1" customFormat="1">
      <c r="A257" s="3">
        <v>45358</v>
      </c>
      <c r="B257" s="2" t="s">
        <v>16</v>
      </c>
      <c r="C257" s="2">
        <v>7</v>
      </c>
      <c r="D257" s="2">
        <v>11</v>
      </c>
      <c r="E257" s="1">
        <v>49243.19554741058</v>
      </c>
      <c r="F257" s="1">
        <f>IF(E257 + F256 &lt; 0, E257 + F256, 0)</f>
        <v>0</v>
      </c>
      <c r="G257" s="1">
        <v>49243.19554741058</v>
      </c>
      <c r="H257" s="1">
        <f>IF(G257 + H256 &lt; 0, G257 + H256, 0)</f>
        <v>0</v>
      </c>
      <c r="I257" s="1">
        <v>49243.19554741058</v>
      </c>
      <c r="J257" s="1">
        <f>IF(I257 + J256 &lt; 0, I257 + J256, 0)</f>
        <v>0</v>
      </c>
      <c r="K257" s="1">
        <v>49243.19554741058</v>
      </c>
      <c r="L257" s="1">
        <f>IF(K257 + L256 &lt; 0, K257 + L256, 0)</f>
        <v>0</v>
      </c>
      <c r="M257" s="1">
        <v>0</v>
      </c>
      <c r="N257" s="1">
        <f>IF(M257 + N256 &lt; 0, M257 + N256, 0)</f>
        <v>0</v>
      </c>
      <c r="O257" s="1">
        <v>0</v>
      </c>
      <c r="P257" s="1">
        <f>IF(O257 + P256 &lt; 0, O257 + P256, 0)</f>
        <v>0</v>
      </c>
      <c r="Q257" s="1">
        <v>0</v>
      </c>
      <c r="R257" s="1">
        <f>IF(Q257 + R256 &lt; 0, Q257 + R256, 0)</f>
        <v>0</v>
      </c>
      <c r="S257" s="1">
        <v>0</v>
      </c>
      <c r="T257" s="1">
        <f>IF(S257 + T256 &lt; 0, S257 + T256, 0)</f>
        <v>0</v>
      </c>
    </row>
    <row r="258" spans="1:20" s="1" customFormat="1">
      <c r="A258" s="3">
        <v>45359</v>
      </c>
      <c r="B258" s="2" t="s">
        <v>15</v>
      </c>
      <c r="C258" s="2">
        <v>6</v>
      </c>
      <c r="D258" s="2">
        <v>10</v>
      </c>
      <c r="E258" s="1">
        <v>-58485.92511615199</v>
      </c>
      <c r="F258" s="1">
        <f>IF(E258 + F257 &lt; 0, E258 + F257, 0)</f>
        <v>0</v>
      </c>
      <c r="G258" s="1">
        <v>23162.06613828914</v>
      </c>
      <c r="H258" s="1">
        <f>IF(G258 + H257 &lt; 0, G258 + H257, 0)</f>
        <v>0</v>
      </c>
      <c r="I258" s="1">
        <v>23162.06613828914</v>
      </c>
      <c r="J258" s="1">
        <f>IF(I258 + J257 &lt; 0, I258 + J257, 0)</f>
        <v>0</v>
      </c>
      <c r="K258" s="1">
        <v>23162.06613828914</v>
      </c>
      <c r="L258" s="1">
        <f>IF(K258 + L257 &lt; 0, K258 + L257, 0)</f>
        <v>0</v>
      </c>
      <c r="M258" s="1">
        <v>0</v>
      </c>
      <c r="N258" s="1">
        <f>IF(M258 + N257 &lt; 0, M258 + N257, 0)</f>
        <v>0</v>
      </c>
      <c r="O258" s="1">
        <v>0</v>
      </c>
      <c r="P258" s="1">
        <f>IF(O258 + P257 &lt; 0, O258 + P257, 0)</f>
        <v>0</v>
      </c>
      <c r="Q258" s="1">
        <v>0</v>
      </c>
      <c r="R258" s="1">
        <f>IF(Q258 + R257 &lt; 0, Q258 + R257, 0)</f>
        <v>0</v>
      </c>
      <c r="S258" s="1">
        <v>0</v>
      </c>
      <c r="T258" s="1">
        <f>IF(S258 + T257 &lt; 0, S258 + T257, 0)</f>
        <v>0</v>
      </c>
    </row>
    <row r="259" spans="1:20" s="1" customFormat="1">
      <c r="A259" s="3">
        <v>45362</v>
      </c>
      <c r="B259" s="2" t="s">
        <v>12</v>
      </c>
      <c r="C259" s="2">
        <v>5</v>
      </c>
      <c r="D259" s="2">
        <v>9</v>
      </c>
      <c r="E259" s="1">
        <v>-48136.29127154428</v>
      </c>
      <c r="F259" s="1">
        <f>IF(E259 + F258 &lt; 0, E259 + F258, 0)</f>
        <v>0</v>
      </c>
      <c r="G259" s="1">
        <v>106648.4391223091</v>
      </c>
      <c r="H259" s="1">
        <f>IF(G259 + H258 &lt; 0, G259 + H258, 0)</f>
        <v>0</v>
      </c>
      <c r="I259" s="1">
        <v>106648.4391223091</v>
      </c>
      <c r="J259" s="1">
        <f>IF(I259 + J258 &lt; 0, I259 + J258, 0)</f>
        <v>0</v>
      </c>
      <c r="K259" s="1">
        <v>106648.4391223091</v>
      </c>
      <c r="L259" s="1">
        <f>IF(K259 + L258 &lt; 0, K259 + L258, 0)</f>
        <v>0</v>
      </c>
      <c r="M259" s="1">
        <v>0</v>
      </c>
      <c r="N259" s="1">
        <f>IF(M259 + N258 &lt; 0, M259 + N258, 0)</f>
        <v>0</v>
      </c>
      <c r="O259" s="1">
        <v>0</v>
      </c>
      <c r="P259" s="1">
        <f>IF(O259 + P258 &lt; 0, O259 + P258, 0)</f>
        <v>0</v>
      </c>
      <c r="Q259" s="1">
        <v>0</v>
      </c>
      <c r="R259" s="1">
        <f>IF(Q259 + R258 &lt; 0, Q259 + R258, 0)</f>
        <v>0</v>
      </c>
      <c r="S259" s="1">
        <v>0</v>
      </c>
      <c r="T259" s="1">
        <f>IF(S259 + T258 &lt; 0, S259 + T258, 0)</f>
        <v>0</v>
      </c>
    </row>
    <row r="260" spans="1:20" s="1" customFormat="1">
      <c r="A260" s="3">
        <v>45363</v>
      </c>
      <c r="B260" s="2" t="s">
        <v>13</v>
      </c>
      <c r="C260" s="2">
        <v>4</v>
      </c>
      <c r="D260" s="2">
        <v>8</v>
      </c>
      <c r="E260" s="1">
        <v>16442.4565628763</v>
      </c>
      <c r="F260" s="1">
        <f>IF(E260 + F259 &lt; 0, E260 + F259, 0)</f>
        <v>0</v>
      </c>
      <c r="G260" s="1">
        <v>119826.2515052469</v>
      </c>
      <c r="H260" s="1">
        <f>IF(G260 + H259 &lt; 0, G260 + H259, 0)</f>
        <v>0</v>
      </c>
      <c r="I260" s="1">
        <v>119826.2515052469</v>
      </c>
      <c r="J260" s="1">
        <f>IF(I260 + J259 &lt; 0, I260 + J259, 0)</f>
        <v>0</v>
      </c>
      <c r="K260" s="1">
        <v>119826.2515052469</v>
      </c>
      <c r="L260" s="1">
        <f>IF(K260 + L259 &lt; 0, K260 + L259, 0)</f>
        <v>0</v>
      </c>
      <c r="M260" s="1">
        <v>0</v>
      </c>
      <c r="N260" s="1">
        <f>IF(M260 + N259 &lt; 0, M260 + N259, 0)</f>
        <v>0</v>
      </c>
      <c r="O260" s="1">
        <v>0</v>
      </c>
      <c r="P260" s="1">
        <f>IF(O260 + P259 &lt; 0, O260 + P259, 0)</f>
        <v>0</v>
      </c>
      <c r="Q260" s="1">
        <v>0</v>
      </c>
      <c r="R260" s="1">
        <f>IF(Q260 + R259 &lt; 0, Q260 + R259, 0)</f>
        <v>0</v>
      </c>
      <c r="S260" s="1">
        <v>0</v>
      </c>
      <c r="T260" s="1">
        <f>IF(S260 + T259 &lt; 0, S260 + T259, 0)</f>
        <v>0</v>
      </c>
    </row>
    <row r="261" spans="1:20" s="1" customFormat="1">
      <c r="A261" s="3">
        <v>45364</v>
      </c>
      <c r="B261" s="2" t="s">
        <v>14</v>
      </c>
      <c r="C261" s="2">
        <v>3</v>
      </c>
      <c r="D261" s="2">
        <v>7</v>
      </c>
      <c r="E261" s="1">
        <v>4002.888682554427</v>
      </c>
      <c r="F261" s="1">
        <f>IF(E261 + F260 &lt; 0, E261 + F260, 0)</f>
        <v>0</v>
      </c>
      <c r="G261" s="1">
        <v>40192.2349461811</v>
      </c>
      <c r="H261" s="1">
        <f>IF(G261 + H260 &lt; 0, G261 + H260, 0)</f>
        <v>0</v>
      </c>
      <c r="I261" s="1">
        <v>40192.2349461811</v>
      </c>
      <c r="J261" s="1">
        <f>IF(I261 + J260 &lt; 0, I261 + J260, 0)</f>
        <v>0</v>
      </c>
      <c r="K261" s="1">
        <v>40192.2349461811</v>
      </c>
      <c r="L261" s="1">
        <f>IF(K261 + L260 &lt; 0, K261 + L260, 0)</f>
        <v>0</v>
      </c>
      <c r="M261" s="1">
        <v>0</v>
      </c>
      <c r="N261" s="1">
        <f>IF(M261 + N260 &lt; 0, M261 + N260, 0)</f>
        <v>0</v>
      </c>
      <c r="O261" s="1">
        <v>0</v>
      </c>
      <c r="P261" s="1">
        <f>IF(O261 + P260 &lt; 0, O261 + P260, 0)</f>
        <v>0</v>
      </c>
      <c r="Q261" s="1">
        <v>0</v>
      </c>
      <c r="R261" s="1">
        <f>IF(Q261 + R260 &lt; 0, Q261 + R260, 0)</f>
        <v>0</v>
      </c>
      <c r="S261" s="1">
        <v>0</v>
      </c>
      <c r="T261" s="1">
        <f>IF(S261 + T260 &lt; 0, S261 + T260, 0)</f>
        <v>0</v>
      </c>
    </row>
    <row r="262" spans="1:20" s="1" customFormat="1">
      <c r="A262" s="3">
        <v>45365</v>
      </c>
      <c r="B262" s="2" t="s">
        <v>16</v>
      </c>
      <c r="C262" s="2">
        <v>2</v>
      </c>
      <c r="D262" s="2">
        <v>6</v>
      </c>
      <c r="E262" s="1">
        <v>95361.95286195287</v>
      </c>
      <c r="F262" s="1">
        <f>IF(E262 + F261 &lt; 0, E262 + F261, 0)</f>
        <v>0</v>
      </c>
      <c r="G262" s="1">
        <v>-87550.50505050506</v>
      </c>
      <c r="H262" s="1">
        <f>IF(G262 + H261 &lt; 0, G262 + H261, 0)</f>
        <v>0</v>
      </c>
      <c r="I262" s="1">
        <v>15319.86531986533</v>
      </c>
      <c r="J262" s="1">
        <f>IF(I262 + J261 &lt; 0, I262 + J261, 0)</f>
        <v>0</v>
      </c>
      <c r="K262" s="1">
        <v>15319.86531986533</v>
      </c>
      <c r="L262" s="1">
        <f>IF(K262 + L261 &lt; 0, K262 + L261, 0)</f>
        <v>0</v>
      </c>
      <c r="M262" s="1">
        <v>55305.75539568345</v>
      </c>
      <c r="N262" s="1">
        <f>IF(M262 + N261 &lt; 0, M262 + N261, 0)</f>
        <v>0</v>
      </c>
      <c r="O262" s="1">
        <v>55305.75539568345</v>
      </c>
      <c r="P262" s="1">
        <f>IF(O262 + P261 &lt; 0, O262 + P261, 0)</f>
        <v>0</v>
      </c>
      <c r="Q262" s="1">
        <v>55305.75539568345</v>
      </c>
      <c r="R262" s="1">
        <f>IF(Q262 + R261 &lt; 0, Q262 + R261, 0)</f>
        <v>0</v>
      </c>
      <c r="S262" s="1">
        <v>55305.75539568345</v>
      </c>
      <c r="T262" s="1">
        <f>IF(S262 + T261 &lt; 0, S262 + T261, 0)</f>
        <v>0</v>
      </c>
    </row>
    <row r="263" spans="1:20" s="1" customFormat="1">
      <c r="A263" s="3">
        <v>45366</v>
      </c>
      <c r="B263" s="2" t="s">
        <v>15</v>
      </c>
      <c r="C263" s="2">
        <v>1</v>
      </c>
      <c r="D263" s="2">
        <v>5</v>
      </c>
      <c r="E263" s="1">
        <v>-17334.44583966691</v>
      </c>
      <c r="F263" s="1">
        <f>IF(E263 + F262 &lt; 0, E263 + F262, 0)</f>
        <v>0</v>
      </c>
      <c r="G263" s="1">
        <v>192583.9336461569</v>
      </c>
      <c r="H263" s="1">
        <f>IF(G263 + H262 &lt; 0, G263 + H262, 0)</f>
        <v>0</v>
      </c>
      <c r="I263" s="1">
        <v>245203.5556143018</v>
      </c>
      <c r="J263" s="1">
        <f>IF(I263 + J262 &lt; 0, I263 + J262, 0)</f>
        <v>0</v>
      </c>
      <c r="K263" s="1">
        <v>245203.5556143018</v>
      </c>
      <c r="L263" s="1">
        <f>IF(K263 + L262 &lt; 0, K263 + L262, 0)</f>
        <v>0</v>
      </c>
      <c r="M263" s="1">
        <v>29984.26773455379</v>
      </c>
      <c r="N263" s="1">
        <f>IF(M263 + N262 &lt; 0, M263 + N262, 0)</f>
        <v>0</v>
      </c>
      <c r="O263" s="1">
        <v>-50107.26544622424</v>
      </c>
      <c r="P263" s="1">
        <f>IF(O263 + P262 &lt; 0, O263 + P262, 0)</f>
        <v>0</v>
      </c>
      <c r="Q263" s="1">
        <v>-112457.0938215104</v>
      </c>
      <c r="R263" s="1">
        <f>IF(Q263 + R262 &lt; 0, Q263 + R262, 0)</f>
        <v>0</v>
      </c>
      <c r="S263" s="1">
        <v>-112457.0938215104</v>
      </c>
      <c r="T263" s="1">
        <f>IF(S263 + T262 &lt; 0, S263 + T262, 0)</f>
        <v>0</v>
      </c>
    </row>
    <row r="264" spans="1:20" s="1" customFormat="1">
      <c r="A264" s="3">
        <v>45369</v>
      </c>
      <c r="B264" s="2" t="s">
        <v>12</v>
      </c>
      <c r="C264" s="2">
        <v>21</v>
      </c>
      <c r="D264" s="2">
        <v>4</v>
      </c>
      <c r="E264" s="1">
        <v>0</v>
      </c>
      <c r="F264" s="1">
        <f>IF(E264 + F263 &lt; 0, E264 + F263, 0)</f>
        <v>0</v>
      </c>
      <c r="G264" s="1">
        <v>0</v>
      </c>
      <c r="H264" s="1">
        <f>IF(G264 + H263 &lt; 0, G264 + H263, 0)</f>
        <v>0</v>
      </c>
      <c r="I264" s="1">
        <v>0</v>
      </c>
      <c r="J264" s="1">
        <f>IF(I264 + J263 &lt; 0, I264 + J263, 0)</f>
        <v>0</v>
      </c>
      <c r="K264" s="1">
        <v>0</v>
      </c>
      <c r="L264" s="1">
        <f>IF(K264 + L263 &lt; 0, K264 + L263, 0)</f>
        <v>0</v>
      </c>
      <c r="M264" s="1">
        <v>31304.34782608696</v>
      </c>
      <c r="N264" s="1">
        <f>IF(M264 + N263 &lt; 0, M264 + N263, 0)</f>
        <v>0</v>
      </c>
      <c r="O264" s="1">
        <v>31304.34782608696</v>
      </c>
      <c r="P264" s="1">
        <f>IF(O264 + P263 &lt; 0, O264 + P263, 0)</f>
        <v>0</v>
      </c>
      <c r="Q264" s="1">
        <v>31304.34782608696</v>
      </c>
      <c r="R264" s="1">
        <f>IF(Q264 + R263 &lt; 0, Q264 + R263, 0)</f>
        <v>0</v>
      </c>
      <c r="S264" s="1">
        <v>31304.34782608696</v>
      </c>
      <c r="T264" s="1">
        <f>IF(S264 + T263 &lt; 0, S264 + T263, 0)</f>
        <v>0</v>
      </c>
    </row>
    <row r="265" spans="1:20" s="1" customFormat="1">
      <c r="A265" s="3">
        <v>45370</v>
      </c>
      <c r="B265" s="2" t="s">
        <v>13</v>
      </c>
      <c r="C265" s="2">
        <v>20</v>
      </c>
      <c r="D265" s="2">
        <v>3</v>
      </c>
      <c r="E265" s="1">
        <v>0</v>
      </c>
      <c r="F265" s="1">
        <f>IF(E265 + F264 &lt; 0, E265 + F264, 0)</f>
        <v>0</v>
      </c>
      <c r="G265" s="1">
        <v>0</v>
      </c>
      <c r="H265" s="1">
        <f>IF(G265 + H264 &lt; 0, G265 + H264, 0)</f>
        <v>0</v>
      </c>
      <c r="I265" s="1">
        <v>0</v>
      </c>
      <c r="J265" s="1">
        <f>IF(I265 + J264 &lt; 0, I265 + J264, 0)</f>
        <v>0</v>
      </c>
      <c r="K265" s="1">
        <v>0</v>
      </c>
      <c r="L265" s="1">
        <f>IF(K265 + L264 &lt; 0, K265 + L264, 0)</f>
        <v>0</v>
      </c>
      <c r="M265" s="1">
        <v>87864.2191142191</v>
      </c>
      <c r="N265" s="1">
        <f>IF(M265 + N264 &lt; 0, M265 + N264, 0)</f>
        <v>0</v>
      </c>
      <c r="O265" s="1">
        <v>87864.2191142191</v>
      </c>
      <c r="P265" s="1">
        <f>IF(O265 + P264 &lt; 0, O265 + P264, 0)</f>
        <v>0</v>
      </c>
      <c r="Q265" s="1">
        <v>87864.2191142191</v>
      </c>
      <c r="R265" s="1">
        <f>IF(Q265 + R264 &lt; 0, Q265 + R264, 0)</f>
        <v>0</v>
      </c>
      <c r="S265" s="1">
        <v>87864.2191142191</v>
      </c>
      <c r="T265" s="1">
        <f>IF(S265 + T264 &lt; 0, S265 + T264, 0)</f>
        <v>0</v>
      </c>
    </row>
    <row r="266" spans="1:20" s="1" customFormat="1">
      <c r="A266" s="3">
        <v>45371</v>
      </c>
      <c r="B266" s="2" t="s">
        <v>14</v>
      </c>
      <c r="C266" s="2">
        <v>19</v>
      </c>
      <c r="D266" s="2">
        <v>2</v>
      </c>
      <c r="E266" s="1">
        <v>0</v>
      </c>
      <c r="F266" s="1">
        <f>IF(E266 + F265 &lt; 0, E266 + F265, 0)</f>
        <v>0</v>
      </c>
      <c r="G266" s="1">
        <v>0</v>
      </c>
      <c r="H266" s="1">
        <f>IF(G266 + H265 &lt; 0, G266 + H265, 0)</f>
        <v>0</v>
      </c>
      <c r="I266" s="1">
        <v>0</v>
      </c>
      <c r="J266" s="1">
        <f>IF(I266 + J265 &lt; 0, I266 + J265, 0)</f>
        <v>0</v>
      </c>
      <c r="K266" s="1">
        <v>0</v>
      </c>
      <c r="L266" s="1">
        <f>IF(K266 + L265 &lt; 0, K266 + L265, 0)</f>
        <v>0</v>
      </c>
      <c r="M266" s="1">
        <v>48340.96109839818</v>
      </c>
      <c r="N266" s="1">
        <f>IF(M266 + N265 &lt; 0, M266 + N265, 0)</f>
        <v>0</v>
      </c>
      <c r="O266" s="1">
        <v>48340.96109839818</v>
      </c>
      <c r="P266" s="1">
        <f>IF(O266 + P265 &lt; 0, O266 + P265, 0)</f>
        <v>0</v>
      </c>
      <c r="Q266" s="1">
        <v>48340.96109839818</v>
      </c>
      <c r="R266" s="1">
        <f>IF(Q266 + R265 &lt; 0, Q266 + R265, 0)</f>
        <v>0</v>
      </c>
      <c r="S266" s="1">
        <v>48340.96109839818</v>
      </c>
      <c r="T266" s="1">
        <f>IF(S266 + T265 &lt; 0, S266 + T265, 0)</f>
        <v>0</v>
      </c>
    </row>
    <row r="267" spans="1:20" s="1" customFormat="1">
      <c r="A267" s="3">
        <v>45372</v>
      </c>
      <c r="B267" s="2" t="s">
        <v>16</v>
      </c>
      <c r="C267" s="2">
        <v>18</v>
      </c>
      <c r="D267" s="2">
        <v>1</v>
      </c>
      <c r="E267" s="1">
        <v>0</v>
      </c>
      <c r="F267" s="1">
        <f>IF(E267 + F266 &lt; 0, E267 + F266, 0)</f>
        <v>0</v>
      </c>
      <c r="G267" s="1">
        <v>0</v>
      </c>
      <c r="H267" s="1">
        <f>IF(G267 + H266 &lt; 0, G267 + H266, 0)</f>
        <v>0</v>
      </c>
      <c r="I267" s="1">
        <v>0</v>
      </c>
      <c r="J267" s="1">
        <f>IF(I267 + J266 &lt; 0, I267 + J266, 0)</f>
        <v>0</v>
      </c>
      <c r="K267" s="1">
        <v>0</v>
      </c>
      <c r="L267" s="1">
        <f>IF(K267 + L266 &lt; 0, K267 + L266, 0)</f>
        <v>0</v>
      </c>
      <c r="M267" s="1">
        <v>100403.2258064516</v>
      </c>
      <c r="N267" s="1">
        <f>IF(M267 + N266 &lt; 0, M267 + N266, 0)</f>
        <v>0</v>
      </c>
      <c r="O267" s="1">
        <v>100403.2258064516</v>
      </c>
      <c r="P267" s="1">
        <f>IF(O267 + P266 &lt; 0, O267 + P266, 0)</f>
        <v>0</v>
      </c>
      <c r="Q267" s="1">
        <v>100403.2258064516</v>
      </c>
      <c r="R267" s="1">
        <f>IF(Q267 + R266 &lt; 0, Q267 + R266, 0)</f>
        <v>0</v>
      </c>
      <c r="S267" s="1">
        <v>100403.2258064516</v>
      </c>
      <c r="T267" s="1">
        <f>IF(S267 + T266 &lt; 0, S267 + T266, 0)</f>
        <v>0</v>
      </c>
    </row>
    <row r="268" spans="1:20" s="1" customFormat="1">
      <c r="A268" s="3">
        <v>45373</v>
      </c>
      <c r="B268" s="2" t="s">
        <v>15</v>
      </c>
      <c r="C268" s="2">
        <v>17</v>
      </c>
      <c r="D268" s="2">
        <v>21</v>
      </c>
      <c r="E268" s="1">
        <v>0</v>
      </c>
      <c r="F268" s="1">
        <f>IF(E268 + F267 &lt; 0, E268 + F267, 0)</f>
        <v>0</v>
      </c>
      <c r="G268" s="1">
        <v>0</v>
      </c>
      <c r="H268" s="1">
        <f>IF(G268 + H267 &lt; 0, G268 + H267, 0)</f>
        <v>0</v>
      </c>
      <c r="I268" s="1">
        <v>0</v>
      </c>
      <c r="J268" s="1">
        <f>IF(I268 + J267 &lt; 0, I268 + J267, 0)</f>
        <v>0</v>
      </c>
      <c r="K268" s="1">
        <v>0</v>
      </c>
      <c r="L268" s="1">
        <f>IF(K268 + L267 &lt; 0, K268 + L267, 0)</f>
        <v>0</v>
      </c>
      <c r="M268" s="1">
        <v>0</v>
      </c>
      <c r="N268" s="1">
        <f>IF(M268 + N267 &lt; 0, M268 + N267, 0)</f>
        <v>0</v>
      </c>
      <c r="O268" s="1">
        <v>0</v>
      </c>
      <c r="P268" s="1">
        <f>IF(O268 + P267 &lt; 0, O268 + P267, 0)</f>
        <v>0</v>
      </c>
      <c r="Q268" s="1">
        <v>0</v>
      </c>
      <c r="R268" s="1">
        <f>IF(Q268 + R267 &lt; 0, Q268 + R267, 0)</f>
        <v>0</v>
      </c>
      <c r="S268" s="1">
        <v>0</v>
      </c>
      <c r="T268" s="1">
        <f>IF(S268 + T267 &lt; 0, S268 + T267, 0)</f>
        <v>0</v>
      </c>
    </row>
    <row r="269" spans="1:20" s="1" customFormat="1">
      <c r="A269" s="3">
        <v>45376</v>
      </c>
      <c r="B269" s="2" t="s">
        <v>12</v>
      </c>
      <c r="C269" s="2">
        <v>16</v>
      </c>
      <c r="D269" s="2">
        <v>20</v>
      </c>
      <c r="E269" s="1">
        <v>0</v>
      </c>
      <c r="F269" s="1">
        <f>IF(E269 + F268 &lt; 0, E269 + F268, 0)</f>
        <v>0</v>
      </c>
      <c r="G269" s="1">
        <v>0</v>
      </c>
      <c r="H269" s="1">
        <f>IF(G269 + H268 &lt; 0, G269 + H268, 0)</f>
        <v>0</v>
      </c>
      <c r="I269" s="1">
        <v>0</v>
      </c>
      <c r="J269" s="1">
        <f>IF(I269 + J268 &lt; 0, I269 + J268, 0)</f>
        <v>0</v>
      </c>
      <c r="K269" s="1">
        <v>0</v>
      </c>
      <c r="L269" s="1">
        <f>IF(K269 + L268 &lt; 0, K269 + L268, 0)</f>
        <v>0</v>
      </c>
      <c r="M269" s="1">
        <v>0</v>
      </c>
      <c r="N269" s="1">
        <f>IF(M269 + N268 &lt; 0, M269 + N268, 0)</f>
        <v>0</v>
      </c>
      <c r="O269" s="1">
        <v>0</v>
      </c>
      <c r="P269" s="1">
        <f>IF(O269 + P268 &lt; 0, O269 + P268, 0)</f>
        <v>0</v>
      </c>
      <c r="Q269" s="1">
        <v>0</v>
      </c>
      <c r="R269" s="1">
        <f>IF(Q269 + R268 &lt; 0, Q269 + R268, 0)</f>
        <v>0</v>
      </c>
      <c r="S269" s="1">
        <v>0</v>
      </c>
      <c r="T269" s="1">
        <f>IF(S269 + T268 &lt; 0, S269 + T268, 0)</f>
        <v>0</v>
      </c>
    </row>
    <row r="270" spans="1:20" s="1" customFormat="1">
      <c r="A270" s="3">
        <v>45377</v>
      </c>
      <c r="B270" s="2" t="s">
        <v>13</v>
      </c>
      <c r="C270" s="2">
        <v>15</v>
      </c>
      <c r="D270" s="2">
        <v>19</v>
      </c>
      <c r="E270" s="1">
        <v>0</v>
      </c>
      <c r="F270" s="1">
        <f>IF(E270 + F269 &lt; 0, E270 + F269, 0)</f>
        <v>0</v>
      </c>
      <c r="G270" s="1">
        <v>0</v>
      </c>
      <c r="H270" s="1">
        <f>IF(G270 + H269 &lt; 0, G270 + H269, 0)</f>
        <v>0</v>
      </c>
      <c r="I270" s="1">
        <v>0</v>
      </c>
      <c r="J270" s="1">
        <f>IF(I270 + J269 &lt; 0, I270 + J269, 0)</f>
        <v>0</v>
      </c>
      <c r="K270" s="1">
        <v>0</v>
      </c>
      <c r="L270" s="1">
        <f>IF(K270 + L269 &lt; 0, K270 + L269, 0)</f>
        <v>0</v>
      </c>
      <c r="M270" s="1">
        <v>0</v>
      </c>
      <c r="N270" s="1">
        <f>IF(M270 + N269 &lt; 0, M270 + N269, 0)</f>
        <v>0</v>
      </c>
      <c r="O270" s="1">
        <v>0</v>
      </c>
      <c r="P270" s="1">
        <f>IF(O270 + P269 &lt; 0, O270 + P269, 0)</f>
        <v>0</v>
      </c>
      <c r="Q270" s="1">
        <v>0</v>
      </c>
      <c r="R270" s="1">
        <f>IF(Q270 + R269 &lt; 0, Q270 + R269, 0)</f>
        <v>0</v>
      </c>
      <c r="S270" s="1">
        <v>0</v>
      </c>
      <c r="T270" s="1">
        <f>IF(S270 + T269 &lt; 0, S270 + T269, 0)</f>
        <v>0</v>
      </c>
    </row>
    <row r="271" spans="1:20" s="1" customFormat="1">
      <c r="A271" s="3">
        <v>45378</v>
      </c>
      <c r="B271" s="2" t="s">
        <v>14</v>
      </c>
      <c r="C271" s="2">
        <v>14</v>
      </c>
      <c r="D271" s="2">
        <v>18</v>
      </c>
      <c r="E271" s="1">
        <v>0</v>
      </c>
      <c r="F271" s="1">
        <f>IF(E271 + F270 &lt; 0, E271 + F270, 0)</f>
        <v>0</v>
      </c>
      <c r="G271" s="1">
        <v>0</v>
      </c>
      <c r="H271" s="1">
        <f>IF(G271 + H270 &lt; 0, G271 + H270, 0)</f>
        <v>0</v>
      </c>
      <c r="I271" s="1">
        <v>0</v>
      </c>
      <c r="J271" s="1">
        <f>IF(I271 + J270 &lt; 0, I271 + J270, 0)</f>
        <v>0</v>
      </c>
      <c r="K271" s="1">
        <v>0</v>
      </c>
      <c r="L271" s="1">
        <f>IF(K271 + L270 &lt; 0, K271 + L270, 0)</f>
        <v>0</v>
      </c>
      <c r="M271" s="1">
        <v>0</v>
      </c>
      <c r="N271" s="1">
        <f>IF(M271 + N270 &lt; 0, M271 + N270, 0)</f>
        <v>0</v>
      </c>
      <c r="O271" s="1">
        <v>0</v>
      </c>
      <c r="P271" s="1">
        <f>IF(O271 + P270 &lt; 0, O271 + P270, 0)</f>
        <v>0</v>
      </c>
      <c r="Q271" s="1">
        <v>0</v>
      </c>
      <c r="R271" s="1">
        <f>IF(Q271 + R270 &lt; 0, Q271 + R270, 0)</f>
        <v>0</v>
      </c>
      <c r="S271" s="1">
        <v>0</v>
      </c>
      <c r="T271" s="1">
        <f>IF(S271 + T270 &lt; 0, S271 + T270, 0)</f>
        <v>0</v>
      </c>
    </row>
    <row r="272" spans="1:20" s="1" customFormat="1">
      <c r="A272" s="3">
        <v>45379</v>
      </c>
      <c r="B272" s="2" t="s">
        <v>16</v>
      </c>
      <c r="C272" s="2">
        <v>13</v>
      </c>
      <c r="D272" s="2">
        <v>17</v>
      </c>
      <c r="E272" s="1">
        <v>0</v>
      </c>
      <c r="F272" s="1">
        <f>IF(E272 + F271 &lt; 0, E272 + F271, 0)</f>
        <v>0</v>
      </c>
      <c r="G272" s="1">
        <v>0</v>
      </c>
      <c r="H272" s="1">
        <f>IF(G272 + H271 &lt; 0, G272 + H271, 0)</f>
        <v>0</v>
      </c>
      <c r="I272" s="1">
        <v>0</v>
      </c>
      <c r="J272" s="1">
        <f>IF(I272 + J271 &lt; 0, I272 + J271, 0)</f>
        <v>0</v>
      </c>
      <c r="K272" s="1">
        <v>0</v>
      </c>
      <c r="L272" s="1">
        <f>IF(K272 + L271 &lt; 0, K272 + L271, 0)</f>
        <v>0</v>
      </c>
      <c r="M272" s="1">
        <v>0</v>
      </c>
      <c r="N272" s="1">
        <f>IF(M272 + N271 &lt; 0, M272 + N271, 0)</f>
        <v>0</v>
      </c>
      <c r="O272" s="1">
        <v>0</v>
      </c>
      <c r="P272" s="1">
        <f>IF(O272 + P271 &lt; 0, O272 + P271, 0)</f>
        <v>0</v>
      </c>
      <c r="Q272" s="1">
        <v>0</v>
      </c>
      <c r="R272" s="1">
        <f>IF(Q272 + R271 &lt; 0, Q272 + R271, 0)</f>
        <v>0</v>
      </c>
      <c r="S272" s="1">
        <v>0</v>
      </c>
      <c r="T272" s="1">
        <f>IF(S272 + T271 &lt; 0, S272 + T271, 0)</f>
        <v>0</v>
      </c>
    </row>
    <row r="273" spans="1:20" s="1" customFormat="1">
      <c r="A273" s="3">
        <v>45383</v>
      </c>
      <c r="B273" s="2" t="s">
        <v>12</v>
      </c>
      <c r="C273" s="2">
        <v>12</v>
      </c>
      <c r="D273" s="2">
        <v>16</v>
      </c>
      <c r="E273" s="1">
        <v>0</v>
      </c>
      <c r="F273" s="1">
        <f>IF(E273 + F272 &lt; 0, E273 + F272, 0)</f>
        <v>0</v>
      </c>
      <c r="G273" s="1">
        <v>0</v>
      </c>
      <c r="H273" s="1">
        <f>IF(G273 + H272 &lt; 0, G273 + H272, 0)</f>
        <v>0</v>
      </c>
      <c r="I273" s="1">
        <v>0</v>
      </c>
      <c r="J273" s="1">
        <f>IF(I273 + J272 &lt; 0, I273 + J272, 0)</f>
        <v>0</v>
      </c>
      <c r="K273" s="1">
        <v>0</v>
      </c>
      <c r="L273" s="1">
        <f>IF(K273 + L272 &lt; 0, K273 + L272, 0)</f>
        <v>0</v>
      </c>
      <c r="M273" s="1">
        <v>0</v>
      </c>
      <c r="N273" s="1">
        <f>IF(M273 + N272 &lt; 0, M273 + N272, 0)</f>
        <v>0</v>
      </c>
      <c r="O273" s="1">
        <v>0</v>
      </c>
      <c r="P273" s="1">
        <f>IF(O273 + P272 &lt; 0, O273 + P272, 0)</f>
        <v>0</v>
      </c>
      <c r="Q273" s="1">
        <v>0</v>
      </c>
      <c r="R273" s="1">
        <f>IF(Q273 + R272 &lt; 0, Q273 + R272, 0)</f>
        <v>0</v>
      </c>
      <c r="S273" s="1">
        <v>0</v>
      </c>
      <c r="T273" s="1">
        <f>IF(S273 + T272 &lt; 0, S273 + T272, 0)</f>
        <v>0</v>
      </c>
    </row>
    <row r="274" spans="1:20" s="1" customFormat="1">
      <c r="A274" s="3">
        <v>45384</v>
      </c>
      <c r="B274" s="2" t="s">
        <v>13</v>
      </c>
      <c r="C274" s="2">
        <v>11</v>
      </c>
      <c r="D274" s="2">
        <v>15</v>
      </c>
      <c r="E274" s="1">
        <v>0</v>
      </c>
      <c r="F274" s="1">
        <f>IF(E274 + F273 &lt; 0, E274 + F273, 0)</f>
        <v>0</v>
      </c>
      <c r="G274" s="1">
        <v>0</v>
      </c>
      <c r="H274" s="1">
        <f>IF(G274 + H273 &lt; 0, G274 + H273, 0)</f>
        <v>0</v>
      </c>
      <c r="I274" s="1">
        <v>0</v>
      </c>
      <c r="J274" s="1">
        <f>IF(I274 + J273 &lt; 0, I274 + J273, 0)</f>
        <v>0</v>
      </c>
      <c r="K274" s="1">
        <v>0</v>
      </c>
      <c r="L274" s="1">
        <f>IF(K274 + L273 &lt; 0, K274 + L273, 0)</f>
        <v>0</v>
      </c>
      <c r="M274" s="1">
        <v>0</v>
      </c>
      <c r="N274" s="1">
        <f>IF(M274 + N273 &lt; 0, M274 + N273, 0)</f>
        <v>0</v>
      </c>
      <c r="O274" s="1">
        <v>0</v>
      </c>
      <c r="P274" s="1">
        <f>IF(O274 + P273 &lt; 0, O274 + P273, 0)</f>
        <v>0</v>
      </c>
      <c r="Q274" s="1">
        <v>0</v>
      </c>
      <c r="R274" s="1">
        <f>IF(Q274 + R273 &lt; 0, Q274 + R273, 0)</f>
        <v>0</v>
      </c>
      <c r="S274" s="1">
        <v>0</v>
      </c>
      <c r="T274" s="1">
        <f>IF(S274 + T273 &lt; 0, S274 + T273, 0)</f>
        <v>0</v>
      </c>
    </row>
    <row r="275" spans="1:20" s="1" customFormat="1">
      <c r="A275" s="3">
        <v>45385</v>
      </c>
      <c r="B275" s="2" t="s">
        <v>14</v>
      </c>
      <c r="C275" s="2">
        <v>10</v>
      </c>
      <c r="D275" s="2">
        <v>14</v>
      </c>
      <c r="E275" s="1">
        <v>101580.5946791862</v>
      </c>
      <c r="F275" s="1">
        <f>IF(E275 + F274 &lt; 0, E275 + F274, 0)</f>
        <v>0</v>
      </c>
      <c r="G275" s="1">
        <v>101580.5946791862</v>
      </c>
      <c r="H275" s="1">
        <f>IF(G275 + H274 &lt; 0, G275 + H274, 0)</f>
        <v>0</v>
      </c>
      <c r="I275" s="1">
        <v>101580.5946791862</v>
      </c>
      <c r="J275" s="1">
        <f>IF(I275 + J274 &lt; 0, I275 + J274, 0)</f>
        <v>0</v>
      </c>
      <c r="K275" s="1">
        <v>101580.5946791862</v>
      </c>
      <c r="L275" s="1">
        <f>IF(K275 + L274 &lt; 0, K275 + L274, 0)</f>
        <v>0</v>
      </c>
      <c r="M275" s="1">
        <v>0</v>
      </c>
      <c r="N275" s="1">
        <f>IF(M275 + N274 &lt; 0, M275 + N274, 0)</f>
        <v>0</v>
      </c>
      <c r="O275" s="1">
        <v>0</v>
      </c>
      <c r="P275" s="1">
        <f>IF(O275 + P274 &lt; 0, O275 + P274, 0)</f>
        <v>0</v>
      </c>
      <c r="Q275" s="1">
        <v>0</v>
      </c>
      <c r="R275" s="1">
        <f>IF(Q275 + R274 &lt; 0, Q275 + R274, 0)</f>
        <v>0</v>
      </c>
      <c r="S275" s="1">
        <v>0</v>
      </c>
      <c r="T275" s="1">
        <f>IF(S275 + T274 &lt; 0, S275 + T274, 0)</f>
        <v>0</v>
      </c>
    </row>
    <row r="276" spans="1:20" s="1" customFormat="1">
      <c r="A276" s="3">
        <v>45386</v>
      </c>
      <c r="B276" s="2" t="s">
        <v>16</v>
      </c>
      <c r="C276" s="2">
        <v>9</v>
      </c>
      <c r="D276" s="2">
        <v>13</v>
      </c>
      <c r="E276" s="1">
        <v>9069.167934900768</v>
      </c>
      <c r="F276" s="1">
        <f>IF(E276 + F275 &lt; 0, E276 + F275, 0)</f>
        <v>0</v>
      </c>
      <c r="G276" s="1">
        <v>9069.167934900768</v>
      </c>
      <c r="H276" s="1">
        <f>IF(G276 + H275 &lt; 0, G276 + H275, 0)</f>
        <v>0</v>
      </c>
      <c r="I276" s="1">
        <v>9069.167934900768</v>
      </c>
      <c r="J276" s="1">
        <f>IF(I276 + J275 &lt; 0, I276 + J275, 0)</f>
        <v>0</v>
      </c>
      <c r="K276" s="1">
        <v>9069.167934900768</v>
      </c>
      <c r="L276" s="1">
        <f>IF(K276 + L275 &lt; 0, K276 + L275, 0)</f>
        <v>0</v>
      </c>
      <c r="M276" s="1">
        <v>0</v>
      </c>
      <c r="N276" s="1">
        <f>IF(M276 + N275 &lt; 0, M276 + N275, 0)</f>
        <v>0</v>
      </c>
      <c r="O276" s="1">
        <v>0</v>
      </c>
      <c r="P276" s="1">
        <f>IF(O276 + P275 &lt; 0, O276 + P275, 0)</f>
        <v>0</v>
      </c>
      <c r="Q276" s="1">
        <v>0</v>
      </c>
      <c r="R276" s="1">
        <f>IF(Q276 + R275 &lt; 0, Q276 + R275, 0)</f>
        <v>0</v>
      </c>
      <c r="S276" s="1">
        <v>0</v>
      </c>
      <c r="T276" s="1">
        <f>IF(S276 + T275 &lt; 0, S276 + T275, 0)</f>
        <v>0</v>
      </c>
    </row>
    <row r="277" spans="1:20" s="1" customFormat="1">
      <c r="A277" s="3">
        <v>45387</v>
      </c>
      <c r="B277" s="2" t="s">
        <v>15</v>
      </c>
      <c r="C277" s="2">
        <v>8</v>
      </c>
      <c r="D277" s="2">
        <v>12</v>
      </c>
      <c r="E277" s="1">
        <v>-4033.001474926251</v>
      </c>
      <c r="F277" s="1">
        <f>IF(E277 + F276 &lt; 0, E277 + F276, 0)</f>
        <v>0</v>
      </c>
      <c r="G277" s="1">
        <v>-4033.001474926251</v>
      </c>
      <c r="H277" s="1">
        <f>IF(G277 + H276 &lt; 0, G277 + H276, 0)</f>
        <v>0</v>
      </c>
      <c r="I277" s="1">
        <v>-4033.001474926251</v>
      </c>
      <c r="J277" s="1">
        <f>IF(I277 + J276 &lt; 0, I277 + J276, 0)</f>
        <v>0</v>
      </c>
      <c r="K277" s="1">
        <v>-4033.001474926251</v>
      </c>
      <c r="L277" s="1">
        <f>IF(K277 + L276 &lt; 0, K277 + L276, 0)</f>
        <v>0</v>
      </c>
      <c r="M277" s="1">
        <v>0</v>
      </c>
      <c r="N277" s="1">
        <f>IF(M277 + N276 &lt; 0, M277 + N276, 0)</f>
        <v>0</v>
      </c>
      <c r="O277" s="1">
        <v>0</v>
      </c>
      <c r="P277" s="1">
        <f>IF(O277 + P276 &lt; 0, O277 + P276, 0)</f>
        <v>0</v>
      </c>
      <c r="Q277" s="1">
        <v>0</v>
      </c>
      <c r="R277" s="1">
        <f>IF(Q277 + R276 &lt; 0, Q277 + R276, 0)</f>
        <v>0</v>
      </c>
      <c r="S277" s="1">
        <v>0</v>
      </c>
      <c r="T277" s="1">
        <f>IF(S277 + T276 &lt; 0, S277 + T276, 0)</f>
        <v>0</v>
      </c>
    </row>
    <row r="278" spans="1:20" s="1" customFormat="1">
      <c r="A278" s="3">
        <v>45390</v>
      </c>
      <c r="B278" s="2" t="s">
        <v>12</v>
      </c>
      <c r="C278" s="2">
        <v>7</v>
      </c>
      <c r="D278" s="2">
        <v>11</v>
      </c>
      <c r="E278" s="1">
        <v>41260.24494375019</v>
      </c>
      <c r="F278" s="1">
        <f>IF(E278 + F277 &lt; 0, E278 + F277, 0)</f>
        <v>0</v>
      </c>
      <c r="G278" s="1">
        <v>41260.24494375019</v>
      </c>
      <c r="H278" s="1">
        <f>IF(G278 + H277 &lt; 0, G278 + H277, 0)</f>
        <v>0</v>
      </c>
      <c r="I278" s="1">
        <v>41260.24494375019</v>
      </c>
      <c r="J278" s="1">
        <f>IF(I278 + J277 &lt; 0, I278 + J277, 0)</f>
        <v>0</v>
      </c>
      <c r="K278" s="1">
        <v>41260.24494375019</v>
      </c>
      <c r="L278" s="1">
        <f>IF(K278 + L277 &lt; 0, K278 + L277, 0)</f>
        <v>0</v>
      </c>
      <c r="M278" s="1">
        <v>0</v>
      </c>
      <c r="N278" s="1">
        <f>IF(M278 + N277 &lt; 0, M278 + N277, 0)</f>
        <v>0</v>
      </c>
      <c r="O278" s="1">
        <v>0</v>
      </c>
      <c r="P278" s="1">
        <f>IF(O278 + P277 &lt; 0, O278 + P277, 0)</f>
        <v>0</v>
      </c>
      <c r="Q278" s="1">
        <v>0</v>
      </c>
      <c r="R278" s="1">
        <f>IF(Q278 + R277 &lt; 0, Q278 + R277, 0)</f>
        <v>0</v>
      </c>
      <c r="S278" s="1">
        <v>0</v>
      </c>
      <c r="T278" s="1">
        <f>IF(S278 + T277 &lt; 0, S278 + T277, 0)</f>
        <v>0</v>
      </c>
    </row>
    <row r="279" spans="1:20" s="1" customFormat="1">
      <c r="A279" s="3">
        <v>45391</v>
      </c>
      <c r="B279" s="2" t="s">
        <v>13</v>
      </c>
      <c r="C279" s="2">
        <v>6</v>
      </c>
      <c r="D279" s="2">
        <v>10</v>
      </c>
      <c r="E279" s="1">
        <v>-20991.8310727497</v>
      </c>
      <c r="F279" s="1">
        <f>IF(E279 + F278 &lt; 0, E279 + F278, 0)</f>
        <v>0</v>
      </c>
      <c r="G279" s="1">
        <v>-15359.1245376079</v>
      </c>
      <c r="H279" s="1">
        <f>IF(G279 + H278 &lt; 0, G279 + H278, 0)</f>
        <v>0</v>
      </c>
      <c r="I279" s="1">
        <v>-15359.1245376079</v>
      </c>
      <c r="J279" s="1">
        <f>IF(I279 + J278 &lt; 0, I279 + J278, 0)</f>
        <v>0</v>
      </c>
      <c r="K279" s="1">
        <v>-15359.1245376079</v>
      </c>
      <c r="L279" s="1">
        <f>IF(K279 + L278 &lt; 0, K279 + L278, 0)</f>
        <v>0</v>
      </c>
      <c r="M279" s="1">
        <v>0</v>
      </c>
      <c r="N279" s="1">
        <f>IF(M279 + N278 &lt; 0, M279 + N278, 0)</f>
        <v>0</v>
      </c>
      <c r="O279" s="1">
        <v>0</v>
      </c>
      <c r="P279" s="1">
        <f>IF(O279 + P278 &lt; 0, O279 + P278, 0)</f>
        <v>0</v>
      </c>
      <c r="Q279" s="1">
        <v>0</v>
      </c>
      <c r="R279" s="1">
        <f>IF(Q279 + R278 &lt; 0, Q279 + R278, 0)</f>
        <v>0</v>
      </c>
      <c r="S279" s="1">
        <v>0</v>
      </c>
      <c r="T279" s="1">
        <f>IF(S279 + T278 &lt; 0, S279 + T278, 0)</f>
        <v>0</v>
      </c>
    </row>
    <row r="280" spans="1:20" s="1" customFormat="1">
      <c r="A280" s="3">
        <v>45392</v>
      </c>
      <c r="B280" s="2" t="s">
        <v>14</v>
      </c>
      <c r="C280" s="2">
        <v>5</v>
      </c>
      <c r="D280" s="2">
        <v>9</v>
      </c>
      <c r="E280" s="1">
        <v>7006.130364068566</v>
      </c>
      <c r="F280" s="1">
        <f>IF(E280 + F279 &lt; 0, E280 + F279, 0)</f>
        <v>0</v>
      </c>
      <c r="G280" s="1">
        <v>7006.130364068566</v>
      </c>
      <c r="H280" s="1">
        <f>IF(G280 + H279 &lt; 0, G280 + H279, 0)</f>
        <v>0</v>
      </c>
      <c r="I280" s="1">
        <v>7006.130364068566</v>
      </c>
      <c r="J280" s="1">
        <f>IF(I280 + J279 &lt; 0, I280 + J279, 0)</f>
        <v>0</v>
      </c>
      <c r="K280" s="1">
        <v>7006.130364068566</v>
      </c>
      <c r="L280" s="1">
        <f>IF(K280 + L279 &lt; 0, K280 + L279, 0)</f>
        <v>0</v>
      </c>
      <c r="M280" s="1">
        <v>0</v>
      </c>
      <c r="N280" s="1">
        <f>IF(M280 + N279 &lt; 0, M280 + N279, 0)</f>
        <v>0</v>
      </c>
      <c r="O280" s="1">
        <v>0</v>
      </c>
      <c r="P280" s="1">
        <f>IF(O280 + P279 &lt; 0, O280 + P279, 0)</f>
        <v>0</v>
      </c>
      <c r="Q280" s="1">
        <v>0</v>
      </c>
      <c r="R280" s="1">
        <f>IF(Q280 + R279 &lt; 0, Q280 + R279, 0)</f>
        <v>0</v>
      </c>
      <c r="S280" s="1">
        <v>0</v>
      </c>
      <c r="T280" s="1">
        <f>IF(S280 + T279 &lt; 0, S280 + T279, 0)</f>
        <v>0</v>
      </c>
    </row>
    <row r="281" spans="1:20" s="1" customFormat="1">
      <c r="A281" s="3">
        <v>45394</v>
      </c>
      <c r="B281" s="2" t="s">
        <v>15</v>
      </c>
      <c r="C281" s="2">
        <v>4</v>
      </c>
      <c r="D281" s="2">
        <v>8</v>
      </c>
      <c r="E281" s="1">
        <v>-232996.297794232</v>
      </c>
      <c r="F281" s="1">
        <f>IF(E281 + F280 &lt; 0, E281 + F280, 0)</f>
        <v>0</v>
      </c>
      <c r="G281" s="1">
        <v>-321584.7929564758</v>
      </c>
      <c r="H281" s="1">
        <f>IF(G281 + H280 &lt; 0, G281 + H280, 0)</f>
        <v>0</v>
      </c>
      <c r="I281" s="1">
        <v>-316144.2615810596</v>
      </c>
      <c r="J281" s="1">
        <f>IF(I281 + J280 &lt; 0, I281 + J280, 0)</f>
        <v>0</v>
      </c>
      <c r="K281" s="1">
        <v>-316144.2615810596</v>
      </c>
      <c r="L281" s="1">
        <f>IF(K281 + L280 &lt; 0, K281 + L280, 0)</f>
        <v>0</v>
      </c>
      <c r="M281" s="1">
        <v>0</v>
      </c>
      <c r="N281" s="1">
        <f>IF(M281 + N280 &lt; 0, M281 + N280, 0)</f>
        <v>0</v>
      </c>
      <c r="O281" s="1">
        <v>0</v>
      </c>
      <c r="P281" s="1">
        <f>IF(O281 + P280 &lt; 0, O281 + P280, 0)</f>
        <v>0</v>
      </c>
      <c r="Q281" s="1">
        <v>0</v>
      </c>
      <c r="R281" s="1">
        <f>IF(Q281 + R280 &lt; 0, Q281 + R280, 0)</f>
        <v>0</v>
      </c>
      <c r="S281" s="1">
        <v>0</v>
      </c>
      <c r="T281" s="1">
        <f>IF(S281 + T280 &lt; 0, S281 + T280, 0)</f>
        <v>0</v>
      </c>
    </row>
    <row r="282" spans="1:20" s="1" customFormat="1">
      <c r="A282" s="3">
        <v>45397</v>
      </c>
      <c r="B282" s="2" t="s">
        <v>12</v>
      </c>
      <c r="C282" s="2">
        <v>3</v>
      </c>
      <c r="D282" s="2">
        <v>7</v>
      </c>
      <c r="E282" s="1">
        <v>-30459.66258147005</v>
      </c>
      <c r="F282" s="1">
        <f>IF(E282 + F281 &lt; 0, E282 + F281, 0)</f>
        <v>0</v>
      </c>
      <c r="G282" s="1">
        <v>29251.25518445754</v>
      </c>
      <c r="H282" s="1">
        <f>IF(G282 + H281 &lt; 0, G282 + H281, 0)</f>
        <v>0</v>
      </c>
      <c r="I282" s="1">
        <v>29251.25518445754</v>
      </c>
      <c r="J282" s="1">
        <f>IF(I282 + J281 &lt; 0, I282 + J281, 0)</f>
        <v>0</v>
      </c>
      <c r="K282" s="1">
        <v>29251.25518445754</v>
      </c>
      <c r="L282" s="1">
        <f>IF(K282 + L281 &lt; 0, K282 + L281, 0)</f>
        <v>0</v>
      </c>
      <c r="M282" s="1">
        <v>0</v>
      </c>
      <c r="N282" s="1">
        <f>IF(M282 + N281 &lt; 0, M282 + N281, 0)</f>
        <v>0</v>
      </c>
      <c r="O282" s="1">
        <v>0</v>
      </c>
      <c r="P282" s="1">
        <f>IF(O282 + P281 &lt; 0, O282 + P281, 0)</f>
        <v>0</v>
      </c>
      <c r="Q282" s="1">
        <v>0</v>
      </c>
      <c r="R282" s="1">
        <f>IF(Q282 + R281 &lt; 0, Q282 + R281, 0)</f>
        <v>0</v>
      </c>
      <c r="S282" s="1">
        <v>0</v>
      </c>
      <c r="T282" s="1">
        <f>IF(S282 + T281 &lt; 0, S282 + T281, 0)</f>
        <v>0</v>
      </c>
    </row>
    <row r="283" spans="1:20" s="1" customFormat="1">
      <c r="A283" s="3">
        <v>45398</v>
      </c>
      <c r="B283" s="2" t="s">
        <v>13</v>
      </c>
      <c r="C283" s="2">
        <v>2</v>
      </c>
      <c r="D283" s="2">
        <v>6</v>
      </c>
      <c r="E283" s="1">
        <v>181588.9614206602</v>
      </c>
      <c r="F283" s="1">
        <f>IF(E283 + F282 &lt; 0, E283 + F282, 0)</f>
        <v>0</v>
      </c>
      <c r="G283" s="1">
        <v>181588.9614206602</v>
      </c>
      <c r="H283" s="1">
        <f>IF(G283 + H282 &lt; 0, G283 + H282, 0)</f>
        <v>0</v>
      </c>
      <c r="I283" s="1">
        <v>181588.9614206602</v>
      </c>
      <c r="J283" s="1">
        <f>IF(I283 + J282 &lt; 0, I283 + J282, 0)</f>
        <v>0</v>
      </c>
      <c r="K283" s="1">
        <v>181588.9614206602</v>
      </c>
      <c r="L283" s="1">
        <f>IF(K283 + L282 &lt; 0, K283 + L282, 0)</f>
        <v>0</v>
      </c>
      <c r="M283" s="1">
        <v>20515.8264947245</v>
      </c>
      <c r="N283" s="1">
        <f>IF(M283 + N282 &lt; 0, M283 + N282, 0)</f>
        <v>0</v>
      </c>
      <c r="O283" s="1">
        <v>20515.8264947245</v>
      </c>
      <c r="P283" s="1">
        <f>IF(O283 + P282 &lt; 0, O283 + P282, 0)</f>
        <v>0</v>
      </c>
      <c r="Q283" s="1">
        <v>20515.8264947245</v>
      </c>
      <c r="R283" s="1">
        <f>IF(Q283 + R282 &lt; 0, Q283 + R282, 0)</f>
        <v>0</v>
      </c>
      <c r="S283" s="1">
        <v>20515.8264947245</v>
      </c>
      <c r="T283" s="1">
        <f>IF(S283 + T282 &lt; 0, S283 + T282, 0)</f>
        <v>0</v>
      </c>
    </row>
    <row r="284" spans="1:20" s="1" customFormat="1">
      <c r="A284" s="3">
        <v>45399</v>
      </c>
      <c r="B284" s="2" t="s">
        <v>14</v>
      </c>
      <c r="C284" s="2">
        <v>1</v>
      </c>
      <c r="D284" s="2">
        <v>5</v>
      </c>
      <c r="E284" s="1">
        <v>115575.7935516121</v>
      </c>
      <c r="F284" s="1">
        <f>IF(E284 + F283 &lt; 0, E284 + F283, 0)</f>
        <v>0</v>
      </c>
      <c r="G284" s="1">
        <v>-76485.56610847286</v>
      </c>
      <c r="H284" s="1">
        <f>IF(G284 + H283 &lt; 0, G284 + H283, 0)</f>
        <v>0</v>
      </c>
      <c r="I284" s="1">
        <v>-59688.2029492627</v>
      </c>
      <c r="J284" s="1">
        <f>IF(I284 + J283 &lt; 0, I284 + J283, 0)</f>
        <v>0</v>
      </c>
      <c r="K284" s="1">
        <v>-137715.5711072232</v>
      </c>
      <c r="L284" s="1">
        <f>IF(K284 + L283 &lt; 0, K284 + L283, 0)</f>
        <v>0</v>
      </c>
      <c r="M284" s="1">
        <v>-32602.25251926496</v>
      </c>
      <c r="N284" s="1">
        <f>IF(M284 + N283 &lt; 0, M284 + N283, 0)</f>
        <v>0</v>
      </c>
      <c r="O284" s="1">
        <v>-32602.25251926496</v>
      </c>
      <c r="P284" s="1">
        <f>IF(O284 + P283 &lt; 0, O284 + P283, 0)</f>
        <v>0</v>
      </c>
      <c r="Q284" s="1">
        <v>-32602.25251926496</v>
      </c>
      <c r="R284" s="1">
        <f>IF(Q284 + R283 &lt; 0, Q284 + R283, 0)</f>
        <v>0</v>
      </c>
      <c r="S284" s="1">
        <v>-32602.25251926496</v>
      </c>
      <c r="T284" s="1">
        <f>IF(S284 + T283 &lt; 0, S284 + T283, 0)</f>
        <v>0</v>
      </c>
    </row>
    <row r="285" spans="1:20" s="1" customFormat="1">
      <c r="A285" s="3">
        <v>45400</v>
      </c>
      <c r="B285" s="2" t="s">
        <v>16</v>
      </c>
      <c r="C285" s="2">
        <v>21</v>
      </c>
      <c r="D285" s="2">
        <v>4</v>
      </c>
      <c r="E285" s="1">
        <v>0</v>
      </c>
      <c r="F285" s="1">
        <f>IF(E285 + F284 &lt; 0, E285 + F284, 0)</f>
        <v>0</v>
      </c>
      <c r="G285" s="1">
        <v>0</v>
      </c>
      <c r="H285" s="1">
        <f>IF(G285 + H284 &lt; 0, G285 + H284, 0)</f>
        <v>0</v>
      </c>
      <c r="I285" s="1">
        <v>0</v>
      </c>
      <c r="J285" s="1">
        <f>IF(I285 + J284 &lt; 0, I285 + J284, 0)</f>
        <v>0</v>
      </c>
      <c r="K285" s="1">
        <v>0</v>
      </c>
      <c r="L285" s="1">
        <f>IF(K285 + L284 &lt; 0, K285 + L284, 0)</f>
        <v>0</v>
      </c>
      <c r="M285" s="1">
        <v>59931.50684931505</v>
      </c>
      <c r="N285" s="1">
        <f>IF(M285 + N284 &lt; 0, M285 + N284, 0)</f>
        <v>0</v>
      </c>
      <c r="O285" s="1">
        <v>59931.50684931505</v>
      </c>
      <c r="P285" s="1">
        <f>IF(O285 + P284 &lt; 0, O285 + P284, 0)</f>
        <v>0</v>
      </c>
      <c r="Q285" s="1">
        <v>59931.50684931505</v>
      </c>
      <c r="R285" s="1">
        <f>IF(Q285 + R284 &lt; 0, Q285 + R284, 0)</f>
        <v>0</v>
      </c>
      <c r="S285" s="1">
        <v>59931.50684931505</v>
      </c>
      <c r="T285" s="1">
        <f>IF(S285 + T284 &lt; 0, S285 + T284, 0)</f>
        <v>0</v>
      </c>
    </row>
    <row r="286" spans="1:20" s="1" customFormat="1">
      <c r="A286" s="3">
        <v>45401</v>
      </c>
      <c r="B286" s="2" t="s">
        <v>15</v>
      </c>
      <c r="C286" s="2">
        <v>20</v>
      </c>
      <c r="D286" s="2">
        <v>3</v>
      </c>
      <c r="E286" s="1">
        <v>0</v>
      </c>
      <c r="F286" s="1">
        <f>IF(E286 + F285 &lt; 0, E286 + F285, 0)</f>
        <v>0</v>
      </c>
      <c r="G286" s="1">
        <v>0</v>
      </c>
      <c r="H286" s="1">
        <f>IF(G286 + H285 &lt; 0, G286 + H285, 0)</f>
        <v>0</v>
      </c>
      <c r="I286" s="1">
        <v>0</v>
      </c>
      <c r="J286" s="1">
        <f>IF(I286 + J285 &lt; 0, I286 + J285, 0)</f>
        <v>0</v>
      </c>
      <c r="K286" s="1">
        <v>0</v>
      </c>
      <c r="L286" s="1">
        <f>IF(K286 + L285 &lt; 0, K286 + L285, 0)</f>
        <v>0</v>
      </c>
      <c r="M286" s="1">
        <v>-122191.011235955</v>
      </c>
      <c r="N286" s="1">
        <f>IF(M286 + N285 &lt; 0, M286 + N285, 0)</f>
        <v>0</v>
      </c>
      <c r="O286" s="1">
        <v>-122191.011235955</v>
      </c>
      <c r="P286" s="1">
        <f>IF(O286 + P285 &lt; 0, O286 + P285, 0)</f>
        <v>0</v>
      </c>
      <c r="Q286" s="1">
        <v>-122191.011235955</v>
      </c>
      <c r="R286" s="1">
        <f>IF(Q286 + R285 &lt; 0, Q286 + R285, 0)</f>
        <v>0</v>
      </c>
      <c r="S286" s="1">
        <v>-122191.011235955</v>
      </c>
      <c r="T286" s="1">
        <f>IF(S286 + T285 &lt; 0, S286 + T285, 0)</f>
        <v>0</v>
      </c>
    </row>
    <row r="287" spans="1:20" s="1" customFormat="1">
      <c r="A287" s="3">
        <v>45404</v>
      </c>
      <c r="B287" s="2" t="s">
        <v>12</v>
      </c>
      <c r="C287" s="2">
        <v>19</v>
      </c>
      <c r="D287" s="2">
        <v>2</v>
      </c>
      <c r="E287" s="1">
        <v>0</v>
      </c>
      <c r="F287" s="1">
        <f>IF(E287 + F286 &lt; 0, E287 + F286, 0)</f>
        <v>0</v>
      </c>
      <c r="G287" s="1">
        <v>0</v>
      </c>
      <c r="H287" s="1">
        <f>IF(G287 + H286 &lt; 0, G287 + H286, 0)</f>
        <v>0</v>
      </c>
      <c r="I287" s="1">
        <v>0</v>
      </c>
      <c r="J287" s="1">
        <f>IF(I287 + J286 &lt; 0, I287 + J286, 0)</f>
        <v>0</v>
      </c>
      <c r="K287" s="1">
        <v>0</v>
      </c>
      <c r="L287" s="1">
        <f>IF(K287 + L286 &lt; 0, K287 + L286, 0)</f>
        <v>0</v>
      </c>
      <c r="M287" s="1">
        <v>93717.91215059893</v>
      </c>
      <c r="N287" s="1">
        <f>IF(M287 + N286 &lt; 0, M287 + N286, 0)</f>
        <v>0</v>
      </c>
      <c r="O287" s="1">
        <v>93717.91215059893</v>
      </c>
      <c r="P287" s="1">
        <f>IF(O287 + P286 &lt; 0, O287 + P286, 0)</f>
        <v>0</v>
      </c>
      <c r="Q287" s="1">
        <v>93717.91215059893</v>
      </c>
      <c r="R287" s="1">
        <f>IF(Q287 + R286 &lt; 0, Q287 + R286, 0)</f>
        <v>0</v>
      </c>
      <c r="S287" s="1">
        <v>93717.91215059893</v>
      </c>
      <c r="T287" s="1">
        <f>IF(S287 + T286 &lt; 0, S287 + T286, 0)</f>
        <v>0</v>
      </c>
    </row>
    <row r="288" spans="1:20" s="1" customFormat="1">
      <c r="A288" s="3">
        <v>45405</v>
      </c>
      <c r="B288" s="2" t="s">
        <v>13</v>
      </c>
      <c r="C288" s="2">
        <v>18</v>
      </c>
      <c r="D288" s="2">
        <v>1</v>
      </c>
      <c r="E288" s="1">
        <v>0</v>
      </c>
      <c r="F288" s="1">
        <f>IF(E288 + F287 &lt; 0, E288 + F287, 0)</f>
        <v>0</v>
      </c>
      <c r="G288" s="1">
        <v>0</v>
      </c>
      <c r="H288" s="1">
        <f>IF(G288 + H287 &lt; 0, G288 + H287, 0)</f>
        <v>0</v>
      </c>
      <c r="I288" s="1">
        <v>0</v>
      </c>
      <c r="J288" s="1">
        <f>IF(I288 + J287 &lt; 0, I288 + J287, 0)</f>
        <v>0</v>
      </c>
      <c r="K288" s="1">
        <v>0</v>
      </c>
      <c r="L288" s="1">
        <f>IF(K288 + L287 &lt; 0, K288 + L287, 0)</f>
        <v>0</v>
      </c>
      <c r="M288" s="1">
        <v>76.81564245809831</v>
      </c>
      <c r="N288" s="1">
        <f>IF(M288 + N287 &lt; 0, M288 + N287, 0)</f>
        <v>0</v>
      </c>
      <c r="O288" s="1">
        <v>-43917.59776536313</v>
      </c>
      <c r="P288" s="1">
        <f>IF(O288 + P287 &lt; 0, O288 + P287, 0)</f>
        <v>0</v>
      </c>
      <c r="Q288" s="1">
        <v>67039.1061452514</v>
      </c>
      <c r="R288" s="1">
        <f>IF(Q288 + R287 &lt; 0, Q288 + R287, 0)</f>
        <v>0</v>
      </c>
      <c r="S288" s="1">
        <v>89462.29050279333</v>
      </c>
      <c r="T288" s="1">
        <f>IF(S288 + T287 &lt; 0, S288 + T287, 0)</f>
        <v>0</v>
      </c>
    </row>
    <row r="289" spans="1:20" s="1" customFormat="1">
      <c r="A289" s="3">
        <v>45406</v>
      </c>
      <c r="B289" s="2" t="s">
        <v>14</v>
      </c>
      <c r="C289" s="2">
        <v>17</v>
      </c>
      <c r="D289" s="2">
        <v>23</v>
      </c>
      <c r="E289" s="1">
        <v>0</v>
      </c>
      <c r="F289" s="1">
        <f>IF(E289 + F288 &lt; 0, E289 + F288, 0)</f>
        <v>0</v>
      </c>
      <c r="G289" s="1">
        <v>0</v>
      </c>
      <c r="H289" s="1">
        <f>IF(G289 + H288 &lt; 0, G289 + H288, 0)</f>
        <v>0</v>
      </c>
      <c r="I289" s="1">
        <v>0</v>
      </c>
      <c r="J289" s="1">
        <f>IF(I289 + J288 &lt; 0, I289 + J288, 0)</f>
        <v>0</v>
      </c>
      <c r="K289" s="1">
        <v>0</v>
      </c>
      <c r="L289" s="1">
        <f>IF(K289 + L288 &lt; 0, K289 + L288, 0)</f>
        <v>0</v>
      </c>
      <c r="M289" s="1">
        <v>0</v>
      </c>
      <c r="N289" s="1">
        <f>IF(M289 + N288 &lt; 0, M289 + N288, 0)</f>
        <v>0</v>
      </c>
      <c r="O289" s="1">
        <v>0</v>
      </c>
      <c r="P289" s="1">
        <f>IF(O289 + P288 &lt; 0, O289 + P288, 0)</f>
        <v>0</v>
      </c>
      <c r="Q289" s="1">
        <v>0</v>
      </c>
      <c r="R289" s="1">
        <f>IF(Q289 + R288 &lt; 0, Q289 + R288, 0)</f>
        <v>0</v>
      </c>
      <c r="S289" s="1">
        <v>0</v>
      </c>
      <c r="T289" s="1">
        <f>IF(S289 + T288 &lt; 0, S289 + T288, 0)</f>
        <v>0</v>
      </c>
    </row>
    <row r="290" spans="1:20" s="1" customFormat="1">
      <c r="A290" s="3">
        <v>45407</v>
      </c>
      <c r="B290" s="2" t="s">
        <v>16</v>
      </c>
      <c r="C290" s="2">
        <v>16</v>
      </c>
      <c r="D290" s="2">
        <v>22</v>
      </c>
      <c r="E290" s="1">
        <v>0</v>
      </c>
      <c r="F290" s="1">
        <f>IF(E290 + F289 &lt; 0, E290 + F289, 0)</f>
        <v>0</v>
      </c>
      <c r="G290" s="1">
        <v>0</v>
      </c>
      <c r="H290" s="1">
        <f>IF(G290 + H289 &lt; 0, G290 + H289, 0)</f>
        <v>0</v>
      </c>
      <c r="I290" s="1">
        <v>0</v>
      </c>
      <c r="J290" s="1">
        <f>IF(I290 + J289 &lt; 0, I290 + J289, 0)</f>
        <v>0</v>
      </c>
      <c r="K290" s="1">
        <v>0</v>
      </c>
      <c r="L290" s="1">
        <f>IF(K290 + L289 &lt; 0, K290 + L289, 0)</f>
        <v>0</v>
      </c>
      <c r="M290" s="1">
        <v>0</v>
      </c>
      <c r="N290" s="1">
        <f>IF(M290 + N289 &lt; 0, M290 + N289, 0)</f>
        <v>0</v>
      </c>
      <c r="O290" s="1">
        <v>0</v>
      </c>
      <c r="P290" s="1">
        <f>IF(O290 + P289 &lt; 0, O290 + P289, 0)</f>
        <v>0</v>
      </c>
      <c r="Q290" s="1">
        <v>0</v>
      </c>
      <c r="R290" s="1">
        <f>IF(Q290 + R289 &lt; 0, Q290 + R289, 0)</f>
        <v>0</v>
      </c>
      <c r="S290" s="1">
        <v>0</v>
      </c>
      <c r="T290" s="1">
        <f>IF(S290 + T289 &lt; 0, S290 + T289, 0)</f>
        <v>0</v>
      </c>
    </row>
    <row r="291" spans="1:20" s="1" customFormat="1">
      <c r="A291" s="3">
        <v>45408</v>
      </c>
      <c r="B291" s="2" t="s">
        <v>15</v>
      </c>
      <c r="C291" s="2">
        <v>15</v>
      </c>
      <c r="D291" s="2">
        <v>21</v>
      </c>
      <c r="E291" s="1">
        <v>0</v>
      </c>
      <c r="F291" s="1">
        <f>IF(E291 + F290 &lt; 0, E291 + F290, 0)</f>
        <v>0</v>
      </c>
      <c r="G291" s="1">
        <v>0</v>
      </c>
      <c r="H291" s="1">
        <f>IF(G291 + H290 &lt; 0, G291 + H290, 0)</f>
        <v>0</v>
      </c>
      <c r="I291" s="1">
        <v>0</v>
      </c>
      <c r="J291" s="1">
        <f>IF(I291 + J290 &lt; 0, I291 + J290, 0)</f>
        <v>0</v>
      </c>
      <c r="K291" s="1">
        <v>0</v>
      </c>
      <c r="L291" s="1">
        <f>IF(K291 + L290 &lt; 0, K291 + L290, 0)</f>
        <v>0</v>
      </c>
      <c r="M291" s="1">
        <v>0</v>
      </c>
      <c r="N291" s="1">
        <f>IF(M291 + N290 &lt; 0, M291 + N290, 0)</f>
        <v>0</v>
      </c>
      <c r="O291" s="1">
        <v>0</v>
      </c>
      <c r="P291" s="1">
        <f>IF(O291 + P290 &lt; 0, O291 + P290, 0)</f>
        <v>0</v>
      </c>
      <c r="Q291" s="1">
        <v>0</v>
      </c>
      <c r="R291" s="1">
        <f>IF(Q291 + R290 &lt; 0, Q291 + R290, 0)</f>
        <v>0</v>
      </c>
      <c r="S291" s="1">
        <v>0</v>
      </c>
      <c r="T291" s="1">
        <f>IF(S291 + T290 &lt; 0, S291 + T290, 0)</f>
        <v>0</v>
      </c>
    </row>
    <row r="292" spans="1:20" s="1" customFormat="1">
      <c r="A292" s="3">
        <v>45411</v>
      </c>
      <c r="B292" s="2" t="s">
        <v>12</v>
      </c>
      <c r="C292" s="2">
        <v>14</v>
      </c>
      <c r="D292" s="2">
        <v>20</v>
      </c>
      <c r="E292" s="1">
        <v>0</v>
      </c>
      <c r="F292" s="1">
        <f>IF(E292 + F291 &lt; 0, E292 + F291, 0)</f>
        <v>0</v>
      </c>
      <c r="G292" s="1">
        <v>0</v>
      </c>
      <c r="H292" s="1">
        <f>IF(G292 + H291 &lt; 0, G292 + H291, 0)</f>
        <v>0</v>
      </c>
      <c r="I292" s="1">
        <v>0</v>
      </c>
      <c r="J292" s="1">
        <f>IF(I292 + J291 &lt; 0, I292 + J291, 0)</f>
        <v>0</v>
      </c>
      <c r="K292" s="1">
        <v>0</v>
      </c>
      <c r="L292" s="1">
        <f>IF(K292 + L291 &lt; 0, K292 + L291, 0)</f>
        <v>0</v>
      </c>
      <c r="M292" s="1">
        <v>0</v>
      </c>
      <c r="N292" s="1">
        <f>IF(M292 + N291 &lt; 0, M292 + N291, 0)</f>
        <v>0</v>
      </c>
      <c r="O292" s="1">
        <v>0</v>
      </c>
      <c r="P292" s="1">
        <f>IF(O292 + P291 &lt; 0, O292 + P291, 0)</f>
        <v>0</v>
      </c>
      <c r="Q292" s="1">
        <v>0</v>
      </c>
      <c r="R292" s="1">
        <f>IF(Q292 + R291 &lt; 0, Q292 + R291, 0)</f>
        <v>0</v>
      </c>
      <c r="S292" s="1">
        <v>0</v>
      </c>
      <c r="T292" s="1">
        <f>IF(S292 + T291 &lt; 0, S292 + T291, 0)</f>
        <v>0</v>
      </c>
    </row>
    <row r="293" spans="1:20" s="1" customFormat="1">
      <c r="A293" s="3">
        <v>45412</v>
      </c>
      <c r="B293" s="2" t="s">
        <v>13</v>
      </c>
      <c r="C293" s="2">
        <v>13</v>
      </c>
      <c r="D293" s="2">
        <v>19</v>
      </c>
      <c r="E293" s="1">
        <v>0</v>
      </c>
      <c r="F293" s="1">
        <f>IF(E293 + F292 &lt; 0, E293 + F292, 0)</f>
        <v>0</v>
      </c>
      <c r="G293" s="1">
        <v>0</v>
      </c>
      <c r="H293" s="1">
        <f>IF(G293 + H292 &lt; 0, G293 + H292, 0)</f>
        <v>0</v>
      </c>
      <c r="I293" s="1">
        <v>0</v>
      </c>
      <c r="J293" s="1">
        <f>IF(I293 + J292 &lt; 0, I293 + J292, 0)</f>
        <v>0</v>
      </c>
      <c r="K293" s="1">
        <v>0</v>
      </c>
      <c r="L293" s="1">
        <f>IF(K293 + L292 &lt; 0, K293 + L292, 0)</f>
        <v>0</v>
      </c>
      <c r="M293" s="1">
        <v>0</v>
      </c>
      <c r="N293" s="1">
        <f>IF(M293 + N292 &lt; 0, M293 + N292, 0)</f>
        <v>0</v>
      </c>
      <c r="O293" s="1">
        <v>0</v>
      </c>
      <c r="P293" s="1">
        <f>IF(O293 + P292 &lt; 0, O293 + P292, 0)</f>
        <v>0</v>
      </c>
      <c r="Q293" s="1">
        <v>0</v>
      </c>
      <c r="R293" s="1">
        <f>IF(Q293 + R292 &lt; 0, Q293 + R292, 0)</f>
        <v>0</v>
      </c>
      <c r="S293" s="1">
        <v>0</v>
      </c>
      <c r="T293" s="1">
        <f>IF(S293 + T292 &lt; 0, S293 + T292, 0)</f>
        <v>0</v>
      </c>
    </row>
    <row r="294" spans="1:20" s="1" customFormat="1">
      <c r="A294" s="3">
        <v>45413</v>
      </c>
      <c r="B294" s="2" t="s">
        <v>14</v>
      </c>
      <c r="C294" s="2">
        <v>12</v>
      </c>
      <c r="D294" s="2">
        <v>18</v>
      </c>
      <c r="E294" s="1">
        <v>0</v>
      </c>
      <c r="F294" s="1">
        <f>IF(E294 + F293 &lt; 0, E294 + F293, 0)</f>
        <v>0</v>
      </c>
      <c r="G294" s="1">
        <v>0</v>
      </c>
      <c r="H294" s="1">
        <f>IF(G294 + H293 &lt; 0, G294 + H293, 0)</f>
        <v>0</v>
      </c>
      <c r="I294" s="1">
        <v>0</v>
      </c>
      <c r="J294" s="1">
        <f>IF(I294 + J293 &lt; 0, I294 + J293, 0)</f>
        <v>0</v>
      </c>
      <c r="K294" s="1">
        <v>0</v>
      </c>
      <c r="L294" s="1">
        <f>IF(K294 + L293 &lt; 0, K294 + L293, 0)</f>
        <v>0</v>
      </c>
      <c r="M294" s="1">
        <v>0</v>
      </c>
      <c r="N294" s="1">
        <f>IF(M294 + N293 &lt; 0, M294 + N293, 0)</f>
        <v>0</v>
      </c>
      <c r="O294" s="1">
        <v>0</v>
      </c>
      <c r="P294" s="1">
        <f>IF(O294 + P293 &lt; 0, O294 + P293, 0)</f>
        <v>0</v>
      </c>
      <c r="Q294" s="1">
        <v>0</v>
      </c>
      <c r="R294" s="1">
        <f>IF(Q294 + R293 &lt; 0, Q294 + R293, 0)</f>
        <v>0</v>
      </c>
      <c r="S294" s="1">
        <v>0</v>
      </c>
      <c r="T294" s="1">
        <f>IF(S294 + T293 &lt; 0, S294 + T293, 0)</f>
        <v>0</v>
      </c>
    </row>
    <row r="295" spans="1:20" s="1" customFormat="1">
      <c r="A295" s="3">
        <v>45414</v>
      </c>
      <c r="B295" s="2" t="s">
        <v>16</v>
      </c>
      <c r="C295" s="2">
        <v>11</v>
      </c>
      <c r="D295" s="2">
        <v>17</v>
      </c>
      <c r="E295" s="1">
        <v>0</v>
      </c>
      <c r="F295" s="1">
        <f>IF(E295 + F294 &lt; 0, E295 + F294, 0)</f>
        <v>0</v>
      </c>
      <c r="G295" s="1">
        <v>0</v>
      </c>
      <c r="H295" s="1">
        <f>IF(G295 + H294 &lt; 0, G295 + H294, 0)</f>
        <v>0</v>
      </c>
      <c r="I295" s="1">
        <v>0</v>
      </c>
      <c r="J295" s="1">
        <f>IF(I295 + J294 &lt; 0, I295 + J294, 0)</f>
        <v>0</v>
      </c>
      <c r="K295" s="1">
        <v>0</v>
      </c>
      <c r="L295" s="1">
        <f>IF(K295 + L294 &lt; 0, K295 + L294, 0)</f>
        <v>0</v>
      </c>
      <c r="M295" s="1">
        <v>0</v>
      </c>
      <c r="N295" s="1">
        <f>IF(M295 + N294 &lt; 0, M295 + N294, 0)</f>
        <v>0</v>
      </c>
      <c r="O295" s="1">
        <v>0</v>
      </c>
      <c r="P295" s="1">
        <f>IF(O295 + P294 &lt; 0, O295 + P294, 0)</f>
        <v>0</v>
      </c>
      <c r="Q295" s="1">
        <v>0</v>
      </c>
      <c r="R295" s="1">
        <f>IF(Q295 + R294 &lt; 0, Q295 + R294, 0)</f>
        <v>0</v>
      </c>
      <c r="S295" s="1">
        <v>0</v>
      </c>
      <c r="T295" s="1">
        <f>IF(S295 + T294 &lt; 0, S295 + T294, 0)</f>
        <v>0</v>
      </c>
    </row>
    <row r="296" spans="1:20" s="1" customFormat="1">
      <c r="A296" s="3">
        <v>45415</v>
      </c>
      <c r="B296" s="2" t="s">
        <v>15</v>
      </c>
      <c r="C296" s="2">
        <v>10</v>
      </c>
      <c r="D296" s="2">
        <v>16</v>
      </c>
      <c r="E296" s="1">
        <v>55110.10253824171</v>
      </c>
      <c r="F296" s="1">
        <f>IF(E296 + F295 &lt; 0, E296 + F295, 0)</f>
        <v>0</v>
      </c>
      <c r="G296" s="1">
        <v>55110.10253824171</v>
      </c>
      <c r="H296" s="1">
        <f>IF(G296 + H295 &lt; 0, G296 + H295, 0)</f>
        <v>0</v>
      </c>
      <c r="I296" s="1">
        <v>55110.10253824171</v>
      </c>
      <c r="J296" s="1">
        <f>IF(I296 + J295 &lt; 0, I296 + J295, 0)</f>
        <v>0</v>
      </c>
      <c r="K296" s="1">
        <v>55110.10253824171</v>
      </c>
      <c r="L296" s="1">
        <f>IF(K296 + L295 &lt; 0, K296 + L295, 0)</f>
        <v>0</v>
      </c>
      <c r="M296" s="1">
        <v>0</v>
      </c>
      <c r="N296" s="1">
        <f>IF(M296 + N295 &lt; 0, M296 + N295, 0)</f>
        <v>0</v>
      </c>
      <c r="O296" s="1">
        <v>0</v>
      </c>
      <c r="P296" s="1">
        <f>IF(O296 + P295 &lt; 0, O296 + P295, 0)</f>
        <v>0</v>
      </c>
      <c r="Q296" s="1">
        <v>0</v>
      </c>
      <c r="R296" s="1">
        <f>IF(Q296 + R295 &lt; 0, Q296 + R295, 0)</f>
        <v>0</v>
      </c>
      <c r="S296" s="1">
        <v>0</v>
      </c>
      <c r="T296" s="1">
        <f>IF(S296 + T295 &lt; 0, S296 + T295, 0)</f>
        <v>0</v>
      </c>
    </row>
    <row r="297" spans="1:20" s="1" customFormat="1">
      <c r="A297" s="3">
        <v>45418</v>
      </c>
      <c r="B297" s="2" t="s">
        <v>12</v>
      </c>
      <c r="C297" s="2">
        <v>9</v>
      </c>
      <c r="D297" s="2">
        <v>15</v>
      </c>
      <c r="E297" s="1">
        <v>25060.21235455748</v>
      </c>
      <c r="F297" s="1">
        <f>IF(E297 + F296 &lt; 0, E297 + F296, 0)</f>
        <v>0</v>
      </c>
      <c r="G297" s="1">
        <v>25060.21235455748</v>
      </c>
      <c r="H297" s="1">
        <f>IF(G297 + H296 &lt; 0, G297 + H296, 0)</f>
        <v>0</v>
      </c>
      <c r="I297" s="1">
        <v>25060.21235455748</v>
      </c>
      <c r="J297" s="1">
        <f>IF(I297 + J296 &lt; 0, I297 + J296, 0)</f>
        <v>0</v>
      </c>
      <c r="K297" s="1">
        <v>25060.21235455748</v>
      </c>
      <c r="L297" s="1">
        <f>IF(K297 + L296 &lt; 0, K297 + L296, 0)</f>
        <v>0</v>
      </c>
      <c r="M297" s="1">
        <v>0</v>
      </c>
      <c r="N297" s="1">
        <f>IF(M297 + N296 &lt; 0, M297 + N296, 0)</f>
        <v>0</v>
      </c>
      <c r="O297" s="1">
        <v>0</v>
      </c>
      <c r="P297" s="1">
        <f>IF(O297 + P296 &lt; 0, O297 + P296, 0)</f>
        <v>0</v>
      </c>
      <c r="Q297" s="1">
        <v>0</v>
      </c>
      <c r="R297" s="1">
        <f>IF(Q297 + R296 &lt; 0, Q297 + R296, 0)</f>
        <v>0</v>
      </c>
      <c r="S297" s="1">
        <v>0</v>
      </c>
      <c r="T297" s="1">
        <f>IF(S297 + T296 &lt; 0, S297 + T296, 0)</f>
        <v>0</v>
      </c>
    </row>
    <row r="298" spans="1:20" s="1" customFormat="1">
      <c r="A298" s="3">
        <v>45419</v>
      </c>
      <c r="B298" s="2" t="s">
        <v>13</v>
      </c>
      <c r="C298" s="2">
        <v>8</v>
      </c>
      <c r="D298" s="2">
        <v>14</v>
      </c>
      <c r="E298" s="1">
        <v>104822.9177217327</v>
      </c>
      <c r="F298" s="1">
        <f>IF(E298 + F297 &lt; 0, E298 + F297, 0)</f>
        <v>0</v>
      </c>
      <c r="G298" s="1">
        <v>104822.9177217327</v>
      </c>
      <c r="H298" s="1">
        <f>IF(G298 + H297 &lt; 0, G298 + H297, 0)</f>
        <v>0</v>
      </c>
      <c r="I298" s="1">
        <v>104822.9177217327</v>
      </c>
      <c r="J298" s="1">
        <f>IF(I298 + J297 &lt; 0, I298 + J297, 0)</f>
        <v>0</v>
      </c>
      <c r="K298" s="1">
        <v>104822.9177217327</v>
      </c>
      <c r="L298" s="1">
        <f>IF(K298 + L297 &lt; 0, K298 + L297, 0)</f>
        <v>0</v>
      </c>
      <c r="M298" s="1">
        <v>0</v>
      </c>
      <c r="N298" s="1">
        <f>IF(M298 + N297 &lt; 0, M298 + N297, 0)</f>
        <v>0</v>
      </c>
      <c r="O298" s="1">
        <v>0</v>
      </c>
      <c r="P298" s="1">
        <f>IF(O298 + P297 &lt; 0, O298 + P297, 0)</f>
        <v>0</v>
      </c>
      <c r="Q298" s="1">
        <v>0</v>
      </c>
      <c r="R298" s="1">
        <f>IF(Q298 + R297 &lt; 0, Q298 + R297, 0)</f>
        <v>0</v>
      </c>
      <c r="S298" s="1">
        <v>0</v>
      </c>
      <c r="T298" s="1">
        <f>IF(S298 + T297 &lt; 0, S298 + T297, 0)</f>
        <v>0</v>
      </c>
    </row>
    <row r="299" spans="1:20" s="1" customFormat="1">
      <c r="A299" s="3">
        <v>45420</v>
      </c>
      <c r="B299" s="2" t="s">
        <v>14</v>
      </c>
      <c r="C299" s="2">
        <v>7</v>
      </c>
      <c r="D299" s="2">
        <v>13</v>
      </c>
      <c r="E299" s="1">
        <v>49759.37829473185</v>
      </c>
      <c r="F299" s="1">
        <f>IF(E299 + F298 &lt; 0, E299 + F298, 0)</f>
        <v>0</v>
      </c>
      <c r="G299" s="1">
        <v>17379.17899534061</v>
      </c>
      <c r="H299" s="1">
        <f>IF(G299 + H298 &lt; 0, G299 + H298, 0)</f>
        <v>0</v>
      </c>
      <c r="I299" s="1">
        <v>17379.17899534061</v>
      </c>
      <c r="J299" s="1">
        <f>IF(I299 + J298 &lt; 0, I299 + J298, 0)</f>
        <v>0</v>
      </c>
      <c r="K299" s="1">
        <v>17379.17899534061</v>
      </c>
      <c r="L299" s="1">
        <f>IF(K299 + L298 &lt; 0, K299 + L298, 0)</f>
        <v>0</v>
      </c>
      <c r="M299" s="1">
        <v>0</v>
      </c>
      <c r="N299" s="1">
        <f>IF(M299 + N298 &lt; 0, M299 + N298, 0)</f>
        <v>0</v>
      </c>
      <c r="O299" s="1">
        <v>0</v>
      </c>
      <c r="P299" s="1">
        <f>IF(O299 + P298 &lt; 0, O299 + P298, 0)</f>
        <v>0</v>
      </c>
      <c r="Q299" s="1">
        <v>0</v>
      </c>
      <c r="R299" s="1">
        <f>IF(Q299 + R298 &lt; 0, Q299 + R298, 0)</f>
        <v>0</v>
      </c>
      <c r="S299" s="1">
        <v>0</v>
      </c>
      <c r="T299" s="1">
        <f>IF(S299 + T298 &lt; 0, S299 + T298, 0)</f>
        <v>0</v>
      </c>
    </row>
    <row r="300" spans="1:20" s="1" customFormat="1">
      <c r="A300" s="3">
        <v>45421</v>
      </c>
      <c r="B300" s="2" t="s">
        <v>16</v>
      </c>
      <c r="C300" s="2">
        <v>6</v>
      </c>
      <c r="D300" s="2">
        <v>12</v>
      </c>
      <c r="E300" s="1">
        <v>44414.28762900417</v>
      </c>
      <c r="F300" s="1">
        <f>IF(E300 + F299 &lt; 0, E300 + F299, 0)</f>
        <v>0</v>
      </c>
      <c r="G300" s="1">
        <v>44414.28762900417</v>
      </c>
      <c r="H300" s="1">
        <f>IF(G300 + H299 &lt; 0, G300 + H299, 0)</f>
        <v>0</v>
      </c>
      <c r="I300" s="1">
        <v>44414.28762900417</v>
      </c>
      <c r="J300" s="1">
        <f>IF(I300 + J299 &lt; 0, I300 + J299, 0)</f>
        <v>0</v>
      </c>
      <c r="K300" s="1">
        <v>44414.28762900417</v>
      </c>
      <c r="L300" s="1">
        <f>IF(K300 + L299 &lt; 0, K300 + L299, 0)</f>
        <v>0</v>
      </c>
      <c r="M300" s="1">
        <v>0</v>
      </c>
      <c r="N300" s="1">
        <f>IF(M300 + N299 &lt; 0, M300 + N299, 0)</f>
        <v>0</v>
      </c>
      <c r="O300" s="1">
        <v>0</v>
      </c>
      <c r="P300" s="1">
        <f>IF(O300 + P299 &lt; 0, O300 + P299, 0)</f>
        <v>0</v>
      </c>
      <c r="Q300" s="1">
        <v>0</v>
      </c>
      <c r="R300" s="1">
        <f>IF(Q300 + R299 &lt; 0, Q300 + R299, 0)</f>
        <v>0</v>
      </c>
      <c r="S300" s="1">
        <v>0</v>
      </c>
      <c r="T300" s="1">
        <f>IF(S300 + T299 &lt; 0, S300 + T299, 0)</f>
        <v>0</v>
      </c>
    </row>
    <row r="301" spans="1:20" s="1" customFormat="1">
      <c r="A301" s="3">
        <v>45422</v>
      </c>
      <c r="B301" s="2" t="s">
        <v>15</v>
      </c>
      <c r="C301" s="2">
        <v>5</v>
      </c>
      <c r="D301" s="2">
        <v>11</v>
      </c>
      <c r="E301" s="1">
        <v>98845.85876780417</v>
      </c>
      <c r="F301" s="1">
        <f>IF(E301 + F300 &lt; 0, E301 + F300, 0)</f>
        <v>0</v>
      </c>
      <c r="G301" s="1">
        <v>-55011.84162246904</v>
      </c>
      <c r="H301" s="1">
        <f>IF(G301 + H300 &lt; 0, G301 + H300, 0)</f>
        <v>0</v>
      </c>
      <c r="I301" s="1">
        <v>-74026.81877314119</v>
      </c>
      <c r="J301" s="1">
        <f>IF(I301 + J300 &lt; 0, I301 + J300, 0)</f>
        <v>0</v>
      </c>
      <c r="K301" s="1">
        <v>-74026.81877314119</v>
      </c>
      <c r="L301" s="1">
        <f>IF(K301 + L300 &lt; 0, K301 + L300, 0)</f>
        <v>0</v>
      </c>
      <c r="M301" s="1">
        <v>0</v>
      </c>
      <c r="N301" s="1">
        <f>IF(M301 + N300 &lt; 0, M301 + N300, 0)</f>
        <v>0</v>
      </c>
      <c r="O301" s="1">
        <v>0</v>
      </c>
      <c r="P301" s="1">
        <f>IF(O301 + P300 &lt; 0, O301 + P300, 0)</f>
        <v>0</v>
      </c>
      <c r="Q301" s="1">
        <v>0</v>
      </c>
      <c r="R301" s="1">
        <f>IF(Q301 + R300 &lt; 0, Q301 + R300, 0)</f>
        <v>0</v>
      </c>
      <c r="S301" s="1">
        <v>0</v>
      </c>
      <c r="T301" s="1">
        <f>IF(S301 + T300 &lt; 0, S301 + T300, 0)</f>
        <v>0</v>
      </c>
    </row>
    <row r="302" spans="1:20" s="1" customFormat="1">
      <c r="A302" s="3">
        <v>45425</v>
      </c>
      <c r="B302" s="2" t="s">
        <v>12</v>
      </c>
      <c r="C302" s="2">
        <v>4</v>
      </c>
      <c r="D302" s="2">
        <v>10</v>
      </c>
      <c r="E302" s="1">
        <v>-53820.82695252679</v>
      </c>
      <c r="F302" s="1">
        <f>IF(E302 + F301 &lt; 0, E302 + F301, 0)</f>
        <v>0</v>
      </c>
      <c r="G302" s="1">
        <v>49293.85741024332</v>
      </c>
      <c r="H302" s="1">
        <f>IF(G302 + H301 &lt; 0, G302 + H301, 0)</f>
        <v>0</v>
      </c>
      <c r="I302" s="1">
        <v>49293.85741024332</v>
      </c>
      <c r="J302" s="1">
        <f>IF(I302 + J301 &lt; 0, I302 + J301, 0)</f>
        <v>0</v>
      </c>
      <c r="K302" s="1">
        <v>49293.85741024332</v>
      </c>
      <c r="L302" s="1">
        <f>IF(K302 + L301 &lt; 0, K302 + L301, 0)</f>
        <v>0</v>
      </c>
      <c r="M302" s="1">
        <v>0</v>
      </c>
      <c r="N302" s="1">
        <f>IF(M302 + N301 &lt; 0, M302 + N301, 0)</f>
        <v>0</v>
      </c>
      <c r="O302" s="1">
        <v>0</v>
      </c>
      <c r="P302" s="1">
        <f>IF(O302 + P301 &lt; 0, O302 + P301, 0)</f>
        <v>0</v>
      </c>
      <c r="Q302" s="1">
        <v>0</v>
      </c>
      <c r="R302" s="1">
        <f>IF(Q302 + R301 &lt; 0, Q302 + R301, 0)</f>
        <v>0</v>
      </c>
      <c r="S302" s="1">
        <v>0</v>
      </c>
      <c r="T302" s="1">
        <f>IF(S302 + T301 &lt; 0, S302 + T301, 0)</f>
        <v>0</v>
      </c>
    </row>
    <row r="303" spans="1:20" s="1" customFormat="1">
      <c r="A303" s="3">
        <v>45426</v>
      </c>
      <c r="B303" s="2" t="s">
        <v>13</v>
      </c>
      <c r="C303" s="2">
        <v>3</v>
      </c>
      <c r="D303" s="2">
        <v>9</v>
      </c>
      <c r="E303" s="1">
        <v>76935.86857929922</v>
      </c>
      <c r="F303" s="1">
        <f>IF(E303 + F302 &lt; 0, E303 + F302, 0)</f>
        <v>0</v>
      </c>
      <c r="G303" s="1">
        <v>-45683.13904659523</v>
      </c>
      <c r="H303" s="1">
        <f>IF(G303 + H302 &lt; 0, G303 + H302, 0)</f>
        <v>0</v>
      </c>
      <c r="I303" s="1">
        <v>-48123.7612120805</v>
      </c>
      <c r="J303" s="1">
        <f>IF(I303 + J302 &lt; 0, I303 + J302, 0)</f>
        <v>0</v>
      </c>
      <c r="K303" s="1">
        <v>-48123.7612120805</v>
      </c>
      <c r="L303" s="1">
        <f>IF(K303 + L302 &lt; 0, K303 + L302, 0)</f>
        <v>0</v>
      </c>
      <c r="M303" s="1">
        <v>0</v>
      </c>
      <c r="N303" s="1">
        <f>IF(M303 + N302 &lt; 0, M303 + N302, 0)</f>
        <v>0</v>
      </c>
      <c r="O303" s="1">
        <v>0</v>
      </c>
      <c r="P303" s="1">
        <f>IF(O303 + P302 &lt; 0, O303 + P302, 0)</f>
        <v>0</v>
      </c>
      <c r="Q303" s="1">
        <v>0</v>
      </c>
      <c r="R303" s="1">
        <f>IF(Q303 + R302 &lt; 0, Q303 + R302, 0)</f>
        <v>0</v>
      </c>
      <c r="S303" s="1">
        <v>0</v>
      </c>
      <c r="T303" s="1">
        <f>IF(S303 + T302 &lt; 0, S303 + T302, 0)</f>
        <v>0</v>
      </c>
    </row>
    <row r="304" spans="1:20" s="1" customFormat="1">
      <c r="A304" s="3">
        <v>45427</v>
      </c>
      <c r="B304" s="2" t="s">
        <v>14</v>
      </c>
      <c r="C304" s="2">
        <v>2</v>
      </c>
      <c r="D304" s="2">
        <v>8</v>
      </c>
      <c r="E304" s="1">
        <v>-128463.7230373927</v>
      </c>
      <c r="F304" s="1">
        <f>IF(E304 + F303 &lt; 0, E304 + F303, 0)</f>
        <v>0</v>
      </c>
      <c r="G304" s="1">
        <v>53093.51545067278</v>
      </c>
      <c r="H304" s="1">
        <f>IF(G304 + H303 &lt; 0, G304 + H303, 0)</f>
        <v>0</v>
      </c>
      <c r="I304" s="1">
        <v>142944.0800595037</v>
      </c>
      <c r="J304" s="1">
        <f>IF(I304 + J303 &lt; 0, I304 + J303, 0)</f>
        <v>0</v>
      </c>
      <c r="K304" s="1">
        <v>142944.0800595037</v>
      </c>
      <c r="L304" s="1">
        <f>IF(K304 + L303 &lt; 0, K304 + L303, 0)</f>
        <v>0</v>
      </c>
      <c r="M304" s="1">
        <v>0</v>
      </c>
      <c r="N304" s="1">
        <f>IF(M304 + N303 &lt; 0, M304 + N303, 0)</f>
        <v>0</v>
      </c>
      <c r="O304" s="1">
        <v>0</v>
      </c>
      <c r="P304" s="1">
        <f>IF(O304 + P303 &lt; 0, O304 + P303, 0)</f>
        <v>0</v>
      </c>
      <c r="Q304" s="1">
        <v>0</v>
      </c>
      <c r="R304" s="1">
        <f>IF(Q304 + R303 &lt; 0, Q304 + R303, 0)</f>
        <v>0</v>
      </c>
      <c r="S304" s="1">
        <v>0</v>
      </c>
      <c r="T304" s="1">
        <f>IF(S304 + T303 &lt; 0, S304 + T303, 0)</f>
        <v>0</v>
      </c>
    </row>
    <row r="305" spans="1:20" s="1" customFormat="1">
      <c r="A305" s="3">
        <v>45428</v>
      </c>
      <c r="B305" s="2" t="s">
        <v>16</v>
      </c>
      <c r="C305" s="2">
        <v>1</v>
      </c>
      <c r="D305" s="2">
        <v>7</v>
      </c>
      <c r="E305" s="1">
        <v>61623.2059834243</v>
      </c>
      <c r="F305" s="1">
        <f>IF(E305 + F304 &lt; 0, E305 + F304, 0)</f>
        <v>0</v>
      </c>
      <c r="G305" s="1">
        <v>-21086.85398558049</v>
      </c>
      <c r="H305" s="1">
        <f>IF(G305 + H304 &lt; 0, G305 + H304, 0)</f>
        <v>0</v>
      </c>
      <c r="I305" s="1">
        <v>-195766.7946903847</v>
      </c>
      <c r="J305" s="1">
        <f>IF(I305 + J304 &lt; 0, I305 + J304, 0)</f>
        <v>0</v>
      </c>
      <c r="K305" s="1">
        <v>10839.90297149788</v>
      </c>
      <c r="L305" s="1">
        <f>IF(K305 + L304 &lt; 0, K305 + L304, 0)</f>
        <v>0</v>
      </c>
      <c r="M305" s="1">
        <v>0</v>
      </c>
      <c r="N305" s="1">
        <f>IF(M305 + N304 &lt; 0, M305 + N304, 0)</f>
        <v>0</v>
      </c>
      <c r="O305" s="1">
        <v>0</v>
      </c>
      <c r="P305" s="1">
        <f>IF(O305 + P304 &lt; 0, O305 + P304, 0)</f>
        <v>0</v>
      </c>
      <c r="Q305" s="1">
        <v>0</v>
      </c>
      <c r="R305" s="1">
        <f>IF(Q305 + R304 &lt; 0, Q305 + R304, 0)</f>
        <v>0</v>
      </c>
      <c r="S305" s="1">
        <v>0</v>
      </c>
      <c r="T305" s="1">
        <f>IF(S305 + T304 &lt; 0, S305 + T304, 0)</f>
        <v>0</v>
      </c>
    </row>
    <row r="306" spans="1:20" s="1" customFormat="1">
      <c r="A306" s="3">
        <v>45429</v>
      </c>
      <c r="B306" s="2" t="s">
        <v>15</v>
      </c>
      <c r="C306" s="2">
        <v>21</v>
      </c>
      <c r="D306" s="2">
        <v>6</v>
      </c>
      <c r="E306" s="1">
        <v>0</v>
      </c>
      <c r="F306" s="1">
        <f>IF(E306 + F305 &lt; 0, E306 + F305, 0)</f>
        <v>0</v>
      </c>
      <c r="G306" s="1">
        <v>0</v>
      </c>
      <c r="H306" s="1">
        <f>IF(G306 + H305 &lt; 0, G306 + H305, 0)</f>
        <v>0</v>
      </c>
      <c r="I306" s="1">
        <v>0</v>
      </c>
      <c r="J306" s="1">
        <f>IF(I306 + J305 &lt; 0, I306 + J305, 0)</f>
        <v>0</v>
      </c>
      <c r="K306" s="1">
        <v>0</v>
      </c>
      <c r="L306" s="1">
        <f>IF(K306 + L305 &lt; 0, K306 + L305, 0)</f>
        <v>0</v>
      </c>
      <c r="M306" s="1">
        <v>1873.256277401359</v>
      </c>
      <c r="N306" s="1">
        <f>IF(M306 + N305 &lt; 0, M306 + N305, 0)</f>
        <v>0</v>
      </c>
      <c r="O306" s="1">
        <v>25308.88800318852</v>
      </c>
      <c r="P306" s="1">
        <f>IF(O306 + P305 &lt; 0, O306 + P305, 0)</f>
        <v>0</v>
      </c>
      <c r="Q306" s="1">
        <v>25308.88800318852</v>
      </c>
      <c r="R306" s="1">
        <f>IF(Q306 + R305 &lt; 0, Q306 + R305, 0)</f>
        <v>0</v>
      </c>
      <c r="S306" s="1">
        <v>25308.88800318852</v>
      </c>
      <c r="T306" s="1">
        <f>IF(S306 + T305 &lt; 0, S306 + T305, 0)</f>
        <v>0</v>
      </c>
    </row>
    <row r="307" spans="1:20" s="1" customFormat="1">
      <c r="A307" s="3">
        <v>45432</v>
      </c>
      <c r="B307" s="2" t="s">
        <v>12</v>
      </c>
      <c r="C307" s="2">
        <v>20</v>
      </c>
      <c r="D307" s="2">
        <v>5</v>
      </c>
      <c r="E307" s="1">
        <v>0</v>
      </c>
      <c r="F307" s="1">
        <f>IF(E307 + F306 &lt; 0, E307 + F306, 0)</f>
        <v>0</v>
      </c>
      <c r="G307" s="1">
        <v>0</v>
      </c>
      <c r="H307" s="1">
        <f>IF(G307 + H306 &lt; 0, G307 + H306, 0)</f>
        <v>0</v>
      </c>
      <c r="I307" s="1">
        <v>0</v>
      </c>
      <c r="J307" s="1">
        <f>IF(I307 + J306 &lt; 0, I307 + J306, 0)</f>
        <v>0</v>
      </c>
      <c r="K307" s="1">
        <v>0</v>
      </c>
      <c r="L307" s="1">
        <f>IF(K307 + L306 &lt; 0, K307 + L306, 0)</f>
        <v>0</v>
      </c>
      <c r="M307" s="1">
        <v>-120392.5075301204</v>
      </c>
      <c r="N307" s="1">
        <f>IF(M307 + N306 &lt; 0, M307 + N306, 0)</f>
        <v>0</v>
      </c>
      <c r="O307" s="1">
        <v>-120392.5075301204</v>
      </c>
      <c r="P307" s="1">
        <f>IF(O307 + P306 &lt; 0, O307 + P306, 0)</f>
        <v>0</v>
      </c>
      <c r="Q307" s="1">
        <v>-120392.5075301204</v>
      </c>
      <c r="R307" s="1">
        <f>IF(Q307 + R306 &lt; 0, Q307 + R306, 0)</f>
        <v>0</v>
      </c>
      <c r="S307" s="1">
        <v>-120392.5075301204</v>
      </c>
      <c r="T307" s="1">
        <f>IF(S307 + T306 &lt; 0, S307 + T306, 0)</f>
        <v>0</v>
      </c>
    </row>
    <row r="308" spans="1:20" s="1" customFormat="1">
      <c r="A308" s="3">
        <v>45433</v>
      </c>
      <c r="B308" s="2" t="s">
        <v>13</v>
      </c>
      <c r="C308" s="2">
        <v>19</v>
      </c>
      <c r="D308" s="2">
        <v>4</v>
      </c>
      <c r="E308" s="1">
        <v>0</v>
      </c>
      <c r="F308" s="1">
        <f>IF(E308 + F307 &lt; 0, E308 + F307, 0)</f>
        <v>0</v>
      </c>
      <c r="G308" s="1">
        <v>0</v>
      </c>
      <c r="H308" s="1">
        <f>IF(G308 + H307 &lt; 0, G308 + H307, 0)</f>
        <v>0</v>
      </c>
      <c r="I308" s="1">
        <v>0</v>
      </c>
      <c r="J308" s="1">
        <f>IF(I308 + J307 &lt; 0, I308 + J307, 0)</f>
        <v>0</v>
      </c>
      <c r="K308" s="1">
        <v>0</v>
      </c>
      <c r="L308" s="1">
        <f>IF(K308 + L307 &lt; 0, K308 + L307, 0)</f>
        <v>0</v>
      </c>
      <c r="M308" s="1">
        <v>-128963.972201902</v>
      </c>
      <c r="N308" s="1">
        <f>IF(M308 + N307 &lt; 0, M308 + N307, 0)</f>
        <v>0</v>
      </c>
      <c r="O308" s="1">
        <v>-123340.3438185808</v>
      </c>
      <c r="P308" s="1">
        <f>IF(O308 + P307 &lt; 0, O308 + P307, 0)</f>
        <v>0</v>
      </c>
      <c r="Q308" s="1">
        <v>-125173.7381126554</v>
      </c>
      <c r="R308" s="1">
        <f>IF(Q308 + R307 &lt; 0, Q308 + R307, 0)</f>
        <v>0</v>
      </c>
      <c r="S308" s="1">
        <v>-125173.7381126554</v>
      </c>
      <c r="T308" s="1">
        <f>IF(S308 + T307 &lt; 0, S308 + T307, 0)</f>
        <v>0</v>
      </c>
    </row>
    <row r="309" spans="1:20" s="1" customFormat="1">
      <c r="A309" s="3">
        <v>45434</v>
      </c>
      <c r="B309" s="2" t="s">
        <v>14</v>
      </c>
      <c r="C309" s="2">
        <v>18</v>
      </c>
      <c r="D309" s="2">
        <v>3</v>
      </c>
      <c r="E309" s="1">
        <v>0</v>
      </c>
      <c r="F309" s="1">
        <f>IF(E309 + F308 &lt; 0, E309 + F308, 0)</f>
        <v>0</v>
      </c>
      <c r="G309" s="1">
        <v>0</v>
      </c>
      <c r="H309" s="1">
        <f>IF(G309 + H308 &lt; 0, G309 + H308, 0)</f>
        <v>0</v>
      </c>
      <c r="I309" s="1">
        <v>0</v>
      </c>
      <c r="J309" s="1">
        <f>IF(I309 + J308 &lt; 0, I309 + J308, 0)</f>
        <v>0</v>
      </c>
      <c r="K309" s="1">
        <v>0</v>
      </c>
      <c r="L309" s="1">
        <f>IF(K309 + L308 &lt; 0, K309 + L308, 0)</f>
        <v>0</v>
      </c>
      <c r="M309" s="1">
        <v>-9288.293424553402</v>
      </c>
      <c r="N309" s="1">
        <f>IF(M309 + N308 &lt; 0, M309 + N308, 0)</f>
        <v>0</v>
      </c>
      <c r="O309" s="1">
        <v>-78178.44925883695</v>
      </c>
      <c r="P309" s="1">
        <f>IF(O309 + P308 &lt; 0, O309 + P308, 0)</f>
        <v>0</v>
      </c>
      <c r="Q309" s="1">
        <v>-132207.335613835</v>
      </c>
      <c r="R309" s="1">
        <f>IF(Q309 + R308 &lt; 0, Q309 + R308, 0)</f>
        <v>0</v>
      </c>
      <c r="S309" s="1">
        <v>-132207.335613835</v>
      </c>
      <c r="T309" s="1">
        <f>IF(S309 + T308 &lt; 0, S309 + T308, 0)</f>
        <v>0</v>
      </c>
    </row>
    <row r="310" spans="1:20" s="1" customFormat="1">
      <c r="A310" s="3">
        <v>45435</v>
      </c>
      <c r="B310" s="2" t="s">
        <v>16</v>
      </c>
      <c r="C310" s="2">
        <v>17</v>
      </c>
      <c r="D310" s="2">
        <v>2</v>
      </c>
      <c r="E310" s="1">
        <v>0</v>
      </c>
      <c r="F310" s="1">
        <f>IF(E310 + F309 &lt; 0, E310 + F309, 0)</f>
        <v>0</v>
      </c>
      <c r="G310" s="1">
        <v>0</v>
      </c>
      <c r="H310" s="1">
        <f>IF(G310 + H309 &lt; 0, G310 + H309, 0)</f>
        <v>0</v>
      </c>
      <c r="I310" s="1">
        <v>0</v>
      </c>
      <c r="J310" s="1">
        <f>IF(I310 + J309 &lt; 0, I310 + J309, 0)</f>
        <v>0</v>
      </c>
      <c r="K310" s="1">
        <v>0</v>
      </c>
      <c r="L310" s="1">
        <f>IF(K310 + L309 &lt; 0, K310 + L309, 0)</f>
        <v>0</v>
      </c>
      <c r="M310" s="1">
        <v>-119726.0028653295</v>
      </c>
      <c r="N310" s="1">
        <f>IF(M310 + N309 &lt; 0, M310 + N309, 0)</f>
        <v>0</v>
      </c>
      <c r="O310" s="1">
        <v>-114393.8037249284</v>
      </c>
      <c r="P310" s="1">
        <f>IF(O310 + P309 &lt; 0, O310 + P309, 0)</f>
        <v>0</v>
      </c>
      <c r="Q310" s="1">
        <v>100505.9097421203</v>
      </c>
      <c r="R310" s="1">
        <f>IF(Q310 + R309 &lt; 0, Q310 + R309, 0)</f>
        <v>0</v>
      </c>
      <c r="S310" s="1">
        <v>100505.9097421203</v>
      </c>
      <c r="T310" s="1">
        <f>IF(S310 + T309 &lt; 0, S310 + T309, 0)</f>
        <v>0</v>
      </c>
    </row>
    <row r="311" spans="1:20" s="1" customFormat="1">
      <c r="A311" s="3">
        <v>45436</v>
      </c>
      <c r="B311" s="2" t="s">
        <v>15</v>
      </c>
      <c r="C311" s="2">
        <v>16</v>
      </c>
      <c r="D311" s="2">
        <v>1</v>
      </c>
      <c r="E311" s="1">
        <v>0</v>
      </c>
      <c r="F311" s="1">
        <f>IF(E311 + F310 &lt; 0, E311 + F310, 0)</f>
        <v>0</v>
      </c>
      <c r="G311" s="1">
        <v>0</v>
      </c>
      <c r="H311" s="1">
        <f>IF(G311 + H310 &lt; 0, G311 + H310, 0)</f>
        <v>0</v>
      </c>
      <c r="I311" s="1">
        <v>0</v>
      </c>
      <c r="J311" s="1">
        <f>IF(I311 + J310 &lt; 0, I311 + J310, 0)</f>
        <v>0</v>
      </c>
      <c r="K311" s="1">
        <v>0</v>
      </c>
      <c r="L311" s="1">
        <f>IF(K311 + L310 &lt; 0, K311 + L310, 0)</f>
        <v>0</v>
      </c>
      <c r="M311" s="1">
        <v>22214.41947565543</v>
      </c>
      <c r="N311" s="1">
        <f>IF(M311 + N310 &lt; 0, M311 + N310, 0)</f>
        <v>0</v>
      </c>
      <c r="O311" s="1">
        <v>-13834.26966292134</v>
      </c>
      <c r="P311" s="1">
        <f>IF(O311 + P310 &lt; 0, O311 + P310, 0)</f>
        <v>0</v>
      </c>
      <c r="Q311" s="1">
        <v>-50280.89887640448</v>
      </c>
      <c r="R311" s="1">
        <f>IF(Q311 + R310 &lt; 0, Q311 + R310, 0)</f>
        <v>0</v>
      </c>
      <c r="S311" s="1">
        <v>-120529.0262172285</v>
      </c>
      <c r="T311" s="1">
        <f>IF(S311 + T310 &lt; 0, S311 + T310, 0)</f>
        <v>0</v>
      </c>
    </row>
    <row r="312" spans="1:20" s="1" customFormat="1">
      <c r="A312" s="3">
        <v>45439</v>
      </c>
      <c r="B312" s="2" t="s">
        <v>12</v>
      </c>
      <c r="C312" s="2">
        <v>15</v>
      </c>
      <c r="D312" s="2">
        <v>20</v>
      </c>
      <c r="E312" s="1">
        <v>0</v>
      </c>
      <c r="F312" s="1">
        <f>IF(E312 + F311 &lt; 0, E312 + F311, 0)</f>
        <v>0</v>
      </c>
      <c r="G312" s="1">
        <v>0</v>
      </c>
      <c r="H312" s="1">
        <f>IF(G312 + H311 &lt; 0, G312 + H311, 0)</f>
        <v>0</v>
      </c>
      <c r="I312" s="1">
        <v>0</v>
      </c>
      <c r="J312" s="1">
        <f>IF(I312 + J311 &lt; 0, I312 + J311, 0)</f>
        <v>0</v>
      </c>
      <c r="K312" s="1">
        <v>0</v>
      </c>
      <c r="L312" s="1">
        <f>IF(K312 + L311 &lt; 0, K312 + L311, 0)</f>
        <v>0</v>
      </c>
      <c r="M312" s="1">
        <v>0</v>
      </c>
      <c r="N312" s="1">
        <f>IF(M312 + N311 &lt; 0, M312 + N311, 0)</f>
        <v>0</v>
      </c>
      <c r="O312" s="1">
        <v>0</v>
      </c>
      <c r="P312" s="1">
        <f>IF(O312 + P311 &lt; 0, O312 + P311, 0)</f>
        <v>0</v>
      </c>
      <c r="Q312" s="1">
        <v>0</v>
      </c>
      <c r="R312" s="1">
        <f>IF(Q312 + R311 &lt; 0, Q312 + R311, 0)</f>
        <v>0</v>
      </c>
      <c r="S312" s="1">
        <v>0</v>
      </c>
      <c r="T312" s="1">
        <f>IF(S312 + T311 &lt; 0, S312 + T311, 0)</f>
        <v>0</v>
      </c>
    </row>
    <row r="313" spans="1:20" s="1" customFormat="1">
      <c r="A313" s="3">
        <v>45440</v>
      </c>
      <c r="B313" s="2" t="s">
        <v>13</v>
      </c>
      <c r="C313" s="2">
        <v>14</v>
      </c>
      <c r="D313" s="2">
        <v>19</v>
      </c>
      <c r="E313" s="1">
        <v>0</v>
      </c>
      <c r="F313" s="1">
        <f>IF(E313 + F312 &lt; 0, E313 + F312, 0)</f>
        <v>0</v>
      </c>
      <c r="G313" s="1">
        <v>0</v>
      </c>
      <c r="H313" s="1">
        <f>IF(G313 + H312 &lt; 0, G313 + H312, 0)</f>
        <v>0</v>
      </c>
      <c r="I313" s="1">
        <v>0</v>
      </c>
      <c r="J313" s="1">
        <f>IF(I313 + J312 &lt; 0, I313 + J312, 0)</f>
        <v>0</v>
      </c>
      <c r="K313" s="1">
        <v>0</v>
      </c>
      <c r="L313" s="1">
        <f>IF(K313 + L312 &lt; 0, K313 + L312, 0)</f>
        <v>0</v>
      </c>
      <c r="M313" s="1">
        <v>0</v>
      </c>
      <c r="N313" s="1">
        <f>IF(M313 + N312 &lt; 0, M313 + N312, 0)</f>
        <v>0</v>
      </c>
      <c r="O313" s="1">
        <v>0</v>
      </c>
      <c r="P313" s="1">
        <f>IF(O313 + P312 &lt; 0, O313 + P312, 0)</f>
        <v>0</v>
      </c>
      <c r="Q313" s="1">
        <v>0</v>
      </c>
      <c r="R313" s="1">
        <f>IF(Q313 + R312 &lt; 0, Q313 + R312, 0)</f>
        <v>0</v>
      </c>
      <c r="S313" s="1">
        <v>0</v>
      </c>
      <c r="T313" s="1">
        <f>IF(S313 + T312 &lt; 0, S313 + T312, 0)</f>
        <v>0</v>
      </c>
    </row>
    <row r="314" spans="1:20" s="1" customFormat="1">
      <c r="A314" s="3">
        <v>45441</v>
      </c>
      <c r="B314" s="2" t="s">
        <v>14</v>
      </c>
      <c r="C314" s="2">
        <v>13</v>
      </c>
      <c r="D314" s="2">
        <v>18</v>
      </c>
      <c r="E314" s="1">
        <v>0</v>
      </c>
      <c r="F314" s="1">
        <f>IF(E314 + F313 &lt; 0, E314 + F313, 0)</f>
        <v>0</v>
      </c>
      <c r="G314" s="1">
        <v>0</v>
      </c>
      <c r="H314" s="1">
        <f>IF(G314 + H313 &lt; 0, G314 + H313, 0)</f>
        <v>0</v>
      </c>
      <c r="I314" s="1">
        <v>0</v>
      </c>
      <c r="J314" s="1">
        <f>IF(I314 + J313 &lt; 0, I314 + J313, 0)</f>
        <v>0</v>
      </c>
      <c r="K314" s="1">
        <v>0</v>
      </c>
      <c r="L314" s="1">
        <f>IF(K314 + L313 &lt; 0, K314 + L313, 0)</f>
        <v>0</v>
      </c>
      <c r="M314" s="1">
        <v>0</v>
      </c>
      <c r="N314" s="1">
        <f>IF(M314 + N313 &lt; 0, M314 + N313, 0)</f>
        <v>0</v>
      </c>
      <c r="O314" s="1">
        <v>0</v>
      </c>
      <c r="P314" s="1">
        <f>IF(O314 + P313 &lt; 0, O314 + P313, 0)</f>
        <v>0</v>
      </c>
      <c r="Q314" s="1">
        <v>0</v>
      </c>
      <c r="R314" s="1">
        <f>IF(Q314 + R313 &lt; 0, Q314 + R313, 0)</f>
        <v>0</v>
      </c>
      <c r="S314" s="1">
        <v>0</v>
      </c>
      <c r="T314" s="1">
        <f>IF(S314 + T313 &lt; 0, S314 + T313, 0)</f>
        <v>0</v>
      </c>
    </row>
    <row r="315" spans="1:20" s="1" customFormat="1">
      <c r="A315" s="3">
        <v>45442</v>
      </c>
      <c r="B315" s="2" t="s">
        <v>16</v>
      </c>
      <c r="C315" s="2">
        <v>12</v>
      </c>
      <c r="D315" s="2">
        <v>17</v>
      </c>
      <c r="E315" s="1">
        <v>0</v>
      </c>
      <c r="F315" s="1">
        <f>IF(E315 + F314 &lt; 0, E315 + F314, 0)</f>
        <v>0</v>
      </c>
      <c r="G315" s="1">
        <v>0</v>
      </c>
      <c r="H315" s="1">
        <f>IF(G315 + H314 &lt; 0, G315 + H314, 0)</f>
        <v>0</v>
      </c>
      <c r="I315" s="1">
        <v>0</v>
      </c>
      <c r="J315" s="1">
        <f>IF(I315 + J314 &lt; 0, I315 + J314, 0)</f>
        <v>0</v>
      </c>
      <c r="K315" s="1">
        <v>0</v>
      </c>
      <c r="L315" s="1">
        <f>IF(K315 + L314 &lt; 0, K315 + L314, 0)</f>
        <v>0</v>
      </c>
      <c r="M315" s="1">
        <v>0</v>
      </c>
      <c r="N315" s="1">
        <f>IF(M315 + N314 &lt; 0, M315 + N314, 0)</f>
        <v>0</v>
      </c>
      <c r="O315" s="1">
        <v>0</v>
      </c>
      <c r="P315" s="1">
        <f>IF(O315 + P314 &lt; 0, O315 + P314, 0)</f>
        <v>0</v>
      </c>
      <c r="Q315" s="1">
        <v>0</v>
      </c>
      <c r="R315" s="1">
        <f>IF(Q315 + R314 &lt; 0, Q315 + R314, 0)</f>
        <v>0</v>
      </c>
      <c r="S315" s="1">
        <v>0</v>
      </c>
      <c r="T315" s="1">
        <f>IF(S315 + T314 &lt; 0, S315 + T314, 0)</f>
        <v>0</v>
      </c>
    </row>
    <row r="316" spans="1:20" s="1" customFormat="1">
      <c r="A316" s="3">
        <v>45443</v>
      </c>
      <c r="B316" s="2" t="s">
        <v>15</v>
      </c>
      <c r="C316" s="2">
        <v>11</v>
      </c>
      <c r="D316" s="2">
        <v>16</v>
      </c>
      <c r="E316" s="1">
        <v>0</v>
      </c>
      <c r="F316" s="1">
        <f>IF(E316 + F315 &lt; 0, E316 + F315, 0)</f>
        <v>0</v>
      </c>
      <c r="G316" s="1">
        <v>0</v>
      </c>
      <c r="H316" s="1">
        <f>IF(G316 + H315 &lt; 0, G316 + H315, 0)</f>
        <v>0</v>
      </c>
      <c r="I316" s="1">
        <v>0</v>
      </c>
      <c r="J316" s="1">
        <f>IF(I316 + J315 &lt; 0, I316 + J315, 0)</f>
        <v>0</v>
      </c>
      <c r="K316" s="1">
        <v>0</v>
      </c>
      <c r="L316" s="1">
        <f>IF(K316 + L315 &lt; 0, K316 + L315, 0)</f>
        <v>0</v>
      </c>
      <c r="M316" s="1">
        <v>0</v>
      </c>
      <c r="N316" s="1">
        <f>IF(M316 + N315 &lt; 0, M316 + N315, 0)</f>
        <v>0</v>
      </c>
      <c r="O316" s="1">
        <v>0</v>
      </c>
      <c r="P316" s="1">
        <f>IF(O316 + P315 &lt; 0, O316 + P315, 0)</f>
        <v>0</v>
      </c>
      <c r="Q316" s="1">
        <v>0</v>
      </c>
      <c r="R316" s="1">
        <f>IF(Q316 + R315 &lt; 0, Q316 + R315, 0)</f>
        <v>0</v>
      </c>
      <c r="S316" s="1">
        <v>0</v>
      </c>
      <c r="T316" s="1">
        <f>IF(S316 + T315 &lt; 0, S316 + T315, 0)</f>
        <v>0</v>
      </c>
    </row>
    <row r="317" spans="1:20" s="1" customFormat="1">
      <c r="A317" s="3">
        <v>45446</v>
      </c>
      <c r="B317" s="2" t="s">
        <v>12</v>
      </c>
      <c r="C317" s="2">
        <v>10</v>
      </c>
      <c r="D317" s="2">
        <v>15</v>
      </c>
      <c r="E317" s="1">
        <v>151149.2956769135</v>
      </c>
      <c r="F317" s="1">
        <f>IF(E317 + F316 &lt; 0, E317 + F316, 0)</f>
        <v>0</v>
      </c>
      <c r="G317" s="1">
        <v>-118705.329262369</v>
      </c>
      <c r="H317" s="1">
        <f>IF(G317 + H316 &lt; 0, G317 + H316, 0)</f>
        <v>0</v>
      </c>
      <c r="I317" s="1">
        <v>-330182.672958157</v>
      </c>
      <c r="J317" s="1">
        <f>IF(I317 + J316 &lt; 0, I317 + J316, 0)</f>
        <v>0</v>
      </c>
      <c r="K317" s="1">
        <v>-330182.672958157</v>
      </c>
      <c r="L317" s="1">
        <f>IF(K317 + L316 &lt; 0, K317 + L316, 0)</f>
        <v>0</v>
      </c>
      <c r="M317" s="1">
        <v>0</v>
      </c>
      <c r="N317" s="1">
        <f>IF(M317 + N316 &lt; 0, M317 + N316, 0)</f>
        <v>0</v>
      </c>
      <c r="O317" s="1">
        <v>0</v>
      </c>
      <c r="P317" s="1">
        <f>IF(O317 + P316 &lt; 0, O317 + P316, 0)</f>
        <v>0</v>
      </c>
      <c r="Q317" s="1">
        <v>0</v>
      </c>
      <c r="R317" s="1">
        <f>IF(Q317 + R316 &lt; 0, Q317 + R316, 0)</f>
        <v>0</v>
      </c>
      <c r="S317" s="1">
        <v>0</v>
      </c>
      <c r="T317" s="1">
        <f>IF(S317 + T316 &lt; 0, S317 + T316, 0)</f>
        <v>0</v>
      </c>
    </row>
    <row r="318" spans="1:20" s="1" customFormat="1">
      <c r="A318" s="3">
        <v>45447</v>
      </c>
      <c r="B318" s="2" t="s">
        <v>13</v>
      </c>
      <c r="C318" s="2">
        <v>9</v>
      </c>
      <c r="D318" s="2">
        <v>14</v>
      </c>
      <c r="E318" s="1">
        <v>137423.2020238525</v>
      </c>
      <c r="F318" s="1">
        <f>IF(E318 + F317 &lt; 0, E318 + F317, 0)</f>
        <v>0</v>
      </c>
      <c r="G318" s="1">
        <v>137423.2020238525</v>
      </c>
      <c r="H318" s="1">
        <f>IF(G318 + H317 &lt; 0, G318 + H317, 0)</f>
        <v>0</v>
      </c>
      <c r="I318" s="1">
        <v>137423.2020238525</v>
      </c>
      <c r="J318" s="1">
        <f>IF(I318 + J317 &lt; 0, I318 + J317, 0)</f>
        <v>0</v>
      </c>
      <c r="K318" s="1">
        <v>137423.2020238525</v>
      </c>
      <c r="L318" s="1">
        <f>IF(K318 + L317 &lt; 0, K318 + L317, 0)</f>
        <v>0</v>
      </c>
      <c r="M318" s="1">
        <v>0</v>
      </c>
      <c r="N318" s="1">
        <f>IF(M318 + N317 &lt; 0, M318 + N317, 0)</f>
        <v>0</v>
      </c>
      <c r="O318" s="1">
        <v>0</v>
      </c>
      <c r="P318" s="1">
        <f>IF(O318 + P317 &lt; 0, O318 + P317, 0)</f>
        <v>0</v>
      </c>
      <c r="Q318" s="1">
        <v>0</v>
      </c>
      <c r="R318" s="1">
        <f>IF(Q318 + R317 &lt; 0, Q318 + R317, 0)</f>
        <v>0</v>
      </c>
      <c r="S318" s="1">
        <v>0</v>
      </c>
      <c r="T318" s="1">
        <f>IF(S318 + T317 &lt; 0, S318 + T317, 0)</f>
        <v>0</v>
      </c>
    </row>
    <row r="319" spans="1:20" s="1" customFormat="1">
      <c r="A319" s="3">
        <v>45448</v>
      </c>
      <c r="B319" s="2" t="s">
        <v>14</v>
      </c>
      <c r="C319" s="2">
        <v>8</v>
      </c>
      <c r="D319" s="2">
        <v>13</v>
      </c>
      <c r="E319" s="1">
        <v>62137.36582535539</v>
      </c>
      <c r="F319" s="1">
        <f>IF(E319 + F318 &lt; 0, E319 + F318, 0)</f>
        <v>0</v>
      </c>
      <c r="G319" s="1">
        <v>62137.36582535539</v>
      </c>
      <c r="H319" s="1">
        <f>IF(G319 + H318 &lt; 0, G319 + H318, 0)</f>
        <v>0</v>
      </c>
      <c r="I319" s="1">
        <v>62137.36582535539</v>
      </c>
      <c r="J319" s="1">
        <f>IF(I319 + J318 &lt; 0, I319 + J318, 0)</f>
        <v>0</v>
      </c>
      <c r="K319" s="1">
        <v>62137.36582535539</v>
      </c>
      <c r="L319" s="1">
        <f>IF(K319 + L318 &lt; 0, K319 + L318, 0)</f>
        <v>0</v>
      </c>
      <c r="M319" s="1">
        <v>0</v>
      </c>
      <c r="N319" s="1">
        <f>IF(M319 + N318 &lt; 0, M319 + N318, 0)</f>
        <v>0</v>
      </c>
      <c r="O319" s="1">
        <v>0</v>
      </c>
      <c r="P319" s="1">
        <f>IF(O319 + P318 &lt; 0, O319 + P318, 0)</f>
        <v>0</v>
      </c>
      <c r="Q319" s="1">
        <v>0</v>
      </c>
      <c r="R319" s="1">
        <f>IF(Q319 + R318 &lt; 0, Q319 + R318, 0)</f>
        <v>0</v>
      </c>
      <c r="S319" s="1">
        <v>0</v>
      </c>
      <c r="T319" s="1">
        <f>IF(S319 + T318 &lt; 0, S319 + T318, 0)</f>
        <v>0</v>
      </c>
    </row>
    <row r="320" spans="1:20" s="1" customFormat="1">
      <c r="A320" s="3">
        <v>45449</v>
      </c>
      <c r="B320" s="2" t="s">
        <v>16</v>
      </c>
      <c r="C320" s="2">
        <v>7</v>
      </c>
      <c r="D320" s="2">
        <v>12</v>
      </c>
      <c r="E320" s="1">
        <v>18800.05005005007</v>
      </c>
      <c r="F320" s="1">
        <f>IF(E320 + F319 &lt; 0, E320 + F319, 0)</f>
        <v>0</v>
      </c>
      <c r="G320" s="1">
        <v>23720.14872014873</v>
      </c>
      <c r="H320" s="1">
        <f>IF(G320 + H319 &lt; 0, G320 + H319, 0)</f>
        <v>0</v>
      </c>
      <c r="I320" s="1">
        <v>23720.14872014873</v>
      </c>
      <c r="J320" s="1">
        <f>IF(I320 + J319 &lt; 0, I320 + J319, 0)</f>
        <v>0</v>
      </c>
      <c r="K320" s="1">
        <v>23720.14872014873</v>
      </c>
      <c r="L320" s="1">
        <f>IF(K320 + L319 &lt; 0, K320 + L319, 0)</f>
        <v>0</v>
      </c>
      <c r="M320" s="1">
        <v>0</v>
      </c>
      <c r="N320" s="1">
        <f>IF(M320 + N319 &lt; 0, M320 + N319, 0)</f>
        <v>0</v>
      </c>
      <c r="O320" s="1">
        <v>0</v>
      </c>
      <c r="P320" s="1">
        <f>IF(O320 + P319 &lt; 0, O320 + P319, 0)</f>
        <v>0</v>
      </c>
      <c r="Q320" s="1">
        <v>0</v>
      </c>
      <c r="R320" s="1">
        <f>IF(Q320 + R319 &lt; 0, Q320 + R319, 0)</f>
        <v>0</v>
      </c>
      <c r="S320" s="1">
        <v>0</v>
      </c>
      <c r="T320" s="1">
        <f>IF(S320 + T319 &lt; 0, S320 + T319, 0)</f>
        <v>0</v>
      </c>
    </row>
    <row r="321" spans="1:20" s="1" customFormat="1">
      <c r="A321" s="3">
        <v>45450</v>
      </c>
      <c r="B321" s="2" t="s">
        <v>15</v>
      </c>
      <c r="C321" s="2">
        <v>6</v>
      </c>
      <c r="D321" s="2">
        <v>11</v>
      </c>
      <c r="E321" s="1">
        <v>90409.63431786218</v>
      </c>
      <c r="F321" s="1">
        <f>IF(E321 + F320 &lt; 0, E321 + F320, 0)</f>
        <v>0</v>
      </c>
      <c r="G321" s="1">
        <v>90409.63431786218</v>
      </c>
      <c r="H321" s="1">
        <f>IF(G321 + H320 &lt; 0, G321 + H320, 0)</f>
        <v>0</v>
      </c>
      <c r="I321" s="1">
        <v>90409.63431786218</v>
      </c>
      <c r="J321" s="1">
        <f>IF(I321 + J320 &lt; 0, I321 + J320, 0)</f>
        <v>0</v>
      </c>
      <c r="K321" s="1">
        <v>90409.63431786218</v>
      </c>
      <c r="L321" s="1">
        <f>IF(K321 + L320 &lt; 0, K321 + L320, 0)</f>
        <v>0</v>
      </c>
      <c r="M321" s="1">
        <v>0</v>
      </c>
      <c r="N321" s="1">
        <f>IF(M321 + N320 &lt; 0, M321 + N320, 0)</f>
        <v>0</v>
      </c>
      <c r="O321" s="1">
        <v>0</v>
      </c>
      <c r="P321" s="1">
        <f>IF(O321 + P320 &lt; 0, O321 + P320, 0)</f>
        <v>0</v>
      </c>
      <c r="Q321" s="1">
        <v>0</v>
      </c>
      <c r="R321" s="1">
        <f>IF(Q321 + R320 &lt; 0, Q321 + R320, 0)</f>
        <v>0</v>
      </c>
      <c r="S321" s="1">
        <v>0</v>
      </c>
      <c r="T321" s="1">
        <f>IF(S321 + T320 &lt; 0, S321 + T320, 0)</f>
        <v>0</v>
      </c>
    </row>
    <row r="322" spans="1:20" s="1" customFormat="1">
      <c r="A322" s="3">
        <v>45453</v>
      </c>
      <c r="B322" s="2" t="s">
        <v>12</v>
      </c>
      <c r="C322" s="2">
        <v>5</v>
      </c>
      <c r="D322" s="2">
        <v>10</v>
      </c>
      <c r="E322" s="1">
        <v>106745.2797080087</v>
      </c>
      <c r="F322" s="1">
        <f>IF(E322 + F321 &lt; 0, E322 + F321, 0)</f>
        <v>0</v>
      </c>
      <c r="G322" s="1">
        <v>-72239.76977609322</v>
      </c>
      <c r="H322" s="1">
        <f>IF(G322 + H321 &lt; 0, G322 + H321, 0)</f>
        <v>0</v>
      </c>
      <c r="I322" s="1">
        <v>-206824.2437004282</v>
      </c>
      <c r="J322" s="1">
        <f>IF(I322 + J321 &lt; 0, I322 + J321, 0)</f>
        <v>0</v>
      </c>
      <c r="K322" s="1">
        <v>-206824.2437004282</v>
      </c>
      <c r="L322" s="1">
        <f>IF(K322 + L321 &lt; 0, K322 + L321, 0)</f>
        <v>0</v>
      </c>
      <c r="M322" s="1">
        <v>0</v>
      </c>
      <c r="N322" s="1">
        <f>IF(M322 + N321 &lt; 0, M322 + N321, 0)</f>
        <v>0</v>
      </c>
      <c r="O322" s="1">
        <v>0</v>
      </c>
      <c r="P322" s="1">
        <f>IF(O322 + P321 &lt; 0, O322 + P321, 0)</f>
        <v>0</v>
      </c>
      <c r="Q322" s="1">
        <v>0</v>
      </c>
      <c r="R322" s="1">
        <f>IF(Q322 + R321 &lt; 0, Q322 + R321, 0)</f>
        <v>0</v>
      </c>
      <c r="S322" s="1">
        <v>0</v>
      </c>
      <c r="T322" s="1">
        <f>IF(S322 + T321 &lt; 0, S322 + T321, 0)</f>
        <v>0</v>
      </c>
    </row>
    <row r="323" spans="1:20" s="1" customFormat="1">
      <c r="A323" s="3">
        <v>45454</v>
      </c>
      <c r="B323" s="2" t="s">
        <v>13</v>
      </c>
      <c r="C323" s="2">
        <v>4</v>
      </c>
      <c r="D323" s="2">
        <v>9</v>
      </c>
      <c r="E323" s="1">
        <v>11043.38134430728</v>
      </c>
      <c r="F323" s="1">
        <f>IF(E323 + F322 &lt; 0, E323 + F322, 0)</f>
        <v>0</v>
      </c>
      <c r="G323" s="1">
        <v>61033.95061728396</v>
      </c>
      <c r="H323" s="1">
        <f>IF(G323 + H322 &lt; 0, G323 + H322, 0)</f>
        <v>0</v>
      </c>
      <c r="I323" s="1">
        <v>61033.95061728396</v>
      </c>
      <c r="J323" s="1">
        <f>IF(I323 + J322 &lt; 0, I323 + J322, 0)</f>
        <v>0</v>
      </c>
      <c r="K323" s="1">
        <v>61033.95061728396</v>
      </c>
      <c r="L323" s="1">
        <f>IF(K323 + L322 &lt; 0, K323 + L322, 0)</f>
        <v>0</v>
      </c>
      <c r="M323" s="1">
        <v>0</v>
      </c>
      <c r="N323" s="1">
        <f>IF(M323 + N322 &lt; 0, M323 + N322, 0)</f>
        <v>0</v>
      </c>
      <c r="O323" s="1">
        <v>0</v>
      </c>
      <c r="P323" s="1">
        <f>IF(O323 + P322 &lt; 0, O323 + P322, 0)</f>
        <v>0</v>
      </c>
      <c r="Q323" s="1">
        <v>0</v>
      </c>
      <c r="R323" s="1">
        <f>IF(Q323 + R322 &lt; 0, Q323 + R322, 0)</f>
        <v>0</v>
      </c>
      <c r="S323" s="1">
        <v>0</v>
      </c>
      <c r="T323" s="1">
        <f>IF(S323 + T322 &lt; 0, S323 + T322, 0)</f>
        <v>0</v>
      </c>
    </row>
    <row r="324" spans="1:20" s="1" customFormat="1">
      <c r="A324" s="3">
        <v>45455</v>
      </c>
      <c r="B324" s="2" t="s">
        <v>14</v>
      </c>
      <c r="C324" s="2">
        <v>3</v>
      </c>
      <c r="D324" s="2">
        <v>8</v>
      </c>
      <c r="E324" s="1">
        <v>-64566.35425156206</v>
      </c>
      <c r="F324" s="1">
        <f>IF(E324 + F323 &lt; 0, E324 + F323, 0)</f>
        <v>0</v>
      </c>
      <c r="G324" s="1">
        <v>108784.9769084488</v>
      </c>
      <c r="H324" s="1">
        <f>IF(G324 + H323 &lt; 0, G324 + H323, 0)</f>
        <v>0</v>
      </c>
      <c r="I324" s="1">
        <v>108784.9769084488</v>
      </c>
      <c r="J324" s="1">
        <f>IF(I324 + J323 &lt; 0, I324 + J323, 0)</f>
        <v>0</v>
      </c>
      <c r="K324" s="1">
        <v>108784.9769084488</v>
      </c>
      <c r="L324" s="1">
        <f>IF(K324 + L323 &lt; 0, K324 + L323, 0)</f>
        <v>0</v>
      </c>
      <c r="M324" s="1">
        <v>0</v>
      </c>
      <c r="N324" s="1">
        <f>IF(M324 + N323 &lt; 0, M324 + N323, 0)</f>
        <v>0</v>
      </c>
      <c r="O324" s="1">
        <v>0</v>
      </c>
      <c r="P324" s="1">
        <f>IF(O324 + P323 &lt; 0, O324 + P323, 0)</f>
        <v>0</v>
      </c>
      <c r="Q324" s="1">
        <v>0</v>
      </c>
      <c r="R324" s="1">
        <f>IF(Q324 + R323 &lt; 0, Q324 + R323, 0)</f>
        <v>0</v>
      </c>
      <c r="S324" s="1">
        <v>0</v>
      </c>
      <c r="T324" s="1">
        <f>IF(S324 + T323 &lt; 0, S324 + T323, 0)</f>
        <v>0</v>
      </c>
    </row>
    <row r="325" spans="1:20" s="1" customFormat="1">
      <c r="A325" s="3">
        <v>45456</v>
      </c>
      <c r="B325" s="2" t="s">
        <v>16</v>
      </c>
      <c r="C325" s="2">
        <v>2</v>
      </c>
      <c r="D325" s="2">
        <v>7</v>
      </c>
      <c r="E325" s="1">
        <v>56541.20645709431</v>
      </c>
      <c r="F325" s="1">
        <f>IF(E325 + F324 &lt; 0, E325 + F324, 0)</f>
        <v>0</v>
      </c>
      <c r="G325" s="1">
        <v>-9216.652506372126</v>
      </c>
      <c r="H325" s="1">
        <f>IF(G325 + H324 &lt; 0, G325 + H324, 0)</f>
        <v>0</v>
      </c>
      <c r="I325" s="1">
        <v>49745.11469838574</v>
      </c>
      <c r="J325" s="1">
        <f>IF(I325 + J324 &lt; 0, I325 + J324, 0)</f>
        <v>0</v>
      </c>
      <c r="K325" s="1">
        <v>49745.11469838574</v>
      </c>
      <c r="L325" s="1">
        <f>IF(K325 + L324 &lt; 0, K325 + L324, 0)</f>
        <v>0</v>
      </c>
      <c r="M325" s="1">
        <v>0</v>
      </c>
      <c r="N325" s="1">
        <f>IF(M325 + N324 &lt; 0, M325 + N324, 0)</f>
        <v>0</v>
      </c>
      <c r="O325" s="1">
        <v>0</v>
      </c>
      <c r="P325" s="1">
        <f>IF(O325 + P324 &lt; 0, O325 + P324, 0)</f>
        <v>0</v>
      </c>
      <c r="Q325" s="1">
        <v>0</v>
      </c>
      <c r="R325" s="1">
        <f>IF(Q325 + R324 &lt; 0, Q325 + R324, 0)</f>
        <v>0</v>
      </c>
      <c r="S325" s="1">
        <v>0</v>
      </c>
      <c r="T325" s="1">
        <f>IF(S325 + T324 &lt; 0, S325 + T324, 0)</f>
        <v>0</v>
      </c>
    </row>
    <row r="326" spans="1:20" s="1" customFormat="1">
      <c r="A326" s="3">
        <v>45457</v>
      </c>
      <c r="B326" s="2" t="s">
        <v>15</v>
      </c>
      <c r="C326" s="2">
        <v>1</v>
      </c>
      <c r="D326" s="2">
        <v>6</v>
      </c>
      <c r="E326" s="1">
        <v>-22116.26799142537</v>
      </c>
      <c r="F326" s="1">
        <f>IF(E326 + F325 &lt; 0, E326 + F325, 0)</f>
        <v>0</v>
      </c>
      <c r="G326" s="1">
        <v>91789.44503045357</v>
      </c>
      <c r="H326" s="1">
        <f>IF(G326 + H325 &lt; 0, G326 + H325, 0)</f>
        <v>0</v>
      </c>
      <c r="I326" s="1">
        <v>188514.4101534588</v>
      </c>
      <c r="J326" s="1">
        <f>IF(I326 + J325 &lt; 0, I326 + J325, 0)</f>
        <v>0</v>
      </c>
      <c r="K326" s="1">
        <v>188514.4101534588</v>
      </c>
      <c r="L326" s="1">
        <f>IF(K326 + L325 &lt; 0, K326 + L325, 0)</f>
        <v>0</v>
      </c>
      <c r="M326" s="1">
        <v>30974.20230821453</v>
      </c>
      <c r="N326" s="1">
        <f>IF(M326 + N325 &lt; 0, M326 + N325, 0)</f>
        <v>0</v>
      </c>
      <c r="O326" s="1">
        <v>30974.20230821453</v>
      </c>
      <c r="P326" s="1">
        <f>IF(O326 + P325 &lt; 0, O326 + P325, 0)</f>
        <v>0</v>
      </c>
      <c r="Q326" s="1">
        <v>30974.20230821453</v>
      </c>
      <c r="R326" s="1">
        <f>IF(Q326 + R325 &lt; 0, Q326 + R325, 0)</f>
        <v>0</v>
      </c>
      <c r="S326" s="1">
        <v>30974.20230821453</v>
      </c>
      <c r="T326" s="1">
        <f>IF(S326 + T325 &lt; 0, S326 + T325, 0)</f>
        <v>0</v>
      </c>
    </row>
    <row r="327" spans="1:20" s="1" customFormat="1">
      <c r="A327" s="3">
        <v>45460</v>
      </c>
      <c r="B327" s="2" t="s">
        <v>12</v>
      </c>
      <c r="C327" s="2">
        <v>21</v>
      </c>
      <c r="D327" s="2">
        <v>5</v>
      </c>
      <c r="E327" s="1">
        <v>0</v>
      </c>
      <c r="F327" s="1">
        <f>IF(E327 + F326 &lt; 0, E327 + F326, 0)</f>
        <v>0</v>
      </c>
      <c r="G327" s="1">
        <v>0</v>
      </c>
      <c r="H327" s="1">
        <f>IF(G327 + H326 &lt; 0, G327 + H326, 0)</f>
        <v>0</v>
      </c>
      <c r="I327" s="1">
        <v>0</v>
      </c>
      <c r="J327" s="1">
        <f>IF(I327 + J326 &lt; 0, I327 + J326, 0)</f>
        <v>0</v>
      </c>
      <c r="K327" s="1">
        <v>0</v>
      </c>
      <c r="L327" s="1">
        <f>IF(K327 + L326 &lt; 0, K327 + L326, 0)</f>
        <v>0</v>
      </c>
      <c r="M327" s="1">
        <v>93466.60808435857</v>
      </c>
      <c r="N327" s="1">
        <f>IF(M327 + N326 &lt; 0, M327 + N326, 0)</f>
        <v>0</v>
      </c>
      <c r="O327" s="1">
        <v>93466.60808435857</v>
      </c>
      <c r="P327" s="1">
        <f>IF(O327 + P326 &lt; 0, O327 + P326, 0)</f>
        <v>0</v>
      </c>
      <c r="Q327" s="1">
        <v>93466.60808435857</v>
      </c>
      <c r="R327" s="1">
        <f>IF(Q327 + R326 &lt; 0, Q327 + R326, 0)</f>
        <v>0</v>
      </c>
      <c r="S327" s="1">
        <v>93466.60808435857</v>
      </c>
      <c r="T327" s="1">
        <f>IF(S327 + T326 &lt; 0, S327 + T326, 0)</f>
        <v>0</v>
      </c>
    </row>
    <row r="328" spans="1:20" s="1" customFormat="1">
      <c r="A328" s="3">
        <v>45461</v>
      </c>
      <c r="B328" s="2" t="s">
        <v>13</v>
      </c>
      <c r="C328" s="2">
        <v>20</v>
      </c>
      <c r="D328" s="2">
        <v>4</v>
      </c>
      <c r="E328" s="1">
        <v>0</v>
      </c>
      <c r="F328" s="1">
        <f>IF(E328 + F327 &lt; 0, E328 + F327, 0)</f>
        <v>0</v>
      </c>
      <c r="G328" s="1">
        <v>0</v>
      </c>
      <c r="H328" s="1">
        <f>IF(G328 + H327 &lt; 0, G328 + H327, 0)</f>
        <v>0</v>
      </c>
      <c r="I328" s="1">
        <v>0</v>
      </c>
      <c r="J328" s="1">
        <f>IF(I328 + J327 &lt; 0, I328 + J327, 0)</f>
        <v>0</v>
      </c>
      <c r="K328" s="1">
        <v>0</v>
      </c>
      <c r="L328" s="1">
        <f>IF(K328 + L327 &lt; 0, K328 + L327, 0)</f>
        <v>0</v>
      </c>
      <c r="M328" s="1">
        <v>23220.64056939502</v>
      </c>
      <c r="N328" s="1">
        <f>IF(M328 + N327 &lt; 0, M328 + N327, 0)</f>
        <v>0</v>
      </c>
      <c r="O328" s="1">
        <v>23220.64056939502</v>
      </c>
      <c r="P328" s="1">
        <f>IF(O328 + P327 &lt; 0, O328 + P327, 0)</f>
        <v>0</v>
      </c>
      <c r="Q328" s="1">
        <v>23220.64056939502</v>
      </c>
      <c r="R328" s="1">
        <f>IF(Q328 + R327 &lt; 0, Q328 + R327, 0)</f>
        <v>0</v>
      </c>
      <c r="S328" s="1">
        <v>23220.64056939502</v>
      </c>
      <c r="T328" s="1">
        <f>IF(S328 + T327 &lt; 0, S328 + T327, 0)</f>
        <v>0</v>
      </c>
    </row>
    <row r="329" spans="1:20" s="1" customFormat="1">
      <c r="A329" s="3">
        <v>45462</v>
      </c>
      <c r="B329" s="2" t="s">
        <v>14</v>
      </c>
      <c r="C329" s="2">
        <v>19</v>
      </c>
      <c r="D329" s="2">
        <v>3</v>
      </c>
      <c r="E329" s="1">
        <v>0</v>
      </c>
      <c r="F329" s="1">
        <f>IF(E329 + F328 &lt; 0, E329 + F328, 0)</f>
        <v>0</v>
      </c>
      <c r="G329" s="1">
        <v>0</v>
      </c>
      <c r="H329" s="1">
        <f>IF(G329 + H328 &lt; 0, G329 + H328, 0)</f>
        <v>0</v>
      </c>
      <c r="I329" s="1">
        <v>0</v>
      </c>
      <c r="J329" s="1">
        <f>IF(I329 + J328 &lt; 0, I329 + J328, 0)</f>
        <v>0</v>
      </c>
      <c r="K329" s="1">
        <v>0</v>
      </c>
      <c r="L329" s="1">
        <f>IF(K329 + L328 &lt; 0, K329 + L328, 0)</f>
        <v>0</v>
      </c>
      <c r="M329" s="1">
        <v>93095.93023255814</v>
      </c>
      <c r="N329" s="1">
        <f>IF(M329 + N328 &lt; 0, M329 + N328, 0)</f>
        <v>0</v>
      </c>
      <c r="O329" s="1">
        <v>93095.93023255814</v>
      </c>
      <c r="P329" s="1">
        <f>IF(O329 + P328 &lt; 0, O329 + P328, 0)</f>
        <v>0</v>
      </c>
      <c r="Q329" s="1">
        <v>93095.93023255814</v>
      </c>
      <c r="R329" s="1">
        <f>IF(Q329 + R328 &lt; 0, Q329 + R328, 0)</f>
        <v>0</v>
      </c>
      <c r="S329" s="1">
        <v>93095.93023255814</v>
      </c>
      <c r="T329" s="1">
        <f>IF(S329 + T328 &lt; 0, S329 + T328, 0)</f>
        <v>0</v>
      </c>
    </row>
    <row r="330" spans="1:20" s="1" customFormat="1">
      <c r="A330" s="3">
        <v>45463</v>
      </c>
      <c r="B330" s="2" t="s">
        <v>16</v>
      </c>
      <c r="C330" s="2">
        <v>18</v>
      </c>
      <c r="D330" s="2">
        <v>2</v>
      </c>
      <c r="E330" s="1">
        <v>0</v>
      </c>
      <c r="F330" s="1">
        <f>IF(E330 + F329 &lt; 0, E330 + F329, 0)</f>
        <v>0</v>
      </c>
      <c r="G330" s="1">
        <v>0</v>
      </c>
      <c r="H330" s="1">
        <f>IF(G330 + H329 &lt; 0, G330 + H329, 0)</f>
        <v>0</v>
      </c>
      <c r="I330" s="1">
        <v>0</v>
      </c>
      <c r="J330" s="1">
        <f>IF(I330 + J329 &lt; 0, I330 + J329, 0)</f>
        <v>0</v>
      </c>
      <c r="K330" s="1">
        <v>0</v>
      </c>
      <c r="L330" s="1">
        <f>IF(K330 + L329 &lt; 0, K330 + L329, 0)</f>
        <v>0</v>
      </c>
      <c r="M330" s="1">
        <v>-7896.757679180899</v>
      </c>
      <c r="N330" s="1">
        <f>IF(M330 + N329 &lt; 0, M330 + N329, 0)</f>
        <v>0</v>
      </c>
      <c r="O330" s="1">
        <v>-57811.43344709898</v>
      </c>
      <c r="P330" s="1">
        <f>IF(O330 + P329 &lt; 0, O330 + P329, 0)</f>
        <v>0</v>
      </c>
      <c r="Q330" s="1">
        <v>-120213.3105802048</v>
      </c>
      <c r="R330" s="1">
        <f>IF(Q330 + R329 &lt; 0, Q330 + R329, 0)</f>
        <v>0</v>
      </c>
      <c r="S330" s="1">
        <v>-120191.9795221843</v>
      </c>
      <c r="T330" s="1">
        <f>IF(S330 + T329 &lt; 0, S330 + T329, 0)</f>
        <v>0</v>
      </c>
    </row>
    <row r="331" spans="1:20" s="1" customFormat="1">
      <c r="A331" s="3">
        <v>45464</v>
      </c>
      <c r="B331" s="2" t="s">
        <v>15</v>
      </c>
      <c r="C331" s="2">
        <v>17</v>
      </c>
      <c r="D331" s="2">
        <v>1</v>
      </c>
      <c r="E331" s="1">
        <v>0</v>
      </c>
      <c r="F331" s="1">
        <f>IF(E331 + F330 &lt; 0, E331 + F330, 0)</f>
        <v>0</v>
      </c>
      <c r="G331" s="1">
        <v>0</v>
      </c>
      <c r="H331" s="1">
        <f>IF(G331 + H330 &lt; 0, G331 + H330, 0)</f>
        <v>0</v>
      </c>
      <c r="I331" s="1">
        <v>0</v>
      </c>
      <c r="J331" s="1">
        <f>IF(I331 + J330 &lt; 0, I331 + J330, 0)</f>
        <v>0</v>
      </c>
      <c r="K331" s="1">
        <v>0</v>
      </c>
      <c r="L331" s="1">
        <f>IF(K331 + L330 &lt; 0, K331 + L330, 0)</f>
        <v>0</v>
      </c>
      <c r="M331" s="1">
        <v>794.3754565376184</v>
      </c>
      <c r="N331" s="1">
        <f>IF(M331 + N330 &lt; 0, M331 + N330, 0)</f>
        <v>0</v>
      </c>
      <c r="O331" s="1">
        <v>-38011.32213294376</v>
      </c>
      <c r="P331" s="1">
        <f>IF(O331 + P330 &lt; 0, O331 + P330, 0)</f>
        <v>0</v>
      </c>
      <c r="Q331" s="1">
        <v>76150.47479912345</v>
      </c>
      <c r="R331" s="1">
        <f>IF(Q331 + R330 &lt; 0, Q331 + R330, 0)</f>
        <v>0</v>
      </c>
      <c r="S331" s="1">
        <v>113581.9941563185</v>
      </c>
      <c r="T331" s="1">
        <f>IF(S331 + T330 &lt; 0, S331 + T330, 0)</f>
        <v>0</v>
      </c>
    </row>
    <row r="332" spans="1:20" s="1" customFormat="1">
      <c r="A332" s="3">
        <v>45467</v>
      </c>
      <c r="B332" s="2" t="s">
        <v>12</v>
      </c>
      <c r="C332" s="2">
        <v>16</v>
      </c>
      <c r="D332" s="2">
        <v>21</v>
      </c>
      <c r="E332" s="1">
        <v>0</v>
      </c>
      <c r="F332" s="1">
        <f>IF(E332 + F331 &lt; 0, E332 + F331, 0)</f>
        <v>0</v>
      </c>
      <c r="G332" s="1">
        <v>0</v>
      </c>
      <c r="H332" s="1">
        <f>IF(G332 + H331 &lt; 0, G332 + H331, 0)</f>
        <v>0</v>
      </c>
      <c r="I332" s="1">
        <v>0</v>
      </c>
      <c r="J332" s="1">
        <f>IF(I332 + J331 &lt; 0, I332 + J331, 0)</f>
        <v>0</v>
      </c>
      <c r="K332" s="1">
        <v>0</v>
      </c>
      <c r="L332" s="1">
        <f>IF(K332 + L331 &lt; 0, K332 + L331, 0)</f>
        <v>0</v>
      </c>
      <c r="M332" s="1">
        <v>0</v>
      </c>
      <c r="N332" s="1">
        <f>IF(M332 + N331 &lt; 0, M332 + N331, 0)</f>
        <v>0</v>
      </c>
      <c r="O332" s="1">
        <v>0</v>
      </c>
      <c r="P332" s="1">
        <f>IF(O332 + P331 &lt; 0, O332 + P331, 0)</f>
        <v>0</v>
      </c>
      <c r="Q332" s="1">
        <v>0</v>
      </c>
      <c r="R332" s="1">
        <f>IF(Q332 + R331 &lt; 0, Q332 + R331, 0)</f>
        <v>0</v>
      </c>
      <c r="S332" s="1">
        <v>0</v>
      </c>
      <c r="T332" s="1">
        <f>IF(S332 + T331 &lt; 0, S332 + T331, 0)</f>
        <v>0</v>
      </c>
    </row>
    <row r="333" spans="1:20" s="1" customFormat="1">
      <c r="A333" s="3">
        <v>45468</v>
      </c>
      <c r="B333" s="2" t="s">
        <v>13</v>
      </c>
      <c r="C333" s="2">
        <v>15</v>
      </c>
      <c r="D333" s="2">
        <v>20</v>
      </c>
      <c r="E333" s="1">
        <v>0</v>
      </c>
      <c r="F333" s="1">
        <f>IF(E333 + F332 &lt; 0, E333 + F332, 0)</f>
        <v>0</v>
      </c>
      <c r="G333" s="1">
        <v>0</v>
      </c>
      <c r="H333" s="1">
        <f>IF(G333 + H332 &lt; 0, G333 + H332, 0)</f>
        <v>0</v>
      </c>
      <c r="I333" s="1">
        <v>0</v>
      </c>
      <c r="J333" s="1">
        <f>IF(I333 + J332 &lt; 0, I333 + J332, 0)</f>
        <v>0</v>
      </c>
      <c r="K333" s="1">
        <v>0</v>
      </c>
      <c r="L333" s="1">
        <f>IF(K333 + L332 &lt; 0, K333 + L332, 0)</f>
        <v>0</v>
      </c>
      <c r="M333" s="1">
        <v>0</v>
      </c>
      <c r="N333" s="1">
        <f>IF(M333 + N332 &lt; 0, M333 + N332, 0)</f>
        <v>0</v>
      </c>
      <c r="O333" s="1">
        <v>0</v>
      </c>
      <c r="P333" s="1">
        <f>IF(O333 + P332 &lt; 0, O333 + P332, 0)</f>
        <v>0</v>
      </c>
      <c r="Q333" s="1">
        <v>0</v>
      </c>
      <c r="R333" s="1">
        <f>IF(Q333 + R332 &lt; 0, Q333 + R332, 0)</f>
        <v>0</v>
      </c>
      <c r="S333" s="1">
        <v>0</v>
      </c>
      <c r="T333" s="1">
        <f>IF(S333 + T332 &lt; 0, S333 + T332, 0)</f>
        <v>0</v>
      </c>
    </row>
    <row r="334" spans="1:20" s="1" customFormat="1">
      <c r="A334" s="3">
        <v>45469</v>
      </c>
      <c r="B334" s="2" t="s">
        <v>14</v>
      </c>
      <c r="C334" s="2">
        <v>14</v>
      </c>
      <c r="D334" s="2">
        <v>19</v>
      </c>
      <c r="E334" s="1">
        <v>0</v>
      </c>
      <c r="F334" s="1">
        <f>IF(E334 + F333 &lt; 0, E334 + F333, 0)</f>
        <v>0</v>
      </c>
      <c r="G334" s="1">
        <v>0</v>
      </c>
      <c r="H334" s="1">
        <f>IF(G334 + H333 &lt; 0, G334 + H333, 0)</f>
        <v>0</v>
      </c>
      <c r="I334" s="1">
        <v>0</v>
      </c>
      <c r="J334" s="1">
        <f>IF(I334 + J333 &lt; 0, I334 + J333, 0)</f>
        <v>0</v>
      </c>
      <c r="K334" s="1">
        <v>0</v>
      </c>
      <c r="L334" s="1">
        <f>IF(K334 + L333 &lt; 0, K334 + L333, 0)</f>
        <v>0</v>
      </c>
      <c r="M334" s="1">
        <v>0</v>
      </c>
      <c r="N334" s="1">
        <f>IF(M334 + N333 &lt; 0, M334 + N333, 0)</f>
        <v>0</v>
      </c>
      <c r="O334" s="1">
        <v>0</v>
      </c>
      <c r="P334" s="1">
        <f>IF(O334 + P333 &lt; 0, O334 + P333, 0)</f>
        <v>0</v>
      </c>
      <c r="Q334" s="1">
        <v>0</v>
      </c>
      <c r="R334" s="1">
        <f>IF(Q334 + R333 &lt; 0, Q334 + R333, 0)</f>
        <v>0</v>
      </c>
      <c r="S334" s="1">
        <v>0</v>
      </c>
      <c r="T334" s="1">
        <f>IF(S334 + T333 &lt; 0, S334 + T333, 0)</f>
        <v>0</v>
      </c>
    </row>
    <row r="335" spans="1:20" s="1" customFormat="1">
      <c r="A335" s="3">
        <v>45470</v>
      </c>
      <c r="B335" s="2" t="s">
        <v>16</v>
      </c>
      <c r="C335" s="2">
        <v>13</v>
      </c>
      <c r="D335" s="2">
        <v>18</v>
      </c>
      <c r="E335" s="1">
        <v>0</v>
      </c>
      <c r="F335" s="1">
        <f>IF(E335 + F334 &lt; 0, E335 + F334, 0)</f>
        <v>0</v>
      </c>
      <c r="G335" s="1">
        <v>0</v>
      </c>
      <c r="H335" s="1">
        <f>IF(G335 + H334 &lt; 0, G335 + H334, 0)</f>
        <v>0</v>
      </c>
      <c r="I335" s="1">
        <v>0</v>
      </c>
      <c r="J335" s="1">
        <f>IF(I335 + J334 &lt; 0, I335 + J334, 0)</f>
        <v>0</v>
      </c>
      <c r="K335" s="1">
        <v>0</v>
      </c>
      <c r="L335" s="1">
        <f>IF(K335 + L334 &lt; 0, K335 + L334, 0)</f>
        <v>0</v>
      </c>
      <c r="M335" s="1">
        <v>0</v>
      </c>
      <c r="N335" s="1">
        <f>IF(M335 + N334 &lt; 0, M335 + N334, 0)</f>
        <v>0</v>
      </c>
      <c r="O335" s="1">
        <v>0</v>
      </c>
      <c r="P335" s="1">
        <f>IF(O335 + P334 &lt; 0, O335 + P334, 0)</f>
        <v>0</v>
      </c>
      <c r="Q335" s="1">
        <v>0</v>
      </c>
      <c r="R335" s="1">
        <f>IF(Q335 + R334 &lt; 0, Q335 + R334, 0)</f>
        <v>0</v>
      </c>
      <c r="S335" s="1">
        <v>0</v>
      </c>
      <c r="T335" s="1">
        <f>IF(S335 + T334 &lt; 0, S335 + T334, 0)</f>
        <v>0</v>
      </c>
    </row>
    <row r="336" spans="1:20" s="1" customFormat="1">
      <c r="A336" s="3">
        <v>45471</v>
      </c>
      <c r="B336" s="2" t="s">
        <v>15</v>
      </c>
      <c r="C336" s="2">
        <v>12</v>
      </c>
      <c r="D336" s="2">
        <v>17</v>
      </c>
      <c r="E336" s="1">
        <v>0</v>
      </c>
      <c r="F336" s="1">
        <f>IF(E336 + F335 &lt; 0, E336 + F335, 0)</f>
        <v>0</v>
      </c>
      <c r="G336" s="1">
        <v>0</v>
      </c>
      <c r="H336" s="1">
        <f>IF(G336 + H335 &lt; 0, G336 + H335, 0)</f>
        <v>0</v>
      </c>
      <c r="I336" s="1">
        <v>0</v>
      </c>
      <c r="J336" s="1">
        <f>IF(I336 + J335 &lt; 0, I336 + J335, 0)</f>
        <v>0</v>
      </c>
      <c r="K336" s="1">
        <v>0</v>
      </c>
      <c r="L336" s="1">
        <f>IF(K336 + L335 &lt; 0, K336 + L335, 0)</f>
        <v>0</v>
      </c>
      <c r="M336" s="1">
        <v>0</v>
      </c>
      <c r="N336" s="1">
        <f>IF(M336 + N335 &lt; 0, M336 + N335, 0)</f>
        <v>0</v>
      </c>
      <c r="O336" s="1">
        <v>0</v>
      </c>
      <c r="P336" s="1">
        <f>IF(O336 + P335 &lt; 0, O336 + P335, 0)</f>
        <v>0</v>
      </c>
      <c r="Q336" s="1">
        <v>0</v>
      </c>
      <c r="R336" s="1">
        <f>IF(Q336 + R335 &lt; 0, Q336 + R335, 0)</f>
        <v>0</v>
      </c>
      <c r="S336" s="1">
        <v>0</v>
      </c>
      <c r="T336" s="1">
        <f>IF(S336 + T335 &lt; 0, S336 + T335, 0)</f>
        <v>0</v>
      </c>
    </row>
    <row r="337" spans="1:20" s="1" customFormat="1">
      <c r="A337" s="3">
        <v>45474</v>
      </c>
      <c r="B337" s="2" t="s">
        <v>12</v>
      </c>
      <c r="C337" s="2">
        <v>11</v>
      </c>
      <c r="D337" s="2">
        <v>16</v>
      </c>
      <c r="E337" s="1">
        <v>0</v>
      </c>
      <c r="F337" s="1">
        <f>IF(E337 + F336 &lt; 0, E337 + F336, 0)</f>
        <v>0</v>
      </c>
      <c r="G337" s="1">
        <v>0</v>
      </c>
      <c r="H337" s="1">
        <f>IF(G337 + H336 &lt; 0, G337 + H336, 0)</f>
        <v>0</v>
      </c>
      <c r="I337" s="1">
        <v>0</v>
      </c>
      <c r="J337" s="1">
        <f>IF(I337 + J336 &lt; 0, I337 + J336, 0)</f>
        <v>0</v>
      </c>
      <c r="K337" s="1">
        <v>0</v>
      </c>
      <c r="L337" s="1">
        <f>IF(K337 + L336 &lt; 0, K337 + L336, 0)</f>
        <v>0</v>
      </c>
      <c r="M337" s="1">
        <v>0</v>
      </c>
      <c r="N337" s="1">
        <f>IF(M337 + N336 &lt; 0, M337 + N336, 0)</f>
        <v>0</v>
      </c>
      <c r="O337" s="1">
        <v>0</v>
      </c>
      <c r="P337" s="1">
        <f>IF(O337 + P336 &lt; 0, O337 + P336, 0)</f>
        <v>0</v>
      </c>
      <c r="Q337" s="1">
        <v>0</v>
      </c>
      <c r="R337" s="1">
        <f>IF(Q337 + R336 &lt; 0, Q337 + R336, 0)</f>
        <v>0</v>
      </c>
      <c r="S337" s="1">
        <v>0</v>
      </c>
      <c r="T337" s="1">
        <f>IF(S337 + T336 &lt; 0, S337 + T336, 0)</f>
        <v>0</v>
      </c>
    </row>
    <row r="338" spans="1:20" s="1" customFormat="1">
      <c r="A338" s="3">
        <v>45476</v>
      </c>
      <c r="B338" s="2" t="s">
        <v>14</v>
      </c>
      <c r="C338" s="2">
        <v>10</v>
      </c>
      <c r="D338" s="2">
        <v>15</v>
      </c>
      <c r="E338" s="1">
        <v>70485.98907243507</v>
      </c>
      <c r="F338" s="1">
        <f>IF(E338 + F337 &lt; 0, E338 + F337, 0)</f>
        <v>0</v>
      </c>
      <c r="G338" s="1">
        <v>70485.98907243507</v>
      </c>
      <c r="H338" s="1">
        <f>IF(G338 + H337 &lt; 0, G338 + H337, 0)</f>
        <v>0</v>
      </c>
      <c r="I338" s="1">
        <v>70485.98907243507</v>
      </c>
      <c r="J338" s="1">
        <f>IF(I338 + J337 &lt; 0, I338 + J337, 0)</f>
        <v>0</v>
      </c>
      <c r="K338" s="1">
        <v>70485.98907243507</v>
      </c>
      <c r="L338" s="1">
        <f>IF(K338 + L337 &lt; 0, K338 + L337, 0)</f>
        <v>0</v>
      </c>
      <c r="M338" s="1">
        <v>0</v>
      </c>
      <c r="N338" s="1">
        <f>IF(M338 + N337 &lt; 0, M338 + N337, 0)</f>
        <v>0</v>
      </c>
      <c r="O338" s="1">
        <v>0</v>
      </c>
      <c r="P338" s="1">
        <f>IF(O338 + P337 &lt; 0, O338 + P337, 0)</f>
        <v>0</v>
      </c>
      <c r="Q338" s="1">
        <v>0</v>
      </c>
      <c r="R338" s="1">
        <f>IF(Q338 + R337 &lt; 0, Q338 + R337, 0)</f>
        <v>0</v>
      </c>
      <c r="S338" s="1">
        <v>0</v>
      </c>
      <c r="T338" s="1">
        <f>IF(S338 + T337 &lt; 0, S338 + T337, 0)</f>
        <v>0</v>
      </c>
    </row>
    <row r="339" spans="1:20" s="1" customFormat="1">
      <c r="A339" s="3">
        <v>45477</v>
      </c>
      <c r="B339" s="2" t="s">
        <v>16</v>
      </c>
      <c r="C339" s="2">
        <v>9</v>
      </c>
      <c r="D339" s="2">
        <v>14</v>
      </c>
      <c r="E339" s="1">
        <v>10678.71280807049</v>
      </c>
      <c r="F339" s="1">
        <f>IF(E339 + F338 &lt; 0, E339 + F338, 0)</f>
        <v>0</v>
      </c>
      <c r="G339" s="1">
        <v>10678.71280807049</v>
      </c>
      <c r="H339" s="1">
        <f>IF(G339 + H338 &lt; 0, G339 + H338, 0)</f>
        <v>0</v>
      </c>
      <c r="I339" s="1">
        <v>10678.71280807049</v>
      </c>
      <c r="J339" s="1">
        <f>IF(I339 + J338 &lt; 0, I339 + J338, 0)</f>
        <v>0</v>
      </c>
      <c r="K339" s="1">
        <v>10678.71280807049</v>
      </c>
      <c r="L339" s="1">
        <f>IF(K339 + L338 &lt; 0, K339 + L338, 0)</f>
        <v>0</v>
      </c>
      <c r="M339" s="1">
        <v>0</v>
      </c>
      <c r="N339" s="1">
        <f>IF(M339 + N338 &lt; 0, M339 + N338, 0)</f>
        <v>0</v>
      </c>
      <c r="O339" s="1">
        <v>0</v>
      </c>
      <c r="P339" s="1">
        <f>IF(O339 + P338 &lt; 0, O339 + P338, 0)</f>
        <v>0</v>
      </c>
      <c r="Q339" s="1">
        <v>0</v>
      </c>
      <c r="R339" s="1">
        <f>IF(Q339 + R338 &lt; 0, Q339 + R338, 0)</f>
        <v>0</v>
      </c>
      <c r="S339" s="1">
        <v>0</v>
      </c>
      <c r="T339" s="1">
        <f>IF(S339 + T338 &lt; 0, S339 + T338, 0)</f>
        <v>0</v>
      </c>
    </row>
    <row r="340" spans="1:20" s="1" customFormat="1">
      <c r="A340" s="3">
        <v>45478</v>
      </c>
      <c r="B340" s="2" t="s">
        <v>15</v>
      </c>
      <c r="C340" s="2">
        <v>8</v>
      </c>
      <c r="D340" s="2">
        <v>13</v>
      </c>
      <c r="E340" s="1">
        <v>65270.62265470966</v>
      </c>
      <c r="F340" s="1">
        <f>IF(E340 + F339 &lt; 0, E340 + F339, 0)</f>
        <v>0</v>
      </c>
      <c r="G340" s="1">
        <v>65270.62265470966</v>
      </c>
      <c r="H340" s="1">
        <f>IF(G340 + H339 &lt; 0, G340 + H339, 0)</f>
        <v>0</v>
      </c>
      <c r="I340" s="1">
        <v>65270.62265470966</v>
      </c>
      <c r="J340" s="1">
        <f>IF(I340 + J339 &lt; 0, I340 + J339, 0)</f>
        <v>0</v>
      </c>
      <c r="K340" s="1">
        <v>65270.62265470966</v>
      </c>
      <c r="L340" s="1">
        <f>IF(K340 + L339 &lt; 0, K340 + L339, 0)</f>
        <v>0</v>
      </c>
      <c r="M340" s="1">
        <v>0</v>
      </c>
      <c r="N340" s="1">
        <f>IF(M340 + N339 &lt; 0, M340 + N339, 0)</f>
        <v>0</v>
      </c>
      <c r="O340" s="1">
        <v>0</v>
      </c>
      <c r="P340" s="1">
        <f>IF(O340 + P339 &lt; 0, O340 + P339, 0)</f>
        <v>0</v>
      </c>
      <c r="Q340" s="1">
        <v>0</v>
      </c>
      <c r="R340" s="1">
        <f>IF(Q340 + R339 &lt; 0, Q340 + R339, 0)</f>
        <v>0</v>
      </c>
      <c r="S340" s="1">
        <v>0</v>
      </c>
      <c r="T340" s="1">
        <f>IF(S340 + T339 &lt; 0, S340 + T339, 0)</f>
        <v>0</v>
      </c>
    </row>
    <row r="341" spans="1:20" s="1" customFormat="1">
      <c r="A341" s="3">
        <v>45481</v>
      </c>
      <c r="B341" s="2" t="s">
        <v>12</v>
      </c>
      <c r="C341" s="2">
        <v>7</v>
      </c>
      <c r="D341" s="2">
        <v>12</v>
      </c>
      <c r="E341" s="1">
        <v>41337.69818345208</v>
      </c>
      <c r="F341" s="1">
        <f>IF(E341 + F340 &lt; 0, E341 + F340, 0)</f>
        <v>0</v>
      </c>
      <c r="G341" s="1">
        <v>41337.69818345208</v>
      </c>
      <c r="H341" s="1">
        <f>IF(G341 + H340 &lt; 0, G341 + H340, 0)</f>
        <v>0</v>
      </c>
      <c r="I341" s="1">
        <v>41337.69818345208</v>
      </c>
      <c r="J341" s="1">
        <f>IF(I341 + J340 &lt; 0, I341 + J340, 0)</f>
        <v>0</v>
      </c>
      <c r="K341" s="1">
        <v>41337.69818345208</v>
      </c>
      <c r="L341" s="1">
        <f>IF(K341 + L340 &lt; 0, K341 + L340, 0)</f>
        <v>0</v>
      </c>
      <c r="M341" s="1">
        <v>0</v>
      </c>
      <c r="N341" s="1">
        <f>IF(M341 + N340 &lt; 0, M341 + N340, 0)</f>
        <v>0</v>
      </c>
      <c r="O341" s="1">
        <v>0</v>
      </c>
      <c r="P341" s="1">
        <f>IF(O341 + P340 &lt; 0, O341 + P340, 0)</f>
        <v>0</v>
      </c>
      <c r="Q341" s="1">
        <v>0</v>
      </c>
      <c r="R341" s="1">
        <f>IF(Q341 + R340 &lt; 0, Q341 + R340, 0)</f>
        <v>0</v>
      </c>
      <c r="S341" s="1">
        <v>0</v>
      </c>
      <c r="T341" s="1">
        <f>IF(S341 + T340 &lt; 0, S341 + T340, 0)</f>
        <v>0</v>
      </c>
    </row>
    <row r="342" spans="1:20" s="1" customFormat="1">
      <c r="A342" s="3">
        <v>45482</v>
      </c>
      <c r="B342" s="2" t="s">
        <v>13</v>
      </c>
      <c r="C342" s="2">
        <v>6</v>
      </c>
      <c r="D342" s="2">
        <v>11</v>
      </c>
      <c r="E342" s="1">
        <v>72971.00275392841</v>
      </c>
      <c r="F342" s="1">
        <f>IF(E342 + F341 &lt; 0, E342 + F341, 0)</f>
        <v>0</v>
      </c>
      <c r="G342" s="1">
        <v>72971.00275392841</v>
      </c>
      <c r="H342" s="1">
        <f>IF(G342 + H341 &lt; 0, G342 + H341, 0)</f>
        <v>0</v>
      </c>
      <c r="I342" s="1">
        <v>72971.00275392841</v>
      </c>
      <c r="J342" s="1">
        <f>IF(I342 + J341 &lt; 0, I342 + J341, 0)</f>
        <v>0</v>
      </c>
      <c r="K342" s="1">
        <v>72971.00275392841</v>
      </c>
      <c r="L342" s="1">
        <f>IF(K342 + L341 &lt; 0, K342 + L341, 0)</f>
        <v>0</v>
      </c>
      <c r="M342" s="1">
        <v>0</v>
      </c>
      <c r="N342" s="1">
        <f>IF(M342 + N341 &lt; 0, M342 + N341, 0)</f>
        <v>0</v>
      </c>
      <c r="O342" s="1">
        <v>0</v>
      </c>
      <c r="P342" s="1">
        <f>IF(O342 + P341 &lt; 0, O342 + P341, 0)</f>
        <v>0</v>
      </c>
      <c r="Q342" s="1">
        <v>0</v>
      </c>
      <c r="R342" s="1">
        <f>IF(Q342 + R341 &lt; 0, Q342 + R341, 0)</f>
        <v>0</v>
      </c>
      <c r="S342" s="1">
        <v>0</v>
      </c>
      <c r="T342" s="1">
        <f>IF(S342 + T341 &lt; 0, S342 + T341, 0)</f>
        <v>0</v>
      </c>
    </row>
    <row r="343" spans="1:20" s="1" customFormat="1">
      <c r="A343" s="3">
        <v>45484</v>
      </c>
      <c r="B343" s="2" t="s">
        <v>16</v>
      </c>
      <c r="C343" s="2">
        <v>5</v>
      </c>
      <c r="D343" s="2">
        <v>10</v>
      </c>
      <c r="E343" s="1">
        <v>-98731.74419352761</v>
      </c>
      <c r="F343" s="1">
        <f>IF(E343 + F342 &lt; 0, E343 + F342, 0)</f>
        <v>0</v>
      </c>
      <c r="G343" s="1">
        <v>67747.53908511871</v>
      </c>
      <c r="H343" s="1">
        <f>IF(G343 + H342 &lt; 0, G343 + H342, 0)</f>
        <v>0</v>
      </c>
      <c r="I343" s="1">
        <v>67747.53908511871</v>
      </c>
      <c r="J343" s="1">
        <f>IF(I343 + J342 &lt; 0, I343 + J342, 0)</f>
        <v>0</v>
      </c>
      <c r="K343" s="1">
        <v>67747.53908511871</v>
      </c>
      <c r="L343" s="1">
        <f>IF(K343 + L342 &lt; 0, K343 + L342, 0)</f>
        <v>0</v>
      </c>
      <c r="M343" s="1">
        <v>0</v>
      </c>
      <c r="N343" s="1">
        <f>IF(M343 + N342 &lt; 0, M343 + N342, 0)</f>
        <v>0</v>
      </c>
      <c r="O343" s="1">
        <v>0</v>
      </c>
      <c r="P343" s="1">
        <f>IF(O343 + P342 &lt; 0, O343 + P342, 0)</f>
        <v>0</v>
      </c>
      <c r="Q343" s="1">
        <v>0</v>
      </c>
      <c r="R343" s="1">
        <f>IF(Q343 + R342 &lt; 0, Q343 + R342, 0)</f>
        <v>0</v>
      </c>
      <c r="S343" s="1">
        <v>0</v>
      </c>
      <c r="T343" s="1">
        <f>IF(S343 + T342 &lt; 0, S343 + T342, 0)</f>
        <v>0</v>
      </c>
    </row>
    <row r="344" spans="1:20" s="1" customFormat="1">
      <c r="A344" s="3">
        <v>45485</v>
      </c>
      <c r="B344" s="2" t="s">
        <v>15</v>
      </c>
      <c r="C344" s="2">
        <v>4</v>
      </c>
      <c r="D344" s="2">
        <v>9</v>
      </c>
      <c r="E344" s="1">
        <v>67020.03017365903</v>
      </c>
      <c r="F344" s="1">
        <f>IF(E344 + F343 &lt; 0, E344 + F343, 0)</f>
        <v>0</v>
      </c>
      <c r="G344" s="1">
        <v>66133.27769396205</v>
      </c>
      <c r="H344" s="1">
        <f>IF(G344 + H343 &lt; 0, G344 + H343, 0)</f>
        <v>0</v>
      </c>
      <c r="I344" s="1">
        <v>66133.27769396205</v>
      </c>
      <c r="J344" s="1">
        <f>IF(I344 + J343 &lt; 0, I344 + J343, 0)</f>
        <v>0</v>
      </c>
      <c r="K344" s="1">
        <v>66133.27769396205</v>
      </c>
      <c r="L344" s="1">
        <f>IF(K344 + L343 &lt; 0, K344 + L343, 0)</f>
        <v>0</v>
      </c>
      <c r="M344" s="1">
        <v>0</v>
      </c>
      <c r="N344" s="1">
        <f>IF(M344 + N343 &lt; 0, M344 + N343, 0)</f>
        <v>0</v>
      </c>
      <c r="O344" s="1">
        <v>0</v>
      </c>
      <c r="P344" s="1">
        <f>IF(O344 + P343 &lt; 0, O344 + P343, 0)</f>
        <v>0</v>
      </c>
      <c r="Q344" s="1">
        <v>0</v>
      </c>
      <c r="R344" s="1">
        <f>IF(Q344 + R343 &lt; 0, Q344 + R343, 0)</f>
        <v>0</v>
      </c>
      <c r="S344" s="1">
        <v>0</v>
      </c>
      <c r="T344" s="1">
        <f>IF(S344 + T343 &lt; 0, S344 + T343, 0)</f>
        <v>0</v>
      </c>
    </row>
    <row r="345" spans="1:20" s="1" customFormat="1">
      <c r="A345" s="3">
        <v>45488</v>
      </c>
      <c r="B345" s="2" t="s">
        <v>12</v>
      </c>
      <c r="C345" s="2">
        <v>3</v>
      </c>
      <c r="D345" s="2">
        <v>8</v>
      </c>
      <c r="E345" s="1">
        <v>20310.18010457686</v>
      </c>
      <c r="F345" s="1">
        <f>IF(E345 + F344 &lt; 0, E345 + F344, 0)</f>
        <v>0</v>
      </c>
      <c r="G345" s="1">
        <v>110362.4685301143</v>
      </c>
      <c r="H345" s="1">
        <f>IF(G345 + H344 &lt; 0, G345 + H344, 0)</f>
        <v>0</v>
      </c>
      <c r="I345" s="1">
        <v>110362.4685301143</v>
      </c>
      <c r="J345" s="1">
        <f>IF(I345 + J344 &lt; 0, I345 + J344, 0)</f>
        <v>0</v>
      </c>
      <c r="K345" s="1">
        <v>110362.4685301143</v>
      </c>
      <c r="L345" s="1">
        <f>IF(K345 + L344 &lt; 0, K345 + L344, 0)</f>
        <v>0</v>
      </c>
      <c r="M345" s="1">
        <v>0</v>
      </c>
      <c r="N345" s="1">
        <f>IF(M345 + N344 &lt; 0, M345 + N344, 0)</f>
        <v>0</v>
      </c>
      <c r="O345" s="1">
        <v>0</v>
      </c>
      <c r="P345" s="1">
        <f>IF(O345 + P344 &lt; 0, O345 + P344, 0)</f>
        <v>0</v>
      </c>
      <c r="Q345" s="1">
        <v>0</v>
      </c>
      <c r="R345" s="1">
        <f>IF(Q345 + R344 &lt; 0, Q345 + R344, 0)</f>
        <v>0</v>
      </c>
      <c r="S345" s="1">
        <v>0</v>
      </c>
      <c r="T345" s="1">
        <f>IF(S345 + T344 &lt; 0, S345 + T344, 0)</f>
        <v>0</v>
      </c>
    </row>
    <row r="346" spans="1:20" s="1" customFormat="1">
      <c r="A346" s="3">
        <v>45489</v>
      </c>
      <c r="B346" s="2" t="s">
        <v>13</v>
      </c>
      <c r="C346" s="2">
        <v>2</v>
      </c>
      <c r="D346" s="2">
        <v>7</v>
      </c>
      <c r="E346" s="1">
        <v>36382.12043332573</v>
      </c>
      <c r="F346" s="1">
        <f>IF(E346 + F345 &lt; 0, E346 + F345, 0)</f>
        <v>0</v>
      </c>
      <c r="G346" s="1">
        <v>117715.2802628583</v>
      </c>
      <c r="H346" s="1">
        <f>IF(G346 + H345 &lt; 0, G346 + H345, 0)</f>
        <v>0</v>
      </c>
      <c r="I346" s="1">
        <v>161635.0564429552</v>
      </c>
      <c r="J346" s="1">
        <f>IF(I346 + J345 &lt; 0, I346 + J345, 0)</f>
        <v>0</v>
      </c>
      <c r="K346" s="1">
        <v>161635.0564429552</v>
      </c>
      <c r="L346" s="1">
        <f>IF(K346 + L345 &lt; 0, K346 + L345, 0)</f>
        <v>0</v>
      </c>
      <c r="M346" s="1">
        <v>0</v>
      </c>
      <c r="N346" s="1">
        <f>IF(M346 + N345 &lt; 0, M346 + N345, 0)</f>
        <v>0</v>
      </c>
      <c r="O346" s="1">
        <v>0</v>
      </c>
      <c r="P346" s="1">
        <f>IF(O346 + P345 &lt; 0, O346 + P345, 0)</f>
        <v>0</v>
      </c>
      <c r="Q346" s="1">
        <v>0</v>
      </c>
      <c r="R346" s="1">
        <f>IF(Q346 + R345 &lt; 0, Q346 + R345, 0)</f>
        <v>0</v>
      </c>
      <c r="S346" s="1">
        <v>0</v>
      </c>
      <c r="T346" s="1">
        <f>IF(S346 + T345 &lt; 0, S346 + T345, 0)</f>
        <v>0</v>
      </c>
    </row>
    <row r="347" spans="1:20" s="1" customFormat="1">
      <c r="A347" s="3">
        <v>45490</v>
      </c>
      <c r="B347" s="2" t="s">
        <v>14</v>
      </c>
      <c r="C347" s="2">
        <v>1</v>
      </c>
      <c r="D347" s="2">
        <v>6</v>
      </c>
      <c r="E347" s="1">
        <v>135646.6463514532</v>
      </c>
      <c r="F347" s="1">
        <f>IF(E347 + F346 &lt; 0, E347 + F346, 0)</f>
        <v>0</v>
      </c>
      <c r="G347" s="1">
        <v>88626.7571021331</v>
      </c>
      <c r="H347" s="1">
        <f>IF(G347 + H346 &lt; 0, G347 + H346, 0)</f>
        <v>0</v>
      </c>
      <c r="I347" s="1">
        <v>-35543.4319604181</v>
      </c>
      <c r="J347" s="1">
        <f>IF(I347 + J346 &lt; 0, I347 + J346, 0)</f>
        <v>0</v>
      </c>
      <c r="K347" s="1">
        <v>-71504.63645597824</v>
      </c>
      <c r="L347" s="1">
        <f>IF(K347 + L346 &lt; 0, K347 + L346, 0)</f>
        <v>0</v>
      </c>
      <c r="M347" s="1">
        <v>-125914.6341463414</v>
      </c>
      <c r="N347" s="1">
        <f>IF(M347 + N346 &lt; 0, M347 + N346, 0)</f>
        <v>0</v>
      </c>
      <c r="O347" s="1">
        <v>-125914.6341463414</v>
      </c>
      <c r="P347" s="1">
        <f>IF(O347 + P346 &lt; 0, O347 + P346, 0)</f>
        <v>0</v>
      </c>
      <c r="Q347" s="1">
        <v>-125914.6341463414</v>
      </c>
      <c r="R347" s="1">
        <f>IF(Q347 + R346 &lt; 0, Q347 + R346, 0)</f>
        <v>0</v>
      </c>
      <c r="S347" s="1">
        <v>-125914.6341463414</v>
      </c>
      <c r="T347" s="1">
        <f>IF(S347 + T346 &lt; 0, S347 + T346, 0)</f>
        <v>0</v>
      </c>
    </row>
    <row r="348" spans="1:20" s="1" customFormat="1">
      <c r="A348" s="3">
        <v>45491</v>
      </c>
      <c r="B348" s="2" t="s">
        <v>16</v>
      </c>
      <c r="C348" s="2">
        <v>20</v>
      </c>
      <c r="D348" s="2">
        <v>5</v>
      </c>
      <c r="E348" s="1">
        <v>0</v>
      </c>
      <c r="F348" s="1">
        <f>IF(E348 + F347 &lt; 0, E348 + F347, 0)</f>
        <v>0</v>
      </c>
      <c r="G348" s="1">
        <v>0</v>
      </c>
      <c r="H348" s="1">
        <f>IF(G348 + H347 &lt; 0, G348 + H347, 0)</f>
        <v>0</v>
      </c>
      <c r="I348" s="1">
        <v>0</v>
      </c>
      <c r="J348" s="1">
        <f>IF(I348 + J347 &lt; 0, I348 + J347, 0)</f>
        <v>0</v>
      </c>
      <c r="K348" s="1">
        <v>0</v>
      </c>
      <c r="L348" s="1">
        <f>IF(K348 + L347 &lt; 0, K348 + L347, 0)</f>
        <v>0</v>
      </c>
      <c r="M348" s="1">
        <v>-16766.06621226874</v>
      </c>
      <c r="N348" s="1">
        <f>IF(M348 + N347 &lt; 0, M348 + N347, 0)</f>
        <v>0</v>
      </c>
      <c r="O348" s="1">
        <v>-16139.24050632911</v>
      </c>
      <c r="P348" s="1">
        <f>IF(O348 + P347 &lt; 0, O348 + P347, 0)</f>
        <v>0</v>
      </c>
      <c r="Q348" s="1">
        <v>-5233.690360272635</v>
      </c>
      <c r="R348" s="1">
        <f>IF(Q348 + R347 &lt; 0, Q348 + R347, 0)</f>
        <v>0</v>
      </c>
      <c r="S348" s="1">
        <v>-5233.690360272635</v>
      </c>
      <c r="T348" s="1">
        <f>IF(S348 + T347 &lt; 0, S348 + T347, 0)</f>
        <v>0</v>
      </c>
    </row>
    <row r="349" spans="1:20" s="1" customFormat="1">
      <c r="A349" s="3">
        <v>45492</v>
      </c>
      <c r="B349" s="2" t="s">
        <v>15</v>
      </c>
      <c r="C349" s="2">
        <v>19</v>
      </c>
      <c r="D349" s="2">
        <v>4</v>
      </c>
      <c r="E349" s="1">
        <v>0</v>
      </c>
      <c r="F349" s="1">
        <f>IF(E349 + F348 &lt; 0, E349 + F348, 0)</f>
        <v>0</v>
      </c>
      <c r="G349" s="1">
        <v>0</v>
      </c>
      <c r="H349" s="1">
        <f>IF(G349 + H348 &lt; 0, G349 + H348, 0)</f>
        <v>0</v>
      </c>
      <c r="I349" s="1">
        <v>0</v>
      </c>
      <c r="J349" s="1">
        <f>IF(I349 + J348 &lt; 0, I349 + J348, 0)</f>
        <v>0</v>
      </c>
      <c r="K349" s="1">
        <v>0</v>
      </c>
      <c r="L349" s="1">
        <f>IF(K349 + L348 &lt; 0, K349 + L348, 0)</f>
        <v>0</v>
      </c>
      <c r="M349" s="1">
        <v>96916.27358490562</v>
      </c>
      <c r="N349" s="1">
        <f>IF(M349 + N348 &lt; 0, M349 + N348, 0)</f>
        <v>0</v>
      </c>
      <c r="O349" s="1">
        <v>96916.27358490562</v>
      </c>
      <c r="P349" s="1">
        <f>IF(O349 + P348 &lt; 0, O349 + P348, 0)</f>
        <v>0</v>
      </c>
      <c r="Q349" s="1">
        <v>96916.27358490562</v>
      </c>
      <c r="R349" s="1">
        <f>IF(Q349 + R348 &lt; 0, Q349 + R348, 0)</f>
        <v>0</v>
      </c>
      <c r="S349" s="1">
        <v>96916.27358490562</v>
      </c>
      <c r="T349" s="1">
        <f>IF(S349 + T348 &lt; 0, S349 + T348, 0)</f>
        <v>0</v>
      </c>
    </row>
    <row r="350" spans="1:20" s="1" customFormat="1">
      <c r="A350" s="3">
        <v>45495</v>
      </c>
      <c r="B350" s="2" t="s">
        <v>12</v>
      </c>
      <c r="C350" s="2">
        <v>18</v>
      </c>
      <c r="D350" s="2">
        <v>3</v>
      </c>
      <c r="E350" s="1">
        <v>0</v>
      </c>
      <c r="F350" s="1">
        <f>IF(E350 + F349 &lt; 0, E350 + F349, 0)</f>
        <v>0</v>
      </c>
      <c r="G350" s="1">
        <v>0</v>
      </c>
      <c r="H350" s="1">
        <f>IF(G350 + H349 &lt; 0, G350 + H349, 0)</f>
        <v>0</v>
      </c>
      <c r="I350" s="1">
        <v>0</v>
      </c>
      <c r="J350" s="1">
        <f>IF(I350 + J349 &lt; 0, I350 + J349, 0)</f>
        <v>0</v>
      </c>
      <c r="K350" s="1">
        <v>0</v>
      </c>
      <c r="L350" s="1">
        <f>IF(K350 + L349 &lt; 0, K350 + L349, 0)</f>
        <v>0</v>
      </c>
      <c r="M350" s="1">
        <v>-37338.63531581376</v>
      </c>
      <c r="N350" s="1">
        <f>IF(M350 + N349 &lt; 0, M350 + N349, 0)</f>
        <v>0</v>
      </c>
      <c r="O350" s="1">
        <v>27858.4601198709</v>
      </c>
      <c r="P350" s="1">
        <f>IF(O350 + P349 &lt; 0, O350 + P349, 0)</f>
        <v>0</v>
      </c>
      <c r="Q350" s="1">
        <v>46911.01890272015</v>
      </c>
      <c r="R350" s="1">
        <f>IF(Q350 + R349 &lt; 0, Q350 + R349, 0)</f>
        <v>0</v>
      </c>
      <c r="S350" s="1">
        <v>46911.01890272015</v>
      </c>
      <c r="T350" s="1">
        <f>IF(S350 + T349 &lt; 0, S350 + T349, 0)</f>
        <v>0</v>
      </c>
    </row>
    <row r="351" spans="1:20" s="1" customFormat="1">
      <c r="A351" s="3">
        <v>45496</v>
      </c>
      <c r="B351" s="2" t="s">
        <v>13</v>
      </c>
      <c r="C351" s="2">
        <v>17</v>
      </c>
      <c r="D351" s="2">
        <v>2</v>
      </c>
      <c r="E351" s="1">
        <v>0</v>
      </c>
      <c r="F351" s="1">
        <f>IF(E351 + F350 &lt; 0, E351 + F350, 0)</f>
        <v>0</v>
      </c>
      <c r="G351" s="1">
        <v>0</v>
      </c>
      <c r="H351" s="1">
        <f>IF(G351 + H350 &lt; 0, G351 + H350, 0)</f>
        <v>0</v>
      </c>
      <c r="I351" s="1">
        <v>0</v>
      </c>
      <c r="J351" s="1">
        <f>IF(I351 + J350 &lt; 0, I351 + J350, 0)</f>
        <v>0</v>
      </c>
      <c r="K351" s="1">
        <v>0</v>
      </c>
      <c r="L351" s="1">
        <f>IF(K351 + L350 &lt; 0, K351 + L350, 0)</f>
        <v>0</v>
      </c>
      <c r="M351" s="1">
        <v>46508.65896980461</v>
      </c>
      <c r="N351" s="1">
        <f>IF(M351 + N350 &lt; 0, M351 + N350, 0)</f>
        <v>0</v>
      </c>
      <c r="O351" s="1">
        <v>74267.31793960925</v>
      </c>
      <c r="P351" s="1">
        <f>IF(O351 + P350 &lt; 0, O351 + P350, 0)</f>
        <v>0</v>
      </c>
      <c r="Q351" s="1">
        <v>74267.31793960925</v>
      </c>
      <c r="R351" s="1">
        <f>IF(Q351 + R350 &lt; 0, Q351 + R350, 0)</f>
        <v>0</v>
      </c>
      <c r="S351" s="1">
        <v>74267.31793960925</v>
      </c>
      <c r="T351" s="1">
        <f>IF(S351 + T350 &lt; 0, S351 + T350, 0)</f>
        <v>0</v>
      </c>
    </row>
    <row r="352" spans="1:20" s="1" customFormat="1">
      <c r="A352" s="3">
        <v>45497</v>
      </c>
      <c r="B352" s="2" t="s">
        <v>14</v>
      </c>
      <c r="C352" s="2">
        <v>16</v>
      </c>
      <c r="D352" s="2">
        <v>1</v>
      </c>
      <c r="E352" s="1">
        <v>0</v>
      </c>
      <c r="F352" s="1">
        <f>IF(E352 + F351 &lt; 0, E352 + F351, 0)</f>
        <v>0</v>
      </c>
      <c r="G352" s="1">
        <v>0</v>
      </c>
      <c r="H352" s="1">
        <f>IF(G352 + H351 &lt; 0, G352 + H351, 0)</f>
        <v>0</v>
      </c>
      <c r="I352" s="1">
        <v>0</v>
      </c>
      <c r="J352" s="1">
        <f>IF(I352 + J351 &lt; 0, I352 + J351, 0)</f>
        <v>0</v>
      </c>
      <c r="K352" s="1">
        <v>0</v>
      </c>
      <c r="L352" s="1">
        <f>IF(K352 + L351 &lt; 0, K352 + L351, 0)</f>
        <v>0</v>
      </c>
      <c r="M352" s="1">
        <v>-45248.8425925926</v>
      </c>
      <c r="N352" s="1">
        <f>IF(M352 + N351 &lt; 0, M352 + N351, 0)</f>
        <v>0</v>
      </c>
      <c r="O352" s="1">
        <v>-32563.65740740741</v>
      </c>
      <c r="P352" s="1">
        <f>IF(O352 + P351 &lt; 0, O352 + P351, 0)</f>
        <v>0</v>
      </c>
      <c r="Q352" s="1">
        <v>85601.85185185184</v>
      </c>
      <c r="R352" s="1">
        <f>IF(Q352 + R351 &lt; 0, Q352 + R351, 0)</f>
        <v>0</v>
      </c>
      <c r="S352" s="1">
        <v>103518.5185185185</v>
      </c>
      <c r="T352" s="1">
        <f>IF(S352 + T351 &lt; 0, S352 + T351, 0)</f>
        <v>0</v>
      </c>
    </row>
    <row r="353" spans="1:20" s="1" customFormat="1">
      <c r="A353" s="3">
        <v>45498</v>
      </c>
      <c r="B353" s="2" t="s">
        <v>16</v>
      </c>
      <c r="C353" s="2">
        <v>15</v>
      </c>
      <c r="D353" s="2">
        <v>16</v>
      </c>
      <c r="E353" s="1">
        <v>0</v>
      </c>
      <c r="F353" s="1">
        <f>IF(E353 + F352 &lt; 0, E353 + F352, 0)</f>
        <v>0</v>
      </c>
      <c r="G353" s="1">
        <v>0</v>
      </c>
      <c r="H353" s="1">
        <f>IF(G353 + H352 &lt; 0, G353 + H352, 0)</f>
        <v>0</v>
      </c>
      <c r="I353" s="1">
        <v>0</v>
      </c>
      <c r="J353" s="1">
        <f>IF(I353 + J352 &lt; 0, I353 + J352, 0)</f>
        <v>0</v>
      </c>
      <c r="K353" s="1">
        <v>0</v>
      </c>
      <c r="L353" s="1">
        <f>IF(K353 + L352 &lt; 0, K353 + L352, 0)</f>
        <v>0</v>
      </c>
      <c r="M353" s="1">
        <v>0</v>
      </c>
      <c r="N353" s="1">
        <f>IF(M353 + N352 &lt; 0, M353 + N352, 0)</f>
        <v>0</v>
      </c>
      <c r="O353" s="1">
        <v>0</v>
      </c>
      <c r="P353" s="1">
        <f>IF(O353 + P352 &lt; 0, O353 + P352, 0)</f>
        <v>0</v>
      </c>
      <c r="Q353" s="1">
        <v>0</v>
      </c>
      <c r="R353" s="1">
        <f>IF(Q353 + R352 &lt; 0, Q353 + R352, 0)</f>
        <v>0</v>
      </c>
      <c r="S353" s="1">
        <v>0</v>
      </c>
      <c r="T353" s="1">
        <f>IF(S353 + T352 &lt; 0, S353 + T352, 0)</f>
        <v>0</v>
      </c>
    </row>
    <row r="354" spans="1:20" s="1" customFormat="1">
      <c r="A354" s="3">
        <v>45499</v>
      </c>
      <c r="B354" s="2" t="s">
        <v>15</v>
      </c>
      <c r="C354" s="2">
        <v>14</v>
      </c>
      <c r="D354" s="2">
        <v>15</v>
      </c>
      <c r="E354" s="1">
        <v>0</v>
      </c>
      <c r="F354" s="1">
        <f>IF(E354 + F353 &lt; 0, E354 + F353, 0)</f>
        <v>0</v>
      </c>
      <c r="G354" s="1">
        <v>0</v>
      </c>
      <c r="H354" s="1">
        <f>IF(G354 + H353 &lt; 0, G354 + H353, 0)</f>
        <v>0</v>
      </c>
      <c r="I354" s="1">
        <v>0</v>
      </c>
      <c r="J354" s="1">
        <f>IF(I354 + J353 &lt; 0, I354 + J353, 0)</f>
        <v>0</v>
      </c>
      <c r="K354" s="1">
        <v>0</v>
      </c>
      <c r="L354" s="1">
        <f>IF(K354 + L353 &lt; 0, K354 + L353, 0)</f>
        <v>0</v>
      </c>
      <c r="M354" s="1">
        <v>0</v>
      </c>
      <c r="N354" s="1">
        <f>IF(M354 + N353 &lt; 0, M354 + N353, 0)</f>
        <v>0</v>
      </c>
      <c r="O354" s="1">
        <v>0</v>
      </c>
      <c r="P354" s="1">
        <f>IF(O354 + P353 &lt; 0, O354 + P353, 0)</f>
        <v>0</v>
      </c>
      <c r="Q354" s="1">
        <v>0</v>
      </c>
      <c r="R354" s="1">
        <f>IF(Q354 + R353 &lt; 0, Q354 + R353, 0)</f>
        <v>0</v>
      </c>
      <c r="S354" s="1">
        <v>0</v>
      </c>
      <c r="T354" s="1">
        <f>IF(S354 + T353 &lt; 0, S354 + T353, 0)</f>
        <v>0</v>
      </c>
    </row>
    <row r="355" spans="1:20" s="1" customFormat="1">
      <c r="A355" s="3">
        <v>45502</v>
      </c>
      <c r="B355" s="2" t="s">
        <v>12</v>
      </c>
      <c r="C355" s="2">
        <v>13</v>
      </c>
      <c r="D355" s="2">
        <v>14</v>
      </c>
      <c r="E355" s="1">
        <v>0</v>
      </c>
      <c r="F355" s="1">
        <f>IF(E355 + F354 &lt; 0, E355 + F354, 0)</f>
        <v>0</v>
      </c>
      <c r="G355" s="1">
        <v>0</v>
      </c>
      <c r="H355" s="1">
        <f>IF(G355 + H354 &lt; 0, G355 + H354, 0)</f>
        <v>0</v>
      </c>
      <c r="I355" s="1">
        <v>0</v>
      </c>
      <c r="J355" s="1">
        <f>IF(I355 + J354 &lt; 0, I355 + J354, 0)</f>
        <v>0</v>
      </c>
      <c r="K355" s="1">
        <v>0</v>
      </c>
      <c r="L355" s="1">
        <f>IF(K355 + L354 &lt; 0, K355 + L354, 0)</f>
        <v>0</v>
      </c>
      <c r="M355" s="1">
        <v>0</v>
      </c>
      <c r="N355" s="1">
        <f>IF(M355 + N354 &lt; 0, M355 + N354, 0)</f>
        <v>0</v>
      </c>
      <c r="O355" s="1">
        <v>0</v>
      </c>
      <c r="P355" s="1">
        <f>IF(O355 + P354 &lt; 0, O355 + P354, 0)</f>
        <v>0</v>
      </c>
      <c r="Q355" s="1">
        <v>0</v>
      </c>
      <c r="R355" s="1">
        <f>IF(Q355 + R354 &lt; 0, Q355 + R354, 0)</f>
        <v>0</v>
      </c>
      <c r="S355" s="1">
        <v>0</v>
      </c>
      <c r="T355" s="1">
        <f>IF(S355 + T354 &lt; 0, S355 + T354, 0)</f>
        <v>0</v>
      </c>
    </row>
    <row r="356" spans="1:20" s="1" customFormat="1">
      <c r="A356" s="3">
        <v>45503</v>
      </c>
      <c r="B356" s="2" t="s">
        <v>13</v>
      </c>
      <c r="C356" s="2">
        <v>12</v>
      </c>
      <c r="D356" s="2">
        <v>13</v>
      </c>
      <c r="E356" s="1">
        <v>0</v>
      </c>
      <c r="F356" s="1">
        <f>IF(E356 + F355 &lt; 0, E356 + F355, 0)</f>
        <v>0</v>
      </c>
      <c r="G356" s="1">
        <v>0</v>
      </c>
      <c r="H356" s="1">
        <f>IF(G356 + H355 &lt; 0, G356 + H355, 0)</f>
        <v>0</v>
      </c>
      <c r="I356" s="1">
        <v>0</v>
      </c>
      <c r="J356" s="1">
        <f>IF(I356 + J355 &lt; 0, I356 + J355, 0)</f>
        <v>0</v>
      </c>
      <c r="K356" s="1">
        <v>0</v>
      </c>
      <c r="L356" s="1">
        <f>IF(K356 + L355 &lt; 0, K356 + L355, 0)</f>
        <v>0</v>
      </c>
      <c r="M356" s="1">
        <v>0</v>
      </c>
      <c r="N356" s="1">
        <f>IF(M356 + N355 &lt; 0, M356 + N355, 0)</f>
        <v>0</v>
      </c>
      <c r="O356" s="1">
        <v>0</v>
      </c>
      <c r="P356" s="1">
        <f>IF(O356 + P355 &lt; 0, O356 + P355, 0)</f>
        <v>0</v>
      </c>
      <c r="Q356" s="1">
        <v>0</v>
      </c>
      <c r="R356" s="1">
        <f>IF(Q356 + R355 &lt; 0, Q356 + R355, 0)</f>
        <v>0</v>
      </c>
      <c r="S356" s="1">
        <v>0</v>
      </c>
      <c r="T356" s="1">
        <f>IF(S356 + T355 &lt; 0, S356 + T355, 0)</f>
        <v>0</v>
      </c>
    </row>
    <row r="357" spans="1:20" s="1" customFormat="1">
      <c r="A357" s="3">
        <v>45504</v>
      </c>
      <c r="B357" s="2" t="s">
        <v>14</v>
      </c>
      <c r="C357" s="2">
        <v>11</v>
      </c>
      <c r="D357" s="2">
        <v>12</v>
      </c>
      <c r="E357" s="1">
        <v>0</v>
      </c>
      <c r="F357" s="1">
        <f>IF(E357 + F356 &lt; 0, E357 + F356, 0)</f>
        <v>0</v>
      </c>
      <c r="G357" s="1">
        <v>0</v>
      </c>
      <c r="H357" s="1">
        <f>IF(G357 + H356 &lt; 0, G357 + H356, 0)</f>
        <v>0</v>
      </c>
      <c r="I357" s="1">
        <v>0</v>
      </c>
      <c r="J357" s="1">
        <f>IF(I357 + J356 &lt; 0, I357 + J356, 0)</f>
        <v>0</v>
      </c>
      <c r="K357" s="1">
        <v>0</v>
      </c>
      <c r="L357" s="1">
        <f>IF(K357 + L356 &lt; 0, K357 + L356, 0)</f>
        <v>0</v>
      </c>
      <c r="M357" s="1">
        <v>0</v>
      </c>
      <c r="N357" s="1">
        <f>IF(M357 + N356 &lt; 0, M357 + N356, 0)</f>
        <v>0</v>
      </c>
      <c r="O357" s="1">
        <v>0</v>
      </c>
      <c r="P357" s="1">
        <f>IF(O357 + P356 &lt; 0, O357 + P356, 0)</f>
        <v>0</v>
      </c>
      <c r="Q357" s="1">
        <v>0</v>
      </c>
      <c r="R357" s="1">
        <f>IF(Q357 + R356 &lt; 0, Q357 + R356, 0)</f>
        <v>0</v>
      </c>
      <c r="S357" s="1">
        <v>0</v>
      </c>
      <c r="T357" s="1">
        <f>IF(S357 + T356 &lt; 0, S357 + T356, 0)</f>
        <v>0</v>
      </c>
    </row>
    <row r="358" spans="1:20" s="1" customFormat="1">
      <c r="A358" s="3">
        <v>45505</v>
      </c>
      <c r="B358" s="2" t="s">
        <v>16</v>
      </c>
      <c r="C358" s="2">
        <v>10</v>
      </c>
      <c r="D358" s="2">
        <v>11</v>
      </c>
      <c r="E358" s="1">
        <v>-4000.609487691715</v>
      </c>
      <c r="F358" s="1">
        <f>IF(E358 + F357 &lt; 0, E358 + F357, 0)</f>
        <v>0</v>
      </c>
      <c r="G358" s="1">
        <v>-76549.96106050858</v>
      </c>
      <c r="H358" s="1">
        <f>IF(G358 + H357 &lt; 0, G358 + H357, 0)</f>
        <v>0</v>
      </c>
      <c r="I358" s="1">
        <v>-76549.96106050858</v>
      </c>
      <c r="J358" s="1">
        <f>IF(I358 + J357 &lt; 0, I358 + J357, 0)</f>
        <v>0</v>
      </c>
      <c r="K358" s="1">
        <v>-76549.96106050858</v>
      </c>
      <c r="L358" s="1">
        <f>IF(K358 + L357 &lt; 0, K358 + L357, 0)</f>
        <v>0</v>
      </c>
      <c r="M358" s="1">
        <v>0</v>
      </c>
      <c r="N358" s="1">
        <f>IF(M358 + N357 &lt; 0, M358 + N357, 0)</f>
        <v>0</v>
      </c>
      <c r="O358" s="1">
        <v>0</v>
      </c>
      <c r="P358" s="1">
        <f>IF(O358 + P357 &lt; 0, O358 + P357, 0)</f>
        <v>0</v>
      </c>
      <c r="Q358" s="1">
        <v>0</v>
      </c>
      <c r="R358" s="1">
        <f>IF(Q358 + R357 &lt; 0, Q358 + R357, 0)</f>
        <v>0</v>
      </c>
      <c r="S358" s="1">
        <v>0</v>
      </c>
      <c r="T358" s="1">
        <f>IF(S358 + T357 &lt; 0, S358 + T357, 0)</f>
        <v>0</v>
      </c>
    </row>
    <row r="359" spans="1:20" s="1" customFormat="1">
      <c r="A359" s="3">
        <v>45506</v>
      </c>
      <c r="B359" s="2" t="s">
        <v>15</v>
      </c>
      <c r="C359" s="2">
        <v>9</v>
      </c>
      <c r="D359" s="2">
        <v>10</v>
      </c>
      <c r="E359" s="1">
        <v>86395.26072880073</v>
      </c>
      <c r="F359" s="1">
        <f>IF(E359 + F358 &lt; 0, E359 + F358, 0)</f>
        <v>0</v>
      </c>
      <c r="G359" s="1">
        <v>-314255.7002135427</v>
      </c>
      <c r="H359" s="1">
        <f>IF(G359 + H358 &lt; 0, G359 + H358, 0)</f>
        <v>0</v>
      </c>
      <c r="I359" s="1">
        <v>-329502.479851209</v>
      </c>
      <c r="J359" s="1">
        <f>IF(I359 + J358 &lt; 0, I359 + J358, 0)</f>
        <v>0</v>
      </c>
      <c r="K359" s="1">
        <v>-329502.479851209</v>
      </c>
      <c r="L359" s="1">
        <f>IF(K359 + L358 &lt; 0, K359 + L358, 0)</f>
        <v>0</v>
      </c>
      <c r="M359" s="1">
        <v>0</v>
      </c>
      <c r="N359" s="1">
        <f>IF(M359 + N358 &lt; 0, M359 + N358, 0)</f>
        <v>0</v>
      </c>
      <c r="O359" s="1">
        <v>0</v>
      </c>
      <c r="P359" s="1">
        <f>IF(O359 + P358 &lt; 0, O359 + P358, 0)</f>
        <v>0</v>
      </c>
      <c r="Q359" s="1">
        <v>0</v>
      </c>
      <c r="R359" s="1">
        <f>IF(Q359 + R358 &lt; 0, Q359 + R358, 0)</f>
        <v>0</v>
      </c>
      <c r="S359" s="1">
        <v>0</v>
      </c>
      <c r="T359" s="1">
        <f>IF(S359 + T358 &lt; 0, S359 + T358, 0)</f>
        <v>0</v>
      </c>
    </row>
    <row r="360" spans="1:20" s="1" customFormat="1">
      <c r="A360" s="3">
        <v>45509</v>
      </c>
      <c r="B360" s="2" t="s">
        <v>12</v>
      </c>
      <c r="C360" s="2">
        <v>8</v>
      </c>
      <c r="D360" s="2">
        <v>9</v>
      </c>
      <c r="E360" s="1">
        <v>201559.6396137693</v>
      </c>
      <c r="F360" s="1">
        <f>IF(E360 + F359 &lt; 0, E360 + F359, 0)</f>
        <v>0</v>
      </c>
      <c r="G360" s="1">
        <v>201559.6396137693</v>
      </c>
      <c r="H360" s="1">
        <f>IF(G360 + H359 &lt; 0, G360 + H359, 0)</f>
        <v>0</v>
      </c>
      <c r="I360" s="1">
        <v>201559.6396137693</v>
      </c>
      <c r="J360" s="1">
        <f>IF(I360 + J359 &lt; 0, I360 + J359, 0)</f>
        <v>0</v>
      </c>
      <c r="K360" s="1">
        <v>201559.6396137693</v>
      </c>
      <c r="L360" s="1">
        <f>IF(K360 + L359 &lt; 0, K360 + L359, 0)</f>
        <v>0</v>
      </c>
      <c r="M360" s="1">
        <v>0</v>
      </c>
      <c r="N360" s="1">
        <f>IF(M360 + N359 &lt; 0, M360 + N359, 0)</f>
        <v>0</v>
      </c>
      <c r="O360" s="1">
        <v>0</v>
      </c>
      <c r="P360" s="1">
        <f>IF(O360 + P359 &lt; 0, O360 + P359, 0)</f>
        <v>0</v>
      </c>
      <c r="Q360" s="1">
        <v>0</v>
      </c>
      <c r="R360" s="1">
        <f>IF(Q360 + R359 &lt; 0, Q360 + R359, 0)</f>
        <v>0</v>
      </c>
      <c r="S360" s="1">
        <v>0</v>
      </c>
      <c r="T360" s="1">
        <f>IF(S360 + T359 &lt; 0, S360 + T359, 0)</f>
        <v>0</v>
      </c>
    </row>
    <row r="361" spans="1:20" s="1" customFormat="1">
      <c r="A361" s="3">
        <v>45510</v>
      </c>
      <c r="B361" s="2" t="s">
        <v>13</v>
      </c>
      <c r="C361" s="2">
        <v>7</v>
      </c>
      <c r="D361" s="2">
        <v>8</v>
      </c>
      <c r="E361" s="1">
        <v>100505.7906777238</v>
      </c>
      <c r="F361" s="1">
        <f>IF(E361 + F360 &lt; 0, E361 + F360, 0)</f>
        <v>0</v>
      </c>
      <c r="G361" s="1">
        <v>100505.7906777238</v>
      </c>
      <c r="H361" s="1">
        <f>IF(G361 + H360 &lt; 0, G361 + H360, 0)</f>
        <v>0</v>
      </c>
      <c r="I361" s="1">
        <v>100505.7906777238</v>
      </c>
      <c r="J361" s="1">
        <f>IF(I361 + J360 &lt; 0, I361 + J360, 0)</f>
        <v>0</v>
      </c>
      <c r="K361" s="1">
        <v>100505.7906777238</v>
      </c>
      <c r="L361" s="1">
        <f>IF(K361 + L360 &lt; 0, K361 + L360, 0)</f>
        <v>0</v>
      </c>
      <c r="M361" s="1">
        <v>0</v>
      </c>
      <c r="N361" s="1">
        <f>IF(M361 + N360 &lt; 0, M361 + N360, 0)</f>
        <v>0</v>
      </c>
      <c r="O361" s="1">
        <v>0</v>
      </c>
      <c r="P361" s="1">
        <f>IF(O361 + P360 &lt; 0, O361 + P360, 0)</f>
        <v>0</v>
      </c>
      <c r="Q361" s="1">
        <v>0</v>
      </c>
      <c r="R361" s="1">
        <f>IF(Q361 + R360 &lt; 0, Q361 + R360, 0)</f>
        <v>0</v>
      </c>
      <c r="S361" s="1">
        <v>0</v>
      </c>
      <c r="T361" s="1">
        <f>IF(S361 + T360 &lt; 0, S361 + T360, 0)</f>
        <v>0</v>
      </c>
    </row>
    <row r="362" spans="1:20" s="1" customFormat="1">
      <c r="A362" s="3">
        <v>45511</v>
      </c>
      <c r="B362" s="2" t="s">
        <v>14</v>
      </c>
      <c r="C362" s="2">
        <v>6</v>
      </c>
      <c r="D362" s="2">
        <v>7</v>
      </c>
      <c r="E362" s="1">
        <v>107275.6479676558</v>
      </c>
      <c r="F362" s="1">
        <f>IF(E362 + F361 &lt; 0, E362 + F361, 0)</f>
        <v>0</v>
      </c>
      <c r="G362" s="1">
        <v>107275.6479676558</v>
      </c>
      <c r="H362" s="1">
        <f>IF(G362 + H361 &lt; 0, G362 + H361, 0)</f>
        <v>0</v>
      </c>
      <c r="I362" s="1">
        <v>107275.6479676558</v>
      </c>
      <c r="J362" s="1">
        <f>IF(I362 + J361 &lt; 0, I362 + J361, 0)</f>
        <v>0</v>
      </c>
      <c r="K362" s="1">
        <v>107275.6479676558</v>
      </c>
      <c r="L362" s="1">
        <f>IF(K362 + L361 &lt; 0, K362 + L361, 0)</f>
        <v>0</v>
      </c>
      <c r="M362" s="1">
        <v>0</v>
      </c>
      <c r="N362" s="1">
        <f>IF(M362 + N361 &lt; 0, M362 + N361, 0)</f>
        <v>0</v>
      </c>
      <c r="O362" s="1">
        <v>0</v>
      </c>
      <c r="P362" s="1">
        <f>IF(O362 + P361 &lt; 0, O362 + P361, 0)</f>
        <v>0</v>
      </c>
      <c r="Q362" s="1">
        <v>0</v>
      </c>
      <c r="R362" s="1">
        <f>IF(Q362 + R361 &lt; 0, Q362 + R361, 0)</f>
        <v>0</v>
      </c>
      <c r="S362" s="1">
        <v>0</v>
      </c>
      <c r="T362" s="1">
        <f>IF(S362 + T361 &lt; 0, S362 + T361, 0)</f>
        <v>0</v>
      </c>
    </row>
    <row r="363" spans="1:20" s="1" customFormat="1">
      <c r="A363" s="3">
        <v>45512</v>
      </c>
      <c r="B363" s="2" t="s">
        <v>16</v>
      </c>
      <c r="C363" s="2">
        <v>5</v>
      </c>
      <c r="D363" s="2">
        <v>6</v>
      </c>
      <c r="E363" s="1">
        <v>129369.7052439964</v>
      </c>
      <c r="F363" s="1">
        <f>IF(E363 + F362 &lt; 0, E363 + F362, 0)</f>
        <v>0</v>
      </c>
      <c r="G363" s="1">
        <v>135405.7270881468</v>
      </c>
      <c r="H363" s="1">
        <f>IF(G363 + H362 &lt; 0, G363 + H362, 0)</f>
        <v>0</v>
      </c>
      <c r="I363" s="1">
        <v>135405.7270881468</v>
      </c>
      <c r="J363" s="1">
        <f>IF(I363 + J362 &lt; 0, I363 + J362, 0)</f>
        <v>0</v>
      </c>
      <c r="K363" s="1">
        <v>135405.7270881468</v>
      </c>
      <c r="L363" s="1">
        <f>IF(K363 + L362 &lt; 0, K363 + L362, 0)</f>
        <v>0</v>
      </c>
      <c r="M363" s="1">
        <v>59608.12086874409</v>
      </c>
      <c r="N363" s="1">
        <f>IF(M363 + N362 &lt; 0, M363 + N362, 0)</f>
        <v>0</v>
      </c>
      <c r="O363" s="1">
        <v>59608.12086874409</v>
      </c>
      <c r="P363" s="1">
        <f>IF(O363 + P362 &lt; 0, O363 + P362, 0)</f>
        <v>0</v>
      </c>
      <c r="Q363" s="1">
        <v>59608.12086874409</v>
      </c>
      <c r="R363" s="1">
        <f>IF(Q363 + R362 &lt; 0, Q363 + R362, 0)</f>
        <v>0</v>
      </c>
      <c r="S363" s="1">
        <v>59608.12086874409</v>
      </c>
      <c r="T363" s="1">
        <f>IF(S363 + T362 &lt; 0, S363 + T362, 0)</f>
        <v>0</v>
      </c>
    </row>
    <row r="364" spans="1:20" s="1" customFormat="1">
      <c r="A364" s="3">
        <v>45513</v>
      </c>
      <c r="B364" s="2" t="s">
        <v>15</v>
      </c>
      <c r="C364" s="2">
        <v>4</v>
      </c>
      <c r="D364" s="2">
        <v>5</v>
      </c>
      <c r="E364" s="1">
        <v>101274.591299529</v>
      </c>
      <c r="F364" s="1">
        <f>IF(E364 + F363 &lt; 0, E364 + F363, 0)</f>
        <v>0</v>
      </c>
      <c r="G364" s="1">
        <v>101274.591299529</v>
      </c>
      <c r="H364" s="1">
        <f>IF(G364 + H363 &lt; 0, G364 + H363, 0)</f>
        <v>0</v>
      </c>
      <c r="I364" s="1">
        <v>101274.591299529</v>
      </c>
      <c r="J364" s="1">
        <f>IF(I364 + J363 &lt; 0, I364 + J363, 0)</f>
        <v>0</v>
      </c>
      <c r="K364" s="1">
        <v>101274.591299529</v>
      </c>
      <c r="L364" s="1">
        <f>IF(K364 + L363 &lt; 0, K364 + L363, 0)</f>
        <v>0</v>
      </c>
      <c r="M364" s="1">
        <v>31105.4579093432</v>
      </c>
      <c r="N364" s="1">
        <f>IF(M364 + N363 &lt; 0, M364 + N363, 0)</f>
        <v>0</v>
      </c>
      <c r="O364" s="1">
        <v>31105.4579093432</v>
      </c>
      <c r="P364" s="1">
        <f>IF(O364 + P363 &lt; 0, O364 + P363, 0)</f>
        <v>0</v>
      </c>
      <c r="Q364" s="1">
        <v>31105.4579093432</v>
      </c>
      <c r="R364" s="1">
        <f>IF(Q364 + R363 &lt; 0, Q364 + R363, 0)</f>
        <v>0</v>
      </c>
      <c r="S364" s="1">
        <v>31105.4579093432</v>
      </c>
      <c r="T364" s="1">
        <f>IF(S364 + T363 &lt; 0, S364 + T363, 0)</f>
        <v>0</v>
      </c>
    </row>
    <row r="365" spans="1:20" s="1" customFormat="1">
      <c r="A365" s="3">
        <v>45516</v>
      </c>
      <c r="B365" s="2" t="s">
        <v>12</v>
      </c>
      <c r="C365" s="2">
        <v>3</v>
      </c>
      <c r="D365" s="2">
        <v>4</v>
      </c>
      <c r="E365" s="1">
        <v>99701.0001031034</v>
      </c>
      <c r="F365" s="1">
        <f>IF(E365 + F364 &lt; 0, E365 + F364, 0)</f>
        <v>0</v>
      </c>
      <c r="G365" s="1">
        <v>-51001.82149362481</v>
      </c>
      <c r="H365" s="1">
        <f>IF(G365 + H364 &lt; 0, G365 + H364, 0)</f>
        <v>0</v>
      </c>
      <c r="I365" s="1">
        <v>-196979.0700072172</v>
      </c>
      <c r="J365" s="1">
        <f>IF(I365 + J364 &lt; 0, I365 + J364, 0)</f>
        <v>0</v>
      </c>
      <c r="K365" s="1">
        <v>-196979.0700072172</v>
      </c>
      <c r="L365" s="1">
        <f>IF(K365 + L364 &lt; 0, K365 + L364, 0)</f>
        <v>0</v>
      </c>
      <c r="M365" s="1">
        <v>-70062.97795771481</v>
      </c>
      <c r="N365" s="1">
        <f>IF(M365 + N364 &lt; 0, M365 + N364, 0)</f>
        <v>0</v>
      </c>
      <c r="O365" s="1">
        <v>-70062.97795771481</v>
      </c>
      <c r="P365" s="1">
        <f>IF(O365 + P364 &lt; 0, O365 + P364, 0)</f>
        <v>0</v>
      </c>
      <c r="Q365" s="1">
        <v>-70062.97795771481</v>
      </c>
      <c r="R365" s="1">
        <f>IF(Q365 + R364 &lt; 0, Q365 + R364, 0)</f>
        <v>0</v>
      </c>
      <c r="S365" s="1">
        <v>-70062.97795771481</v>
      </c>
      <c r="T365" s="1">
        <f>IF(S365 + T364 &lt; 0, S365 + T364, 0)</f>
        <v>0</v>
      </c>
    </row>
    <row r="366" spans="1:20" s="1" customFormat="1">
      <c r="A366" s="3">
        <v>45517</v>
      </c>
      <c r="B366" s="2" t="s">
        <v>13</v>
      </c>
      <c r="C366" s="2">
        <v>2</v>
      </c>
      <c r="D366" s="2">
        <v>3</v>
      </c>
      <c r="E366" s="1">
        <v>138991.5531517094</v>
      </c>
      <c r="F366" s="1">
        <f>IF(E366 + F365 &lt; 0, E366 + F365, 0)</f>
        <v>0</v>
      </c>
      <c r="G366" s="1">
        <v>74891.49305555556</v>
      </c>
      <c r="H366" s="1">
        <f>IF(G366 + H365 &lt; 0, G366 + H365, 0)</f>
        <v>0</v>
      </c>
      <c r="I366" s="1">
        <v>112371.4610042735</v>
      </c>
      <c r="J366" s="1">
        <f>IF(I366 + J365 &lt; 0, I366 + J365, 0)</f>
        <v>0</v>
      </c>
      <c r="K366" s="1">
        <v>112371.4610042735</v>
      </c>
      <c r="L366" s="1">
        <f>IF(K366 + L365 &lt; 0, K366 + L365, 0)</f>
        <v>0</v>
      </c>
      <c r="M366" s="1">
        <v>28198.07427785419</v>
      </c>
      <c r="N366" s="1">
        <f>IF(M366 + N365 &lt; 0, M366 + N365, 0)</f>
        <v>0</v>
      </c>
      <c r="O366" s="1">
        <v>28198.07427785419</v>
      </c>
      <c r="P366" s="1">
        <f>IF(O366 + P365 &lt; 0, O366 + P365, 0)</f>
        <v>0</v>
      </c>
      <c r="Q366" s="1">
        <v>28198.07427785419</v>
      </c>
      <c r="R366" s="1">
        <f>IF(Q366 + R365 &lt; 0, Q366 + R365, 0)</f>
        <v>0</v>
      </c>
      <c r="S366" s="1">
        <v>28198.07427785419</v>
      </c>
      <c r="T366" s="1">
        <f>IF(S366 + T365 &lt; 0, S366 + T365, 0)</f>
        <v>0</v>
      </c>
    </row>
    <row r="367" spans="1:20" s="1" customFormat="1">
      <c r="A367" s="3">
        <v>45518</v>
      </c>
      <c r="B367" s="2" t="s">
        <v>14</v>
      </c>
      <c r="C367" s="2">
        <v>1</v>
      </c>
      <c r="D367" s="2">
        <v>2</v>
      </c>
      <c r="E367" s="1">
        <v>-62182.39564428311</v>
      </c>
      <c r="F367" s="1">
        <f>IF(E367 + F366 &lt; 0, E367 + F366, 0)</f>
        <v>0</v>
      </c>
      <c r="G367" s="1">
        <v>15531.52517308597</v>
      </c>
      <c r="H367" s="1">
        <f>IF(G367 + H366 &lt; 0, G367 + H366, 0)</f>
        <v>0</v>
      </c>
      <c r="I367" s="1">
        <v>30483.29636351416</v>
      </c>
      <c r="J367" s="1">
        <f>IF(I367 + J366 &lt; 0, I367 + J366, 0)</f>
        <v>0</v>
      </c>
      <c r="K367" s="1">
        <v>31323.51952678631</v>
      </c>
      <c r="L367" s="1">
        <f>IF(K367 + L366 &lt; 0, K367 + L366, 0)</f>
        <v>0</v>
      </c>
      <c r="M367" s="1">
        <v>-110651.9742883379</v>
      </c>
      <c r="N367" s="1">
        <f>IF(M367 + N366 &lt; 0, M367 + N366, 0)</f>
        <v>0</v>
      </c>
      <c r="O367" s="1">
        <v>-109521.349862259</v>
      </c>
      <c r="P367" s="1">
        <f>IF(O367 + P366 &lt; 0, O367 + P366, 0)</f>
        <v>0</v>
      </c>
      <c r="Q367" s="1">
        <v>-109521.349862259</v>
      </c>
      <c r="R367" s="1">
        <f>IF(Q367 + R366 &lt; 0, Q367 + R366, 0)</f>
        <v>0</v>
      </c>
      <c r="S367" s="1">
        <v>-109521.349862259</v>
      </c>
      <c r="T367" s="1">
        <f>IF(S367 + T366 &lt; 0, S367 + T366, 0)</f>
        <v>0</v>
      </c>
    </row>
    <row r="368" spans="1:20" s="1" customFormat="1">
      <c r="A368" s="3">
        <v>45527</v>
      </c>
      <c r="B368" s="2" t="s">
        <v>15</v>
      </c>
      <c r="C368" s="2">
        <v>18</v>
      </c>
      <c r="D368" s="2">
        <v>1</v>
      </c>
      <c r="E368" s="1">
        <v>0</v>
      </c>
      <c r="F368" s="1">
        <f>IF(E368 + F367 &lt; 0, E368 + F367, 0)</f>
        <v>0</v>
      </c>
      <c r="G368" s="1">
        <v>0</v>
      </c>
      <c r="H368" s="1">
        <f>IF(G368 + H367 &lt; 0, G368 + H367, 0)</f>
        <v>0</v>
      </c>
      <c r="I368" s="1">
        <v>0</v>
      </c>
      <c r="J368" s="1">
        <f>IF(I368 + J367 &lt; 0, I368 + J367, 0)</f>
        <v>0</v>
      </c>
      <c r="K368" s="1">
        <v>0</v>
      </c>
      <c r="L368" s="1">
        <f>IF(K368 + L367 &lt; 0, K368 + L367, 0)</f>
        <v>0</v>
      </c>
      <c r="M368" s="1">
        <v>96977.55791505791</v>
      </c>
      <c r="N368" s="1">
        <f>IF(M368 + N367 &lt; 0, M368 + N367, 0)</f>
        <v>0</v>
      </c>
      <c r="O368" s="1">
        <v>97556.70849420849</v>
      </c>
      <c r="P368" s="1">
        <f>IF(O368 + P367 &lt; 0, O368 + P367, 0)</f>
        <v>0</v>
      </c>
      <c r="Q368" s="1">
        <v>101170.3667953668</v>
      </c>
      <c r="R368" s="1">
        <f>IF(Q368 + R367 &lt; 0, Q368 + R367, 0)</f>
        <v>0</v>
      </c>
      <c r="S368" s="1">
        <v>101170.3667953668</v>
      </c>
      <c r="T368" s="1">
        <f>IF(S368 + T367 &lt; 0, S368 + T367, 0)</f>
        <v>0</v>
      </c>
    </row>
    <row r="369" spans="1:20" s="1" customFormat="1">
      <c r="A369" s="3">
        <v>45530</v>
      </c>
      <c r="B369" s="2" t="s">
        <v>12</v>
      </c>
      <c r="C369" s="2">
        <v>17</v>
      </c>
      <c r="D369" s="2">
        <v>21</v>
      </c>
      <c r="E369" s="1">
        <v>0</v>
      </c>
      <c r="F369" s="1">
        <f>IF(E369 + F368 &lt; 0, E369 + F368, 0)</f>
        <v>0</v>
      </c>
      <c r="G369" s="1">
        <v>0</v>
      </c>
      <c r="H369" s="1">
        <f>IF(G369 + H368 &lt; 0, G369 + H368, 0)</f>
        <v>0</v>
      </c>
      <c r="I369" s="1">
        <v>0</v>
      </c>
      <c r="J369" s="1">
        <f>IF(I369 + J368 &lt; 0, I369 + J368, 0)</f>
        <v>0</v>
      </c>
      <c r="K369" s="1">
        <v>0</v>
      </c>
      <c r="L369" s="1">
        <f>IF(K369 + L368 &lt; 0, K369 + L368, 0)</f>
        <v>0</v>
      </c>
      <c r="M369" s="1">
        <v>0</v>
      </c>
      <c r="N369" s="1">
        <f>IF(M369 + N368 &lt; 0, M369 + N368, 0)</f>
        <v>0</v>
      </c>
      <c r="O369" s="1">
        <v>0</v>
      </c>
      <c r="P369" s="1">
        <f>IF(O369 + P368 &lt; 0, O369 + P368, 0)</f>
        <v>0</v>
      </c>
      <c r="Q369" s="1">
        <v>0</v>
      </c>
      <c r="R369" s="1">
        <f>IF(Q369 + R368 &lt; 0, Q369 + R368, 0)</f>
        <v>0</v>
      </c>
      <c r="S369" s="1">
        <v>0</v>
      </c>
      <c r="T369" s="1">
        <f>IF(S369 + T368 &lt; 0, S369 + T368, 0)</f>
        <v>0</v>
      </c>
    </row>
    <row r="370" spans="1:20" s="1" customFormat="1">
      <c r="A370" s="3">
        <v>45531</v>
      </c>
      <c r="B370" s="2" t="s">
        <v>13</v>
      </c>
      <c r="C370" s="2">
        <v>16</v>
      </c>
      <c r="D370" s="2">
        <v>20</v>
      </c>
      <c r="E370" s="1">
        <v>0</v>
      </c>
      <c r="F370" s="1">
        <f>IF(E370 + F369 &lt; 0, E370 + F369, 0)</f>
        <v>0</v>
      </c>
      <c r="G370" s="1">
        <v>0</v>
      </c>
      <c r="H370" s="1">
        <f>IF(G370 + H369 &lt; 0, G370 + H369, 0)</f>
        <v>0</v>
      </c>
      <c r="I370" s="1">
        <v>0</v>
      </c>
      <c r="J370" s="1">
        <f>IF(I370 + J369 &lt; 0, I370 + J369, 0)</f>
        <v>0</v>
      </c>
      <c r="K370" s="1">
        <v>0</v>
      </c>
      <c r="L370" s="1">
        <f>IF(K370 + L369 &lt; 0, K370 + L369, 0)</f>
        <v>0</v>
      </c>
      <c r="M370" s="1">
        <v>0</v>
      </c>
      <c r="N370" s="1">
        <f>IF(M370 + N369 &lt; 0, M370 + N369, 0)</f>
        <v>0</v>
      </c>
      <c r="O370" s="1">
        <v>0</v>
      </c>
      <c r="P370" s="1">
        <f>IF(O370 + P369 &lt; 0, O370 + P369, 0)</f>
        <v>0</v>
      </c>
      <c r="Q370" s="1">
        <v>0</v>
      </c>
      <c r="R370" s="1">
        <f>IF(Q370 + R369 &lt; 0, Q370 + R369, 0)</f>
        <v>0</v>
      </c>
      <c r="S370" s="1">
        <v>0</v>
      </c>
      <c r="T370" s="1">
        <f>IF(S370 + T369 &lt; 0, S370 + T369, 0)</f>
        <v>0</v>
      </c>
    </row>
    <row r="371" spans="1:20" s="1" customFormat="1">
      <c r="A371" s="3">
        <v>45532</v>
      </c>
      <c r="B371" s="2" t="s">
        <v>14</v>
      </c>
      <c r="C371" s="2">
        <v>15</v>
      </c>
      <c r="D371" s="2">
        <v>19</v>
      </c>
      <c r="E371" s="1">
        <v>0</v>
      </c>
      <c r="F371" s="1">
        <f>IF(E371 + F370 &lt; 0, E371 + F370, 0)</f>
        <v>0</v>
      </c>
      <c r="G371" s="1">
        <v>0</v>
      </c>
      <c r="H371" s="1">
        <f>IF(G371 + H370 &lt; 0, G371 + H370, 0)</f>
        <v>0</v>
      </c>
      <c r="I371" s="1">
        <v>0</v>
      </c>
      <c r="J371" s="1">
        <f>IF(I371 + J370 &lt; 0, I371 + J370, 0)</f>
        <v>0</v>
      </c>
      <c r="K371" s="1">
        <v>0</v>
      </c>
      <c r="L371" s="1">
        <f>IF(K371 + L370 &lt; 0, K371 + L370, 0)</f>
        <v>0</v>
      </c>
      <c r="M371" s="1">
        <v>0</v>
      </c>
      <c r="N371" s="1">
        <f>IF(M371 + N370 &lt; 0, M371 + N370, 0)</f>
        <v>0</v>
      </c>
      <c r="O371" s="1">
        <v>0</v>
      </c>
      <c r="P371" s="1">
        <f>IF(O371 + P370 &lt; 0, O371 + P370, 0)</f>
        <v>0</v>
      </c>
      <c r="Q371" s="1">
        <v>0</v>
      </c>
      <c r="R371" s="1">
        <f>IF(Q371 + R370 &lt; 0, Q371 + R370, 0)</f>
        <v>0</v>
      </c>
      <c r="S371" s="1">
        <v>0</v>
      </c>
      <c r="T371" s="1">
        <f>IF(S371 + T370 &lt; 0, S371 + T370, 0)</f>
        <v>0</v>
      </c>
    </row>
    <row r="372" spans="1:20" s="1" customFormat="1">
      <c r="A372" s="3">
        <v>45533</v>
      </c>
      <c r="B372" s="2" t="s">
        <v>16</v>
      </c>
      <c r="C372" s="2">
        <v>14</v>
      </c>
      <c r="D372" s="2">
        <v>18</v>
      </c>
      <c r="E372" s="1">
        <v>0</v>
      </c>
      <c r="F372" s="1">
        <f>IF(E372 + F371 &lt; 0, E372 + F371, 0)</f>
        <v>0</v>
      </c>
      <c r="G372" s="1">
        <v>0</v>
      </c>
      <c r="H372" s="1">
        <f>IF(G372 + H371 &lt; 0, G372 + H371, 0)</f>
        <v>0</v>
      </c>
      <c r="I372" s="1">
        <v>0</v>
      </c>
      <c r="J372" s="1">
        <f>IF(I372 + J371 &lt; 0, I372 + J371, 0)</f>
        <v>0</v>
      </c>
      <c r="K372" s="1">
        <v>0</v>
      </c>
      <c r="L372" s="1">
        <f>IF(K372 + L371 &lt; 0, K372 + L371, 0)</f>
        <v>0</v>
      </c>
      <c r="M372" s="1">
        <v>0</v>
      </c>
      <c r="N372" s="1">
        <f>IF(M372 + N371 &lt; 0, M372 + N371, 0)</f>
        <v>0</v>
      </c>
      <c r="O372" s="1">
        <v>0</v>
      </c>
      <c r="P372" s="1">
        <f>IF(O372 + P371 &lt; 0, O372 + P371, 0)</f>
        <v>0</v>
      </c>
      <c r="Q372" s="1">
        <v>0</v>
      </c>
      <c r="R372" s="1">
        <f>IF(Q372 + R371 &lt; 0, Q372 + R371, 0)</f>
        <v>0</v>
      </c>
      <c r="S372" s="1">
        <v>0</v>
      </c>
      <c r="T372" s="1">
        <f>IF(S372 + T371 &lt; 0, S372 + T371, 0)</f>
        <v>0</v>
      </c>
    </row>
    <row r="373" spans="1:20" s="1" customFormat="1">
      <c r="A373" s="3">
        <v>45534</v>
      </c>
      <c r="B373" s="2" t="s">
        <v>15</v>
      </c>
      <c r="C373" s="2">
        <v>13</v>
      </c>
      <c r="D373" s="2">
        <v>17</v>
      </c>
      <c r="E373" s="1">
        <v>0</v>
      </c>
      <c r="F373" s="1">
        <f>IF(E373 + F372 &lt; 0, E373 + F372, 0)</f>
        <v>0</v>
      </c>
      <c r="G373" s="1">
        <v>0</v>
      </c>
      <c r="H373" s="1">
        <f>IF(G373 + H372 &lt; 0, G373 + H372, 0)</f>
        <v>0</v>
      </c>
      <c r="I373" s="1">
        <v>0</v>
      </c>
      <c r="J373" s="1">
        <f>IF(I373 + J372 &lt; 0, I373 + J372, 0)</f>
        <v>0</v>
      </c>
      <c r="K373" s="1">
        <v>0</v>
      </c>
      <c r="L373" s="1">
        <f>IF(K373 + L372 &lt; 0, K373 + L372, 0)</f>
        <v>0</v>
      </c>
      <c r="M373" s="1">
        <v>0</v>
      </c>
      <c r="N373" s="1">
        <f>IF(M373 + N372 &lt; 0, M373 + N372, 0)</f>
        <v>0</v>
      </c>
      <c r="O373" s="1">
        <v>0</v>
      </c>
      <c r="P373" s="1">
        <f>IF(O373 + P372 &lt; 0, O373 + P372, 0)</f>
        <v>0</v>
      </c>
      <c r="Q373" s="1">
        <v>0</v>
      </c>
      <c r="R373" s="1">
        <f>IF(Q373 + R372 &lt; 0, Q373 + R372, 0)</f>
        <v>0</v>
      </c>
      <c r="S373" s="1">
        <v>0</v>
      </c>
      <c r="T373" s="1">
        <f>IF(S373 + T372 &lt; 0, S373 + T372, 0)</f>
        <v>0</v>
      </c>
    </row>
    <row r="374" spans="1:20" s="1" customFormat="1">
      <c r="A374" s="3">
        <v>45537</v>
      </c>
      <c r="B374" s="2" t="s">
        <v>12</v>
      </c>
      <c r="C374" s="2">
        <v>12</v>
      </c>
      <c r="D374" s="2">
        <v>16</v>
      </c>
      <c r="E374" s="1">
        <v>0</v>
      </c>
      <c r="F374" s="1">
        <f>IF(E374 + F373 &lt; 0, E374 + F373, 0)</f>
        <v>0</v>
      </c>
      <c r="G374" s="1">
        <v>0</v>
      </c>
      <c r="H374" s="1">
        <f>IF(G374 + H373 &lt; 0, G374 + H373, 0)</f>
        <v>0</v>
      </c>
      <c r="I374" s="1">
        <v>0</v>
      </c>
      <c r="J374" s="1">
        <f>IF(I374 + J373 &lt; 0, I374 + J373, 0)</f>
        <v>0</v>
      </c>
      <c r="K374" s="1">
        <v>0</v>
      </c>
      <c r="L374" s="1">
        <f>IF(K374 + L373 &lt; 0, K374 + L373, 0)</f>
        <v>0</v>
      </c>
      <c r="M374" s="1">
        <v>0</v>
      </c>
      <c r="N374" s="1">
        <f>IF(M374 + N373 &lt; 0, M374 + N373, 0)</f>
        <v>0</v>
      </c>
      <c r="O374" s="1">
        <v>0</v>
      </c>
      <c r="P374" s="1">
        <f>IF(O374 + P373 &lt; 0, O374 + P373, 0)</f>
        <v>0</v>
      </c>
      <c r="Q374" s="1">
        <v>0</v>
      </c>
      <c r="R374" s="1">
        <f>IF(Q374 + R373 &lt; 0, Q374 + R373, 0)</f>
        <v>0</v>
      </c>
      <c r="S374" s="1">
        <v>0</v>
      </c>
      <c r="T374" s="1">
        <f>IF(S374 + T373 &lt; 0, S374 + T373, 0)</f>
        <v>0</v>
      </c>
    </row>
    <row r="375" spans="1:20" s="1" customFormat="1">
      <c r="A375" s="3">
        <v>45538</v>
      </c>
      <c r="B375" s="2" t="s">
        <v>13</v>
      </c>
      <c r="C375" s="2">
        <v>11</v>
      </c>
      <c r="D375" s="2">
        <v>15</v>
      </c>
      <c r="E375" s="1">
        <v>0</v>
      </c>
      <c r="F375" s="1">
        <f>IF(E375 + F374 &lt; 0, E375 + F374, 0)</f>
        <v>0</v>
      </c>
      <c r="G375" s="1">
        <v>0</v>
      </c>
      <c r="H375" s="1">
        <f>IF(G375 + H374 &lt; 0, G375 + H374, 0)</f>
        <v>0</v>
      </c>
      <c r="I375" s="1">
        <v>0</v>
      </c>
      <c r="J375" s="1">
        <f>IF(I375 + J374 &lt; 0, I375 + J374, 0)</f>
        <v>0</v>
      </c>
      <c r="K375" s="1">
        <v>0</v>
      </c>
      <c r="L375" s="1">
        <f>IF(K375 + L374 &lt; 0, K375 + L374, 0)</f>
        <v>0</v>
      </c>
      <c r="M375" s="1">
        <v>0</v>
      </c>
      <c r="N375" s="1">
        <f>IF(M375 + N374 &lt; 0, M375 + N374, 0)</f>
        <v>0</v>
      </c>
      <c r="O375" s="1">
        <v>0</v>
      </c>
      <c r="P375" s="1">
        <f>IF(O375 + P374 &lt; 0, O375 + P374, 0)</f>
        <v>0</v>
      </c>
      <c r="Q375" s="1">
        <v>0</v>
      </c>
      <c r="R375" s="1">
        <f>IF(Q375 + R374 &lt; 0, Q375 + R374, 0)</f>
        <v>0</v>
      </c>
      <c r="S375" s="1">
        <v>0</v>
      </c>
      <c r="T375" s="1">
        <f>IF(S375 + T374 &lt; 0, S375 + T374, 0)</f>
        <v>0</v>
      </c>
    </row>
    <row r="376" spans="1:20" s="1" customFormat="1">
      <c r="A376" s="3">
        <v>45539</v>
      </c>
      <c r="B376" s="2" t="s">
        <v>14</v>
      </c>
      <c r="C376" s="2">
        <v>10</v>
      </c>
      <c r="D376" s="2">
        <v>14</v>
      </c>
      <c r="E376" s="1">
        <v>-319966.8099871766</v>
      </c>
      <c r="F376" s="1">
        <f>IF(E376 + F375 &lt; 0, E376 + F375, 0)</f>
        <v>0</v>
      </c>
      <c r="G376" s="1">
        <v>-116014.1811872973</v>
      </c>
      <c r="H376" s="1">
        <f>IF(G376 + H375 &lt; 0, G376 + H375, 0)</f>
        <v>0</v>
      </c>
      <c r="I376" s="1">
        <v>-116014.1811872973</v>
      </c>
      <c r="J376" s="1">
        <f>IF(I376 + J375 &lt; 0, I376 + J375, 0)</f>
        <v>0</v>
      </c>
      <c r="K376" s="1">
        <v>-116014.1811872973</v>
      </c>
      <c r="L376" s="1">
        <f>IF(K376 + L375 &lt; 0, K376 + L375, 0)</f>
        <v>0</v>
      </c>
      <c r="M376" s="1">
        <v>0</v>
      </c>
      <c r="N376" s="1">
        <f>IF(M376 + N375 &lt; 0, M376 + N375, 0)</f>
        <v>0</v>
      </c>
      <c r="O376" s="1">
        <v>0</v>
      </c>
      <c r="P376" s="1">
        <f>IF(O376 + P375 &lt; 0, O376 + P375, 0)</f>
        <v>0</v>
      </c>
      <c r="Q376" s="1">
        <v>0</v>
      </c>
      <c r="R376" s="1">
        <f>IF(Q376 + R375 &lt; 0, Q376 + R375, 0)</f>
        <v>0</v>
      </c>
      <c r="S376" s="1">
        <v>0</v>
      </c>
      <c r="T376" s="1">
        <f>IF(S376 + T375 &lt; 0, S376 + T375, 0)</f>
        <v>0</v>
      </c>
    </row>
    <row r="377" spans="1:20" s="1" customFormat="1">
      <c r="A377" s="3">
        <v>45540</v>
      </c>
      <c r="B377" s="2" t="s">
        <v>16</v>
      </c>
      <c r="C377" s="2">
        <v>9</v>
      </c>
      <c r="D377" s="2">
        <v>13</v>
      </c>
      <c r="E377" s="1">
        <v>124344.6048632219</v>
      </c>
      <c r="F377" s="1">
        <f>IF(E377 + F376 &lt; 0, E377 + F376, 0)</f>
        <v>0</v>
      </c>
      <c r="G377" s="1">
        <v>124344.6048632219</v>
      </c>
      <c r="H377" s="1">
        <f>IF(G377 + H376 &lt; 0, G377 + H376, 0)</f>
        <v>0</v>
      </c>
      <c r="I377" s="1">
        <v>124344.6048632219</v>
      </c>
      <c r="J377" s="1">
        <f>IF(I377 + J376 &lt; 0, I377 + J376, 0)</f>
        <v>0</v>
      </c>
      <c r="K377" s="1">
        <v>124344.6048632219</v>
      </c>
      <c r="L377" s="1">
        <f>IF(K377 + L376 &lt; 0, K377 + L376, 0)</f>
        <v>0</v>
      </c>
      <c r="M377" s="1">
        <v>0</v>
      </c>
      <c r="N377" s="1">
        <f>IF(M377 + N376 &lt; 0, M377 + N376, 0)</f>
        <v>0</v>
      </c>
      <c r="O377" s="1">
        <v>0</v>
      </c>
      <c r="P377" s="1">
        <f>IF(O377 + P376 &lt; 0, O377 + P376, 0)</f>
        <v>0</v>
      </c>
      <c r="Q377" s="1">
        <v>0</v>
      </c>
      <c r="R377" s="1">
        <f>IF(Q377 + R376 &lt; 0, Q377 + R376, 0)</f>
        <v>0</v>
      </c>
      <c r="S377" s="1">
        <v>0</v>
      </c>
      <c r="T377" s="1">
        <f>IF(S377 + T376 &lt; 0, S377 + T376, 0)</f>
        <v>0</v>
      </c>
    </row>
    <row r="378" spans="1:20" s="1" customFormat="1">
      <c r="A378" s="3">
        <v>45541</v>
      </c>
      <c r="B378" s="2" t="s">
        <v>15</v>
      </c>
      <c r="C378" s="2">
        <v>8</v>
      </c>
      <c r="D378" s="2">
        <v>12</v>
      </c>
      <c r="E378" s="1">
        <v>5583.199877983679</v>
      </c>
      <c r="F378" s="1">
        <f>IF(E378 + F377 &lt; 0, E378 + F377, 0)</f>
        <v>0</v>
      </c>
      <c r="G378" s="1">
        <v>-57891.02417448333</v>
      </c>
      <c r="H378" s="1">
        <f>IF(G378 + H377 &lt; 0, G378 + H377, 0)</f>
        <v>0</v>
      </c>
      <c r="I378" s="1">
        <v>-57891.02417448333</v>
      </c>
      <c r="J378" s="1">
        <f>IF(I378 + J377 &lt; 0, I378 + J377, 0)</f>
        <v>0</v>
      </c>
      <c r="K378" s="1">
        <v>-57891.02417448333</v>
      </c>
      <c r="L378" s="1">
        <f>IF(K378 + L377 &lt; 0, K378 + L377, 0)</f>
        <v>0</v>
      </c>
      <c r="M378" s="1">
        <v>0</v>
      </c>
      <c r="N378" s="1">
        <f>IF(M378 + N377 &lt; 0, M378 + N377, 0)</f>
        <v>0</v>
      </c>
      <c r="O378" s="1">
        <v>0</v>
      </c>
      <c r="P378" s="1">
        <f>IF(O378 + P377 &lt; 0, O378 + P377, 0)</f>
        <v>0</v>
      </c>
      <c r="Q378" s="1">
        <v>0</v>
      </c>
      <c r="R378" s="1">
        <f>IF(Q378 + R377 &lt; 0, Q378 + R377, 0)</f>
        <v>0</v>
      </c>
      <c r="S378" s="1">
        <v>0</v>
      </c>
      <c r="T378" s="1">
        <f>IF(S378 + T377 &lt; 0, S378 + T377, 0)</f>
        <v>0</v>
      </c>
    </row>
    <row r="379" spans="1:20" s="1" customFormat="1">
      <c r="A379" s="3">
        <v>45544</v>
      </c>
      <c r="B379" s="2" t="s">
        <v>12</v>
      </c>
      <c r="C379" s="2">
        <v>7</v>
      </c>
      <c r="D379" s="2">
        <v>11</v>
      </c>
      <c r="E379" s="1">
        <v>70098.88965995834</v>
      </c>
      <c r="F379" s="1">
        <f>IF(E379 + F378 &lt; 0, E379 + F378, 0)</f>
        <v>0</v>
      </c>
      <c r="G379" s="1">
        <v>133809.4687331328</v>
      </c>
      <c r="H379" s="1">
        <f>IF(G379 + H378 &lt; 0, G379 + H378, 0)</f>
        <v>0</v>
      </c>
      <c r="I379" s="1">
        <v>133809.4687331328</v>
      </c>
      <c r="J379" s="1">
        <f>IF(I379 + J378 &lt; 0, I379 + J378, 0)</f>
        <v>0</v>
      </c>
      <c r="K379" s="1">
        <v>133809.4687331328</v>
      </c>
      <c r="L379" s="1">
        <f>IF(K379 + L378 &lt; 0, K379 + L378, 0)</f>
        <v>0</v>
      </c>
      <c r="M379" s="1">
        <v>0</v>
      </c>
      <c r="N379" s="1">
        <f>IF(M379 + N378 &lt; 0, M379 + N378, 0)</f>
        <v>0</v>
      </c>
      <c r="O379" s="1">
        <v>0</v>
      </c>
      <c r="P379" s="1">
        <f>IF(O379 + P378 &lt; 0, O379 + P378, 0)</f>
        <v>0</v>
      </c>
      <c r="Q379" s="1">
        <v>0</v>
      </c>
      <c r="R379" s="1">
        <f>IF(Q379 + R378 &lt; 0, Q379 + R378, 0)</f>
        <v>0</v>
      </c>
      <c r="S379" s="1">
        <v>0</v>
      </c>
      <c r="T379" s="1">
        <f>IF(S379 + T378 &lt; 0, S379 + T378, 0)</f>
        <v>0</v>
      </c>
    </row>
    <row r="380" spans="1:20" s="1" customFormat="1">
      <c r="A380" s="3">
        <v>45545</v>
      </c>
      <c r="B380" s="2" t="s">
        <v>13</v>
      </c>
      <c r="C380" s="2">
        <v>6</v>
      </c>
      <c r="D380" s="2">
        <v>10</v>
      </c>
      <c r="E380" s="1">
        <v>110297.7977977978</v>
      </c>
      <c r="F380" s="1">
        <f>IF(E380 + F379 &lt; 0, E380 + F379, 0)</f>
        <v>0</v>
      </c>
      <c r="G380" s="1">
        <v>-311952.3369523369</v>
      </c>
      <c r="H380" s="1">
        <f>IF(G380 + H379 &lt; 0, G380 + H379, 0)</f>
        <v>0</v>
      </c>
      <c r="I380" s="1">
        <v>-311948.4869484869</v>
      </c>
      <c r="J380" s="1">
        <f>IF(I380 + J379 &lt; 0, I380 + J379, 0)</f>
        <v>0</v>
      </c>
      <c r="K380" s="1">
        <v>-311948.4869484869</v>
      </c>
      <c r="L380" s="1">
        <f>IF(K380 + L379 &lt; 0, K380 + L379, 0)</f>
        <v>0</v>
      </c>
      <c r="M380" s="1">
        <v>0</v>
      </c>
      <c r="N380" s="1">
        <f>IF(M380 + N379 &lt; 0, M380 + N379, 0)</f>
        <v>0</v>
      </c>
      <c r="O380" s="1">
        <v>0</v>
      </c>
      <c r="P380" s="1">
        <f>IF(O380 + P379 &lt; 0, O380 + P379, 0)</f>
        <v>0</v>
      </c>
      <c r="Q380" s="1">
        <v>0</v>
      </c>
      <c r="R380" s="1">
        <f>IF(Q380 + R379 &lt; 0, Q380 + R379, 0)</f>
        <v>0</v>
      </c>
      <c r="S380" s="1">
        <v>0</v>
      </c>
      <c r="T380" s="1">
        <f>IF(S380 + T379 &lt; 0, S380 + T379, 0)</f>
        <v>0</v>
      </c>
    </row>
    <row r="381" spans="1:20" s="1" customFormat="1">
      <c r="A381" s="3">
        <v>45546</v>
      </c>
      <c r="B381" s="2" t="s">
        <v>14</v>
      </c>
      <c r="C381" s="2">
        <v>5</v>
      </c>
      <c r="D381" s="2">
        <v>9</v>
      </c>
      <c r="E381" s="1">
        <v>-259979.8306574008</v>
      </c>
      <c r="F381" s="1">
        <f>IF(E381 + F380 &lt; 0, E381 + F380, 0)</f>
        <v>0</v>
      </c>
      <c r="G381" s="1">
        <v>101176.2121575206</v>
      </c>
      <c r="H381" s="1">
        <f>IF(G381 + H380 &lt; 0, G381 + H380, 0)</f>
        <v>0</v>
      </c>
      <c r="I381" s="1">
        <v>101176.2121575206</v>
      </c>
      <c r="J381" s="1">
        <f>IF(I381 + J380 &lt; 0, I381 + J380, 0)</f>
        <v>0</v>
      </c>
      <c r="K381" s="1">
        <v>101176.2121575206</v>
      </c>
      <c r="L381" s="1">
        <f>IF(K381 + L380 &lt; 0, K381 + L380, 0)</f>
        <v>0</v>
      </c>
      <c r="M381" s="1">
        <v>0</v>
      </c>
      <c r="N381" s="1">
        <f>IF(M381 + N380 &lt; 0, M381 + N380, 0)</f>
        <v>0</v>
      </c>
      <c r="O381" s="1">
        <v>0</v>
      </c>
      <c r="P381" s="1">
        <f>IF(O381 + P380 &lt; 0, O381 + P380, 0)</f>
        <v>0</v>
      </c>
      <c r="Q381" s="1">
        <v>0</v>
      </c>
      <c r="R381" s="1">
        <f>IF(Q381 + R380 &lt; 0, Q381 + R380, 0)</f>
        <v>0</v>
      </c>
      <c r="S381" s="1">
        <v>0</v>
      </c>
      <c r="T381" s="1">
        <f>IF(S381 + T380 &lt; 0, S381 + T380, 0)</f>
        <v>0</v>
      </c>
    </row>
    <row r="382" spans="1:20" s="1" customFormat="1">
      <c r="A382" s="3">
        <v>45547</v>
      </c>
      <c r="B382" s="2" t="s">
        <v>16</v>
      </c>
      <c r="C382" s="2">
        <v>4</v>
      </c>
      <c r="D382" s="2">
        <v>8</v>
      </c>
      <c r="E382" s="1">
        <v>-81798.82812500001</v>
      </c>
      <c r="F382" s="1">
        <f>IF(E382 + F381 &lt; 0, E382 + F381, 0)</f>
        <v>0</v>
      </c>
      <c r="G382" s="1">
        <v>65371.09375</v>
      </c>
      <c r="H382" s="1">
        <f>IF(G382 + H381 &lt; 0, G382 + H381, 0)</f>
        <v>0</v>
      </c>
      <c r="I382" s="1">
        <v>65371.09375</v>
      </c>
      <c r="J382" s="1">
        <f>IF(I382 + J381 &lt; 0, I382 + J381, 0)</f>
        <v>0</v>
      </c>
      <c r="K382" s="1">
        <v>65371.09375</v>
      </c>
      <c r="L382" s="1">
        <f>IF(K382 + L381 &lt; 0, K382 + L381, 0)</f>
        <v>0</v>
      </c>
      <c r="M382" s="1">
        <v>0</v>
      </c>
      <c r="N382" s="1">
        <f>IF(M382 + N381 &lt; 0, M382 + N381, 0)</f>
        <v>0</v>
      </c>
      <c r="O382" s="1">
        <v>0</v>
      </c>
      <c r="P382" s="1">
        <f>IF(O382 + P381 &lt; 0, O382 + P381, 0)</f>
        <v>0</v>
      </c>
      <c r="Q382" s="1">
        <v>0</v>
      </c>
      <c r="R382" s="1">
        <f>IF(Q382 + R381 &lt; 0, Q382 + R381, 0)</f>
        <v>0</v>
      </c>
      <c r="S382" s="1">
        <v>0</v>
      </c>
      <c r="T382" s="1">
        <f>IF(S382 + T381 &lt; 0, S382 + T381, 0)</f>
        <v>0</v>
      </c>
    </row>
    <row r="383" spans="1:20" s="1" customFormat="1">
      <c r="A383" s="3">
        <v>45548</v>
      </c>
      <c r="B383" s="2" t="s">
        <v>15</v>
      </c>
      <c r="C383" s="2">
        <v>3</v>
      </c>
      <c r="D383" s="2">
        <v>7</v>
      </c>
      <c r="E383" s="1">
        <v>16639.96643399323</v>
      </c>
      <c r="F383" s="1">
        <f>IF(E383 + F382 &lt; 0, E383 + F382, 0)</f>
        <v>0</v>
      </c>
      <c r="G383" s="1">
        <v>11872.06774230462</v>
      </c>
      <c r="H383" s="1">
        <f>IF(G383 + H382 &lt; 0, G383 + H382, 0)</f>
        <v>0</v>
      </c>
      <c r="I383" s="1">
        <v>11872.06774230462</v>
      </c>
      <c r="J383" s="1">
        <f>IF(I383 + J382 &lt; 0, I383 + J382, 0)</f>
        <v>0</v>
      </c>
      <c r="K383" s="1">
        <v>11872.06774230462</v>
      </c>
      <c r="L383" s="1">
        <f>IF(K383 + L382 &lt; 0, K383 + L382, 0)</f>
        <v>0</v>
      </c>
      <c r="M383" s="1">
        <v>0</v>
      </c>
      <c r="N383" s="1">
        <f>IF(M383 + N382 &lt; 0, M383 + N382, 0)</f>
        <v>0</v>
      </c>
      <c r="O383" s="1">
        <v>0</v>
      </c>
      <c r="P383" s="1">
        <f>IF(O383 + P382 &lt; 0, O383 + P382, 0)</f>
        <v>0</v>
      </c>
      <c r="Q383" s="1">
        <v>0</v>
      </c>
      <c r="R383" s="1">
        <f>IF(Q383 + R382 &lt; 0, Q383 + R382, 0)</f>
        <v>0</v>
      </c>
      <c r="S383" s="1">
        <v>0</v>
      </c>
      <c r="T383" s="1">
        <f>IF(S383 + T382 &lt; 0, S383 + T382, 0)</f>
        <v>0</v>
      </c>
    </row>
    <row r="384" spans="1:20" s="1" customFormat="1">
      <c r="A384" s="3">
        <v>45551</v>
      </c>
      <c r="B384" s="2" t="s">
        <v>12</v>
      </c>
      <c r="C384" s="2">
        <v>2</v>
      </c>
      <c r="D384" s="2">
        <v>6</v>
      </c>
      <c r="E384" s="1">
        <v>103067.7497407535</v>
      </c>
      <c r="F384" s="1">
        <f>IF(E384 + F383 &lt; 0, E384 + F383, 0)</f>
        <v>0</v>
      </c>
      <c r="G384" s="1">
        <v>-109610.3621769021</v>
      </c>
      <c r="H384" s="1">
        <f>IF(G384 + H383 &lt; 0, G384 + H383, 0)</f>
        <v>0</v>
      </c>
      <c r="I384" s="1">
        <v>44196.72005223337</v>
      </c>
      <c r="J384" s="1">
        <f>IF(I384 + J383 &lt; 0, I384 + J383, 0)</f>
        <v>0</v>
      </c>
      <c r="K384" s="1">
        <v>44196.72005223337</v>
      </c>
      <c r="L384" s="1">
        <f>IF(K384 + L383 &lt; 0, K384 + L383, 0)</f>
        <v>0</v>
      </c>
      <c r="M384" s="1">
        <v>34187.33681462141</v>
      </c>
      <c r="N384" s="1">
        <f>IF(M384 + N383 &lt; 0, M384 + N383, 0)</f>
        <v>0</v>
      </c>
      <c r="O384" s="1">
        <v>49390.77458659704</v>
      </c>
      <c r="P384" s="1">
        <f>IF(O384 + P383 &lt; 0, O384 + P383, 0)</f>
        <v>0</v>
      </c>
      <c r="Q384" s="1">
        <v>49390.77458659704</v>
      </c>
      <c r="R384" s="1">
        <f>IF(Q384 + R383 &lt; 0, Q384 + R383, 0)</f>
        <v>0</v>
      </c>
      <c r="S384" s="1">
        <v>49390.77458659704</v>
      </c>
      <c r="T384" s="1">
        <f>IF(S384 + T383 &lt; 0, S384 + T383, 0)</f>
        <v>0</v>
      </c>
    </row>
    <row r="385" spans="1:20" s="1" customFormat="1">
      <c r="A385" s="3">
        <v>45552</v>
      </c>
      <c r="B385" s="2" t="s">
        <v>13</v>
      </c>
      <c r="C385" s="2">
        <v>1</v>
      </c>
      <c r="D385" s="2">
        <v>5</v>
      </c>
      <c r="E385" s="1">
        <v>-46962.27477477478</v>
      </c>
      <c r="F385" s="1">
        <f>IF(E385 + F384 &lt; 0, E385 + F384, 0)</f>
        <v>0</v>
      </c>
      <c r="G385" s="1">
        <v>34781.34384384383</v>
      </c>
      <c r="H385" s="1">
        <f>IF(G385 + H384 &lt; 0, G385 + H384, 0)</f>
        <v>0</v>
      </c>
      <c r="I385" s="1">
        <v>-101013.5135135135</v>
      </c>
      <c r="J385" s="1">
        <f>IF(I385 + J384 &lt; 0, I385 + J384, 0)</f>
        <v>0</v>
      </c>
      <c r="K385" s="1">
        <v>-177496.2462462463</v>
      </c>
      <c r="L385" s="1">
        <f>IF(K385 + L384 &lt; 0, K385 + L384, 0)</f>
        <v>0</v>
      </c>
      <c r="M385" s="1">
        <v>66127.69485903815</v>
      </c>
      <c r="N385" s="1">
        <f>IF(M385 + N384 &lt; 0, M385 + N384, 0)</f>
        <v>0</v>
      </c>
      <c r="O385" s="1">
        <v>66127.69485903815</v>
      </c>
      <c r="P385" s="1">
        <f>IF(O385 + P384 &lt; 0, O385 + P384, 0)</f>
        <v>0</v>
      </c>
      <c r="Q385" s="1">
        <v>66127.69485903815</v>
      </c>
      <c r="R385" s="1">
        <f>IF(Q385 + R384 &lt; 0, Q385 + R384, 0)</f>
        <v>0</v>
      </c>
      <c r="S385" s="1">
        <v>66127.69485903815</v>
      </c>
      <c r="T385" s="1">
        <f>IF(S385 + T384 &lt; 0, S385 + T384, 0)</f>
        <v>0</v>
      </c>
    </row>
    <row r="386" spans="1:20" s="1" customFormat="1">
      <c r="A386" s="3">
        <v>45553</v>
      </c>
      <c r="B386" s="2" t="s">
        <v>14</v>
      </c>
      <c r="C386" s="2">
        <v>21</v>
      </c>
      <c r="D386" s="2">
        <v>4</v>
      </c>
      <c r="E386" s="1">
        <v>0</v>
      </c>
      <c r="F386" s="1">
        <f>IF(E386 + F385 &lt; 0, E386 + F385, 0)</f>
        <v>0</v>
      </c>
      <c r="G386" s="1">
        <v>0</v>
      </c>
      <c r="H386" s="1">
        <f>IF(G386 + H385 &lt; 0, G386 + H385, 0)</f>
        <v>0</v>
      </c>
      <c r="I386" s="1">
        <v>0</v>
      </c>
      <c r="J386" s="1">
        <f>IF(I386 + J385 &lt; 0, I386 + J385, 0)</f>
        <v>0</v>
      </c>
      <c r="K386" s="1">
        <v>0</v>
      </c>
      <c r="L386" s="1">
        <f>IF(K386 + L385 &lt; 0, K386 + L385, 0)</f>
        <v>0</v>
      </c>
      <c r="M386" s="1">
        <v>47048.75962360992</v>
      </c>
      <c r="N386" s="1">
        <f>IF(M386 + N385 &lt; 0, M386 + N385, 0)</f>
        <v>0</v>
      </c>
      <c r="O386" s="1">
        <v>47048.75962360992</v>
      </c>
      <c r="P386" s="1">
        <f>IF(O386 + P385 &lt; 0, O386 + P385, 0)</f>
        <v>0</v>
      </c>
      <c r="Q386" s="1">
        <v>47048.75962360992</v>
      </c>
      <c r="R386" s="1">
        <f>IF(Q386 + R385 &lt; 0, Q386 + R385, 0)</f>
        <v>0</v>
      </c>
      <c r="S386" s="1">
        <v>47048.75962360992</v>
      </c>
      <c r="T386" s="1">
        <f>IF(S386 + T385 &lt; 0, S386 + T385, 0)</f>
        <v>0</v>
      </c>
    </row>
    <row r="387" spans="1:20" s="1" customFormat="1">
      <c r="A387" s="3">
        <v>45554</v>
      </c>
      <c r="B387" s="2" t="s">
        <v>16</v>
      </c>
      <c r="C387" s="2">
        <v>20</v>
      </c>
      <c r="D387" s="2">
        <v>3</v>
      </c>
      <c r="E387" s="1">
        <v>0</v>
      </c>
      <c r="F387" s="1">
        <f>IF(E387 + F386 &lt; 0, E387 + F386, 0)</f>
        <v>0</v>
      </c>
      <c r="G387" s="1">
        <v>0</v>
      </c>
      <c r="H387" s="1">
        <f>IF(G387 + H386 &lt; 0, G387 + H386, 0)</f>
        <v>0</v>
      </c>
      <c r="I387" s="1">
        <v>0</v>
      </c>
      <c r="J387" s="1">
        <f>IF(I387 + J386 &lt; 0, I387 + J386, 0)</f>
        <v>0</v>
      </c>
      <c r="K387" s="1">
        <v>0</v>
      </c>
      <c r="L387" s="1">
        <f>IF(K387 + L386 &lt; 0, K387 + L386, 0)</f>
        <v>0</v>
      </c>
      <c r="M387" s="1">
        <v>96716.51495448635</v>
      </c>
      <c r="N387" s="1">
        <f>IF(M387 + N386 &lt; 0, M387 + N386, 0)</f>
        <v>0</v>
      </c>
      <c r="O387" s="1">
        <v>96716.51495448635</v>
      </c>
      <c r="P387" s="1">
        <f>IF(O387 + P386 &lt; 0, O387 + P386, 0)</f>
        <v>0</v>
      </c>
      <c r="Q387" s="1">
        <v>96716.51495448635</v>
      </c>
      <c r="R387" s="1">
        <f>IF(Q387 + R386 &lt; 0, Q387 + R386, 0)</f>
        <v>0</v>
      </c>
      <c r="S387" s="1">
        <v>96716.51495448635</v>
      </c>
      <c r="T387" s="1">
        <f>IF(S387 + T386 &lt; 0, S387 + T386, 0)</f>
        <v>0</v>
      </c>
    </row>
    <row r="388" spans="1:20" s="1" customFormat="1">
      <c r="A388" s="3">
        <v>45555</v>
      </c>
      <c r="B388" s="2" t="s">
        <v>15</v>
      </c>
      <c r="C388" s="2">
        <v>19</v>
      </c>
      <c r="D388" s="2">
        <v>2</v>
      </c>
      <c r="E388" s="1">
        <v>0</v>
      </c>
      <c r="F388" s="1">
        <f>IF(E388 + F387 &lt; 0, E388 + F387, 0)</f>
        <v>0</v>
      </c>
      <c r="G388" s="1">
        <v>0</v>
      </c>
      <c r="H388" s="1">
        <f>IF(G388 + H387 &lt; 0, G388 + H387, 0)</f>
        <v>0</v>
      </c>
      <c r="I388" s="1">
        <v>0</v>
      </c>
      <c r="J388" s="1">
        <f>IF(I388 + J387 &lt; 0, I388 + J387, 0)</f>
        <v>0</v>
      </c>
      <c r="K388" s="1">
        <v>0</v>
      </c>
      <c r="L388" s="1">
        <f>IF(K388 + L387 &lt; 0, K388 + L387, 0)</f>
        <v>0</v>
      </c>
      <c r="M388" s="1">
        <v>-7066.369804919423</v>
      </c>
      <c r="N388" s="1">
        <f>IF(M388 + N387 &lt; 0, M388 + N387, 0)</f>
        <v>0</v>
      </c>
      <c r="O388" s="1">
        <v>-30958.43935538592</v>
      </c>
      <c r="P388" s="1">
        <f>IF(O388 + P387 &lt; 0, O388 + P387, 0)</f>
        <v>0</v>
      </c>
      <c r="Q388" s="1">
        <v>-30958.43935538592</v>
      </c>
      <c r="R388" s="1">
        <f>IF(Q388 + R387 &lt; 0, Q388 + R387, 0)</f>
        <v>0</v>
      </c>
      <c r="S388" s="1">
        <v>-30958.43935538592</v>
      </c>
      <c r="T388" s="1">
        <f>IF(S388 + T387 &lt; 0, S388 + T387, 0)</f>
        <v>0</v>
      </c>
    </row>
    <row r="389" spans="1:20" s="1" customFormat="1">
      <c r="A389" s="3">
        <v>45558</v>
      </c>
      <c r="B389" s="2" t="s">
        <v>12</v>
      </c>
      <c r="C389" s="2">
        <v>18</v>
      </c>
      <c r="D389" s="2">
        <v>1</v>
      </c>
      <c r="E389" s="1">
        <v>0</v>
      </c>
      <c r="F389" s="1">
        <f>IF(E389 + F388 &lt; 0, E389 + F388, 0)</f>
        <v>0</v>
      </c>
      <c r="G389" s="1">
        <v>0</v>
      </c>
      <c r="H389" s="1">
        <f>IF(G389 + H388 &lt; 0, G389 + H388, 0)</f>
        <v>0</v>
      </c>
      <c r="I389" s="1">
        <v>0</v>
      </c>
      <c r="J389" s="1">
        <f>IF(I389 + J388 &lt; 0, I389 + J388, 0)</f>
        <v>0</v>
      </c>
      <c r="K389" s="1">
        <v>0</v>
      </c>
      <c r="L389" s="1">
        <f>IF(K389 + L388 &lt; 0, K389 + L388, 0)</f>
        <v>0</v>
      </c>
      <c r="M389" s="1">
        <v>-13187.70226537217</v>
      </c>
      <c r="N389" s="1">
        <f>IF(M389 + N388 &lt; 0, M389 + N388, 0)</f>
        <v>0</v>
      </c>
      <c r="O389" s="1">
        <v>-14704.6925566343</v>
      </c>
      <c r="P389" s="1">
        <f>IF(O389 + P388 &lt; 0, O389 + P388, 0)</f>
        <v>0</v>
      </c>
      <c r="Q389" s="1">
        <v>-107200.6472491909</v>
      </c>
      <c r="R389" s="1">
        <f>IF(Q389 + R388 &lt; 0, Q389 + R388, 0)</f>
        <v>0</v>
      </c>
      <c r="S389" s="1">
        <v>-171925.5663430421</v>
      </c>
      <c r="T389" s="1">
        <f>IF(S389 + T388 &lt; 0, S389 + T388, 0)</f>
        <v>0</v>
      </c>
    </row>
    <row r="390" spans="1:20" s="1" customFormat="1">
      <c r="A390" s="3">
        <v>45559</v>
      </c>
      <c r="B390" s="2" t="s">
        <v>13</v>
      </c>
      <c r="C390" s="2">
        <v>17</v>
      </c>
      <c r="D390" s="2">
        <v>22</v>
      </c>
      <c r="E390" s="1">
        <v>0</v>
      </c>
      <c r="F390" s="1">
        <f>IF(E390 + F389 &lt; 0, E390 + F389, 0)</f>
        <v>0</v>
      </c>
      <c r="G390" s="1">
        <v>0</v>
      </c>
      <c r="H390" s="1">
        <f>IF(G390 + H389 &lt; 0, G390 + H389, 0)</f>
        <v>0</v>
      </c>
      <c r="I390" s="1">
        <v>0</v>
      </c>
      <c r="J390" s="1">
        <f>IF(I390 + J389 &lt; 0, I390 + J389, 0)</f>
        <v>0</v>
      </c>
      <c r="K390" s="1">
        <v>0</v>
      </c>
      <c r="L390" s="1">
        <f>IF(K390 + L389 &lt; 0, K390 + L389, 0)</f>
        <v>0</v>
      </c>
      <c r="M390" s="1">
        <v>0</v>
      </c>
      <c r="N390" s="1">
        <f>IF(M390 + N389 &lt; 0, M390 + N389, 0)</f>
        <v>0</v>
      </c>
      <c r="O390" s="1">
        <v>0</v>
      </c>
      <c r="P390" s="1">
        <f>IF(O390 + P389 &lt; 0, O390 + P389, 0)</f>
        <v>0</v>
      </c>
      <c r="Q390" s="1">
        <v>0</v>
      </c>
      <c r="R390" s="1">
        <f>IF(Q390 + R389 &lt; 0, Q390 + R389, 0)</f>
        <v>0</v>
      </c>
      <c r="S390" s="1">
        <v>0</v>
      </c>
      <c r="T390" s="1">
        <f>IF(S390 + T389 &lt; 0, S390 + T389, 0)</f>
        <v>0</v>
      </c>
    </row>
    <row r="391" spans="1:20" s="1" customFormat="1">
      <c r="A391" s="3">
        <v>45560</v>
      </c>
      <c r="B391" s="2" t="s">
        <v>14</v>
      </c>
      <c r="C391" s="2">
        <v>16</v>
      </c>
      <c r="D391" s="2">
        <v>21</v>
      </c>
      <c r="E391" s="1">
        <v>0</v>
      </c>
      <c r="F391" s="1">
        <f>IF(E391 + F390 &lt; 0, E391 + F390, 0)</f>
        <v>0</v>
      </c>
      <c r="G391" s="1">
        <v>0</v>
      </c>
      <c r="H391" s="1">
        <f>IF(G391 + H390 &lt; 0, G391 + H390, 0)</f>
        <v>0</v>
      </c>
      <c r="I391" s="1">
        <v>0</v>
      </c>
      <c r="J391" s="1">
        <f>IF(I391 + J390 &lt; 0, I391 + J390, 0)</f>
        <v>0</v>
      </c>
      <c r="K391" s="1">
        <v>0</v>
      </c>
      <c r="L391" s="1">
        <f>IF(K391 + L390 &lt; 0, K391 + L390, 0)</f>
        <v>0</v>
      </c>
      <c r="M391" s="1">
        <v>0</v>
      </c>
      <c r="N391" s="1">
        <f>IF(M391 + N390 &lt; 0, M391 + N390, 0)</f>
        <v>0</v>
      </c>
      <c r="O391" s="1">
        <v>0</v>
      </c>
      <c r="P391" s="1">
        <f>IF(O391 + P390 &lt; 0, O391 + P390, 0)</f>
        <v>0</v>
      </c>
      <c r="Q391" s="1">
        <v>0</v>
      </c>
      <c r="R391" s="1">
        <f>IF(Q391 + R390 &lt; 0, Q391 + R390, 0)</f>
        <v>0</v>
      </c>
      <c r="S391" s="1">
        <v>0</v>
      </c>
      <c r="T391" s="1">
        <f>IF(S391 + T390 &lt; 0, S391 + T390, 0)</f>
        <v>0</v>
      </c>
    </row>
    <row r="392" spans="1:20" s="1" customFormat="1">
      <c r="A392" s="3">
        <v>45561</v>
      </c>
      <c r="B392" s="2" t="s">
        <v>16</v>
      </c>
      <c r="C392" s="2">
        <v>15</v>
      </c>
      <c r="D392" s="2">
        <v>20</v>
      </c>
      <c r="E392" s="1">
        <v>0</v>
      </c>
      <c r="F392" s="1">
        <f>IF(E392 + F391 &lt; 0, E392 + F391, 0)</f>
        <v>0</v>
      </c>
      <c r="G392" s="1">
        <v>0</v>
      </c>
      <c r="H392" s="1">
        <f>IF(G392 + H391 &lt; 0, G392 + H391, 0)</f>
        <v>0</v>
      </c>
      <c r="I392" s="1">
        <v>0</v>
      </c>
      <c r="J392" s="1">
        <f>IF(I392 + J391 &lt; 0, I392 + J391, 0)</f>
        <v>0</v>
      </c>
      <c r="K392" s="1">
        <v>0</v>
      </c>
      <c r="L392" s="1">
        <f>IF(K392 + L391 &lt; 0, K392 + L391, 0)</f>
        <v>0</v>
      </c>
      <c r="M392" s="1">
        <v>0</v>
      </c>
      <c r="N392" s="1">
        <f>IF(M392 + N391 &lt; 0, M392 + N391, 0)</f>
        <v>0</v>
      </c>
      <c r="O392" s="1">
        <v>0</v>
      </c>
      <c r="P392" s="1">
        <f>IF(O392 + P391 &lt; 0, O392 + P391, 0)</f>
        <v>0</v>
      </c>
      <c r="Q392" s="1">
        <v>0</v>
      </c>
      <c r="R392" s="1">
        <f>IF(Q392 + R391 &lt; 0, Q392 + R391, 0)</f>
        <v>0</v>
      </c>
      <c r="S392" s="1">
        <v>0</v>
      </c>
      <c r="T392" s="1">
        <f>IF(S392 + T391 &lt; 0, S392 + T391, 0)</f>
        <v>0</v>
      </c>
    </row>
    <row r="393" spans="1:20" s="1" customFormat="1">
      <c r="A393" s="3">
        <v>45562</v>
      </c>
      <c r="B393" s="2" t="s">
        <v>15</v>
      </c>
      <c r="C393" s="2">
        <v>14</v>
      </c>
      <c r="D393" s="2">
        <v>19</v>
      </c>
      <c r="E393" s="1">
        <v>0</v>
      </c>
      <c r="F393" s="1">
        <f>IF(E393 + F392 &lt; 0, E393 + F392, 0)</f>
        <v>0</v>
      </c>
      <c r="G393" s="1">
        <v>0</v>
      </c>
      <c r="H393" s="1">
        <f>IF(G393 + H392 &lt; 0, G393 + H392, 0)</f>
        <v>0</v>
      </c>
      <c r="I393" s="1">
        <v>0</v>
      </c>
      <c r="J393" s="1">
        <f>IF(I393 + J392 &lt; 0, I393 + J392, 0)</f>
        <v>0</v>
      </c>
      <c r="K393" s="1">
        <v>0</v>
      </c>
      <c r="L393" s="1">
        <f>IF(K393 + L392 &lt; 0, K393 + L392, 0)</f>
        <v>0</v>
      </c>
      <c r="M393" s="1">
        <v>0</v>
      </c>
      <c r="N393" s="1">
        <f>IF(M393 + N392 &lt; 0, M393 + N392, 0)</f>
        <v>0</v>
      </c>
      <c r="O393" s="1">
        <v>0</v>
      </c>
      <c r="P393" s="1">
        <f>IF(O393 + P392 &lt; 0, O393 + P392, 0)</f>
        <v>0</v>
      </c>
      <c r="Q393" s="1">
        <v>0</v>
      </c>
      <c r="R393" s="1">
        <f>IF(Q393 + R392 &lt; 0, Q393 + R392, 0)</f>
        <v>0</v>
      </c>
      <c r="S393" s="1">
        <v>0</v>
      </c>
      <c r="T393" s="1">
        <f>IF(S393 + T392 &lt; 0, S393 + T392, 0)</f>
        <v>0</v>
      </c>
    </row>
    <row r="394" spans="1:20" s="1" customFormat="1">
      <c r="A394" s="3">
        <v>45565</v>
      </c>
      <c r="B394" s="2" t="s">
        <v>12</v>
      </c>
      <c r="C394" s="2">
        <v>13</v>
      </c>
      <c r="D394" s="2">
        <v>18</v>
      </c>
      <c r="E394" s="1">
        <v>0</v>
      </c>
      <c r="F394" s="1">
        <f>IF(E394 + F393 &lt; 0, E394 + F393, 0)</f>
        <v>0</v>
      </c>
      <c r="G394" s="1">
        <v>0</v>
      </c>
      <c r="H394" s="1">
        <f>IF(G394 + H393 &lt; 0, G394 + H393, 0)</f>
        <v>0</v>
      </c>
      <c r="I394" s="1">
        <v>0</v>
      </c>
      <c r="J394" s="1">
        <f>IF(I394 + J393 &lt; 0, I394 + J393, 0)</f>
        <v>0</v>
      </c>
      <c r="K394" s="1">
        <v>0</v>
      </c>
      <c r="L394" s="1">
        <f>IF(K394 + L393 &lt; 0, K394 + L393, 0)</f>
        <v>0</v>
      </c>
      <c r="M394" s="1">
        <v>0</v>
      </c>
      <c r="N394" s="1">
        <f>IF(M394 + N393 &lt; 0, M394 + N393, 0)</f>
        <v>0</v>
      </c>
      <c r="O394" s="1">
        <v>0</v>
      </c>
      <c r="P394" s="1">
        <f>IF(O394 + P393 &lt; 0, O394 + P393, 0)</f>
        <v>0</v>
      </c>
      <c r="Q394" s="1">
        <v>0</v>
      </c>
      <c r="R394" s="1">
        <f>IF(Q394 + R393 &lt; 0, Q394 + R393, 0)</f>
        <v>0</v>
      </c>
      <c r="S394" s="1">
        <v>0</v>
      </c>
      <c r="T394" s="1">
        <f>IF(S394 + T393 &lt; 0, S394 + T393, 0)</f>
        <v>0</v>
      </c>
    </row>
    <row r="395" spans="1:20" s="1" customFormat="1">
      <c r="A395" s="3">
        <v>45566</v>
      </c>
      <c r="B395" s="2" t="s">
        <v>13</v>
      </c>
      <c r="C395" s="2">
        <v>12</v>
      </c>
      <c r="D395" s="2">
        <v>17</v>
      </c>
      <c r="E395" s="1">
        <v>0</v>
      </c>
      <c r="F395" s="1">
        <f>IF(E395 + F394 &lt; 0, E395 + F394, 0)</f>
        <v>0</v>
      </c>
      <c r="G395" s="1">
        <v>0</v>
      </c>
      <c r="H395" s="1">
        <f>IF(G395 + H394 &lt; 0, G395 + H394, 0)</f>
        <v>0</v>
      </c>
      <c r="I395" s="1">
        <v>0</v>
      </c>
      <c r="J395" s="1">
        <f>IF(I395 + J394 &lt; 0, I395 + J394, 0)</f>
        <v>0</v>
      </c>
      <c r="K395" s="1">
        <v>0</v>
      </c>
      <c r="L395" s="1">
        <f>IF(K395 + L394 &lt; 0, K395 + L394, 0)</f>
        <v>0</v>
      </c>
      <c r="M395" s="1">
        <v>0</v>
      </c>
      <c r="N395" s="1">
        <f>IF(M395 + N394 &lt; 0, M395 + N394, 0)</f>
        <v>0</v>
      </c>
      <c r="O395" s="1">
        <v>0</v>
      </c>
      <c r="P395" s="1">
        <f>IF(O395 + P394 &lt; 0, O395 + P394, 0)</f>
        <v>0</v>
      </c>
      <c r="Q395" s="1">
        <v>0</v>
      </c>
      <c r="R395" s="1">
        <f>IF(Q395 + R394 &lt; 0, Q395 + R394, 0)</f>
        <v>0</v>
      </c>
      <c r="S395" s="1">
        <v>0</v>
      </c>
      <c r="T395" s="1">
        <f>IF(S395 + T394 &lt; 0, S395 + T394, 0)</f>
        <v>0</v>
      </c>
    </row>
    <row r="396" spans="1:20" s="1" customFormat="1">
      <c r="A396" s="3">
        <v>45568</v>
      </c>
      <c r="B396" s="2" t="s">
        <v>16</v>
      </c>
      <c r="C396" s="2">
        <v>11</v>
      </c>
      <c r="D396" s="2">
        <v>16</v>
      </c>
      <c r="E396" s="1">
        <v>0</v>
      </c>
      <c r="F396" s="1">
        <f>IF(E396 + F395 &lt; 0, E396 + F395, 0)</f>
        <v>0</v>
      </c>
      <c r="G396" s="1">
        <v>0</v>
      </c>
      <c r="H396" s="1">
        <f>IF(G396 + H395 &lt; 0, G396 + H395, 0)</f>
        <v>0</v>
      </c>
      <c r="I396" s="1">
        <v>0</v>
      </c>
      <c r="J396" s="1">
        <f>IF(I396 + J395 &lt; 0, I396 + J395, 0)</f>
        <v>0</v>
      </c>
      <c r="K396" s="1">
        <v>0</v>
      </c>
      <c r="L396" s="1">
        <f>IF(K396 + L395 &lt; 0, K396 + L395, 0)</f>
        <v>0</v>
      </c>
      <c r="M396" s="1">
        <v>0</v>
      </c>
      <c r="N396" s="1">
        <f>IF(M396 + N395 &lt; 0, M396 + N395, 0)</f>
        <v>0</v>
      </c>
      <c r="O396" s="1">
        <v>0</v>
      </c>
      <c r="P396" s="1">
        <f>IF(O396 + P395 &lt; 0, O396 + P395, 0)</f>
        <v>0</v>
      </c>
      <c r="Q396" s="1">
        <v>0</v>
      </c>
      <c r="R396" s="1">
        <f>IF(Q396 + R395 &lt; 0, Q396 + R395, 0)</f>
        <v>0</v>
      </c>
      <c r="S396" s="1">
        <v>0</v>
      </c>
      <c r="T396" s="1">
        <f>IF(S396 + T395 &lt; 0, S396 + T395, 0)</f>
        <v>0</v>
      </c>
    </row>
    <row r="397" spans="1:20" s="1" customFormat="1">
      <c r="A397" s="3">
        <v>45569</v>
      </c>
      <c r="B397" s="2" t="s">
        <v>15</v>
      </c>
      <c r="C397" s="2">
        <v>10</v>
      </c>
      <c r="D397" s="2">
        <v>15</v>
      </c>
      <c r="E397" s="1">
        <v>233060.6723050459</v>
      </c>
      <c r="F397" s="1">
        <f>IF(E397 + F396 &lt; 0, E397 + F396, 0)</f>
        <v>0</v>
      </c>
      <c r="G397" s="1">
        <v>233060.6723050459</v>
      </c>
      <c r="H397" s="1">
        <f>IF(G397 + H396 &lt; 0, G397 + H396, 0)</f>
        <v>0</v>
      </c>
      <c r="I397" s="1">
        <v>233060.6723050459</v>
      </c>
      <c r="J397" s="1">
        <f>IF(I397 + J396 &lt; 0, I397 + J396, 0)</f>
        <v>0</v>
      </c>
      <c r="K397" s="1">
        <v>233060.6723050459</v>
      </c>
      <c r="L397" s="1">
        <f>IF(K397 + L396 &lt; 0, K397 + L396, 0)</f>
        <v>0</v>
      </c>
      <c r="M397" s="1">
        <v>0</v>
      </c>
      <c r="N397" s="1">
        <f>IF(M397 + N396 &lt; 0, M397 + N396, 0)</f>
        <v>0</v>
      </c>
      <c r="O397" s="1">
        <v>0</v>
      </c>
      <c r="P397" s="1">
        <f>IF(O397 + P396 &lt; 0, O397 + P396, 0)</f>
        <v>0</v>
      </c>
      <c r="Q397" s="1">
        <v>0</v>
      </c>
      <c r="R397" s="1">
        <f>IF(Q397 + R396 &lt; 0, Q397 + R396, 0)</f>
        <v>0</v>
      </c>
      <c r="S397" s="1">
        <v>0</v>
      </c>
      <c r="T397" s="1">
        <f>IF(S397 + T396 &lt; 0, S397 + T396, 0)</f>
        <v>0</v>
      </c>
    </row>
    <row r="398" spans="1:20" s="1" customFormat="1">
      <c r="A398" s="3">
        <v>45572</v>
      </c>
      <c r="B398" s="2" t="s">
        <v>12</v>
      </c>
      <c r="C398" s="2">
        <v>9</v>
      </c>
      <c r="D398" s="2">
        <v>14</v>
      </c>
      <c r="E398" s="1">
        <v>44501.40624443732</v>
      </c>
      <c r="F398" s="1">
        <f>IF(E398 + F397 &lt; 0, E398 + F397, 0)</f>
        <v>0</v>
      </c>
      <c r="G398" s="1">
        <v>44501.40624443732</v>
      </c>
      <c r="H398" s="1">
        <f>IF(G398 + H397 &lt; 0, G398 + H397, 0)</f>
        <v>0</v>
      </c>
      <c r="I398" s="1">
        <v>44501.40624443732</v>
      </c>
      <c r="J398" s="1">
        <f>IF(I398 + J397 &lt; 0, I398 + J397, 0)</f>
        <v>0</v>
      </c>
      <c r="K398" s="1">
        <v>44501.40624443732</v>
      </c>
      <c r="L398" s="1">
        <f>IF(K398 + L397 &lt; 0, K398 + L397, 0)</f>
        <v>0</v>
      </c>
      <c r="M398" s="1">
        <v>0</v>
      </c>
      <c r="N398" s="1">
        <f>IF(M398 + N397 &lt; 0, M398 + N397, 0)</f>
        <v>0</v>
      </c>
      <c r="O398" s="1">
        <v>0</v>
      </c>
      <c r="P398" s="1">
        <f>IF(O398 + P397 &lt; 0, O398 + P397, 0)</f>
        <v>0</v>
      </c>
      <c r="Q398" s="1">
        <v>0</v>
      </c>
      <c r="R398" s="1">
        <f>IF(Q398 + R397 &lt; 0, Q398 + R397, 0)</f>
        <v>0</v>
      </c>
      <c r="S398" s="1">
        <v>0</v>
      </c>
      <c r="T398" s="1">
        <f>IF(S398 + T397 &lt; 0, S398 + T397, 0)</f>
        <v>0</v>
      </c>
    </row>
    <row r="399" spans="1:20" s="1" customFormat="1">
      <c r="A399" s="3">
        <v>45573</v>
      </c>
      <c r="B399" s="2" t="s">
        <v>13</v>
      </c>
      <c r="C399" s="2">
        <v>8</v>
      </c>
      <c r="D399" s="2">
        <v>13</v>
      </c>
      <c r="E399" s="1">
        <v>71950.60483870968</v>
      </c>
      <c r="F399" s="1">
        <f>IF(E399 + F398 &lt; 0, E399 + F398, 0)</f>
        <v>0</v>
      </c>
      <c r="G399" s="1">
        <v>741972.8517797552</v>
      </c>
      <c r="H399" s="1">
        <f>IF(G399 + H398 &lt; 0, G399 + H398, 0)</f>
        <v>0</v>
      </c>
      <c r="I399" s="1">
        <v>741972.8517797552</v>
      </c>
      <c r="J399" s="1">
        <f>IF(I399 + J398 &lt; 0, I399 + J398, 0)</f>
        <v>0</v>
      </c>
      <c r="K399" s="1">
        <v>741972.8517797552</v>
      </c>
      <c r="L399" s="1">
        <f>IF(K399 + L398 &lt; 0, K399 + L398, 0)</f>
        <v>0</v>
      </c>
      <c r="M399" s="1">
        <v>0</v>
      </c>
      <c r="N399" s="1">
        <f>IF(M399 + N398 &lt; 0, M399 + N398, 0)</f>
        <v>0</v>
      </c>
      <c r="O399" s="1">
        <v>0</v>
      </c>
      <c r="P399" s="1">
        <f>IF(O399 + P398 &lt; 0, O399 + P398, 0)</f>
        <v>0</v>
      </c>
      <c r="Q399" s="1">
        <v>0</v>
      </c>
      <c r="R399" s="1">
        <f>IF(Q399 + R398 &lt; 0, Q399 + R398, 0)</f>
        <v>0</v>
      </c>
      <c r="S399" s="1">
        <v>0</v>
      </c>
      <c r="T399" s="1">
        <f>IF(S399 + T398 &lt; 0, S399 + T398, 0)</f>
        <v>0</v>
      </c>
    </row>
    <row r="400" spans="1:20" s="1" customFormat="1">
      <c r="A400" s="3">
        <v>45574</v>
      </c>
      <c r="B400" s="2" t="s">
        <v>14</v>
      </c>
      <c r="C400" s="2">
        <v>7</v>
      </c>
      <c r="D400" s="2">
        <v>12</v>
      </c>
      <c r="E400" s="1">
        <v>58832.48004009882</v>
      </c>
      <c r="F400" s="1">
        <f>IF(E400 + F399 &lt; 0, E400 + F399, 0)</f>
        <v>0</v>
      </c>
      <c r="G400" s="1">
        <v>58832.48004009882</v>
      </c>
      <c r="H400" s="1">
        <f>IF(G400 + H399 &lt; 0, G400 + H399, 0)</f>
        <v>0</v>
      </c>
      <c r="I400" s="1">
        <v>58832.48004009882</v>
      </c>
      <c r="J400" s="1">
        <f>IF(I400 + J399 &lt; 0, I400 + J399, 0)</f>
        <v>0</v>
      </c>
      <c r="K400" s="1">
        <v>58832.48004009882</v>
      </c>
      <c r="L400" s="1">
        <f>IF(K400 + L399 &lt; 0, K400 + L399, 0)</f>
        <v>0</v>
      </c>
      <c r="M400" s="1">
        <v>0</v>
      </c>
      <c r="N400" s="1">
        <f>IF(M400 + N399 &lt; 0, M400 + N399, 0)</f>
        <v>0</v>
      </c>
      <c r="O400" s="1">
        <v>0</v>
      </c>
      <c r="P400" s="1">
        <f>IF(O400 + P399 &lt; 0, O400 + P399, 0)</f>
        <v>0</v>
      </c>
      <c r="Q400" s="1">
        <v>0</v>
      </c>
      <c r="R400" s="1">
        <f>IF(Q400 + R399 &lt; 0, Q400 + R399, 0)</f>
        <v>0</v>
      </c>
      <c r="S400" s="1">
        <v>0</v>
      </c>
      <c r="T400" s="1">
        <f>IF(S400 + T399 &lt; 0, S400 + T399, 0)</f>
        <v>0</v>
      </c>
    </row>
    <row r="401" spans="1:20" s="1" customFormat="1">
      <c r="A401" s="3">
        <v>45575</v>
      </c>
      <c r="B401" s="2" t="s">
        <v>16</v>
      </c>
      <c r="C401" s="2">
        <v>6</v>
      </c>
      <c r="D401" s="2">
        <v>11</v>
      </c>
      <c r="E401" s="1">
        <v>-131121.1686682201</v>
      </c>
      <c r="F401" s="1">
        <f>IF(E401 + F400 &lt; 0, E401 + F400, 0)</f>
        <v>0</v>
      </c>
      <c r="G401" s="1">
        <v>-224153.0740276035</v>
      </c>
      <c r="H401" s="1">
        <f>IF(G401 + H400 &lt; 0, G401 + H400, 0)</f>
        <v>0</v>
      </c>
      <c r="I401" s="1">
        <v>-224153.0740276035</v>
      </c>
      <c r="J401" s="1">
        <f>IF(I401 + J400 &lt; 0, I401 + J400, 0)</f>
        <v>0</v>
      </c>
      <c r="K401" s="1">
        <v>-224153.0740276035</v>
      </c>
      <c r="L401" s="1">
        <f>IF(K401 + L400 &lt; 0, K401 + L400, 0)</f>
        <v>0</v>
      </c>
      <c r="M401" s="1">
        <v>0</v>
      </c>
      <c r="N401" s="1">
        <f>IF(M401 + N400 &lt; 0, M401 + N400, 0)</f>
        <v>0</v>
      </c>
      <c r="O401" s="1">
        <v>0</v>
      </c>
      <c r="P401" s="1">
        <f>IF(O401 + P400 &lt; 0, O401 + P400, 0)</f>
        <v>0</v>
      </c>
      <c r="Q401" s="1">
        <v>0</v>
      </c>
      <c r="R401" s="1">
        <f>IF(Q401 + R400 &lt; 0, Q401 + R400, 0)</f>
        <v>0</v>
      </c>
      <c r="S401" s="1">
        <v>0</v>
      </c>
      <c r="T401" s="1">
        <f>IF(S401 + T400 &lt; 0, S401 + T400, 0)</f>
        <v>0</v>
      </c>
    </row>
    <row r="402" spans="1:20" s="1" customFormat="1">
      <c r="A402" s="3">
        <v>45576</v>
      </c>
      <c r="B402" s="2" t="s">
        <v>15</v>
      </c>
      <c r="C402" s="2">
        <v>5</v>
      </c>
      <c r="D402" s="2">
        <v>10</v>
      </c>
      <c r="E402" s="1">
        <v>9161.892118501955</v>
      </c>
      <c r="F402" s="1">
        <f>IF(E402 + F401 &lt; 0, E402 + F401, 0)</f>
        <v>0</v>
      </c>
      <c r="G402" s="1">
        <v>9161.892118501955</v>
      </c>
      <c r="H402" s="1">
        <f>IF(G402 + H401 &lt; 0, G402 + H401, 0)</f>
        <v>0</v>
      </c>
      <c r="I402" s="1">
        <v>9161.892118501955</v>
      </c>
      <c r="J402" s="1">
        <f>IF(I402 + J401 &lt; 0, I402 + J401, 0)</f>
        <v>0</v>
      </c>
      <c r="K402" s="1">
        <v>9161.892118501955</v>
      </c>
      <c r="L402" s="1">
        <f>IF(K402 + L401 &lt; 0, K402 + L401, 0)</f>
        <v>0</v>
      </c>
      <c r="M402" s="1">
        <v>0</v>
      </c>
      <c r="N402" s="1">
        <f>IF(M402 + N401 &lt; 0, M402 + N401, 0)</f>
        <v>0</v>
      </c>
      <c r="O402" s="1">
        <v>0</v>
      </c>
      <c r="P402" s="1">
        <f>IF(O402 + P401 &lt; 0, O402 + P401, 0)</f>
        <v>0</v>
      </c>
      <c r="Q402" s="1">
        <v>0</v>
      </c>
      <c r="R402" s="1">
        <f>IF(Q402 + R401 &lt; 0, Q402 + R401, 0)</f>
        <v>0</v>
      </c>
      <c r="S402" s="1">
        <v>0</v>
      </c>
      <c r="T402" s="1">
        <f>IF(S402 + T401 &lt; 0, S402 + T401, 0)</f>
        <v>0</v>
      </c>
    </row>
    <row r="403" spans="1:20" s="1" customFormat="1">
      <c r="A403" s="3">
        <v>45579</v>
      </c>
      <c r="B403" s="2" t="s">
        <v>12</v>
      </c>
      <c r="C403" s="2">
        <v>4</v>
      </c>
      <c r="D403" s="2">
        <v>9</v>
      </c>
      <c r="E403" s="1">
        <v>248200.8479067303</v>
      </c>
      <c r="F403" s="1">
        <f>IF(E403 + F402 &lt; 0, E403 + F402, 0)</f>
        <v>0</v>
      </c>
      <c r="G403" s="1">
        <v>248200.8479067303</v>
      </c>
      <c r="H403" s="1">
        <f>IF(G403 + H402 &lt; 0, G403 + H402, 0)</f>
        <v>0</v>
      </c>
      <c r="I403" s="1">
        <v>248200.8479067303</v>
      </c>
      <c r="J403" s="1">
        <f>IF(I403 + J402 &lt; 0, I403 + J402, 0)</f>
        <v>0</v>
      </c>
      <c r="K403" s="1">
        <v>248200.8479067303</v>
      </c>
      <c r="L403" s="1">
        <f>IF(K403 + L402 &lt; 0, K403 + L402, 0)</f>
        <v>0</v>
      </c>
      <c r="M403" s="1">
        <v>0</v>
      </c>
      <c r="N403" s="1">
        <f>IF(M403 + N402 &lt; 0, M403 + N402, 0)</f>
        <v>0</v>
      </c>
      <c r="O403" s="1">
        <v>0</v>
      </c>
      <c r="P403" s="1">
        <f>IF(O403 + P402 &lt; 0, O403 + P402, 0)</f>
        <v>0</v>
      </c>
      <c r="Q403" s="1">
        <v>0</v>
      </c>
      <c r="R403" s="1">
        <f>IF(Q403 + R402 &lt; 0, Q403 + R402, 0)</f>
        <v>0</v>
      </c>
      <c r="S403" s="1">
        <v>0</v>
      </c>
      <c r="T403" s="1">
        <f>IF(S403 + T402 &lt; 0, S403 + T402, 0)</f>
        <v>0</v>
      </c>
    </row>
    <row r="404" spans="1:20" s="1" customFormat="1">
      <c r="A404" s="3">
        <v>45580</v>
      </c>
      <c r="B404" s="2" t="s">
        <v>13</v>
      </c>
      <c r="C404" s="2">
        <v>3</v>
      </c>
      <c r="D404" s="2">
        <v>8</v>
      </c>
      <c r="E404" s="1">
        <v>134780.0521847782</v>
      </c>
      <c r="F404" s="1">
        <f>IF(E404 + F403 &lt; 0, E404 + F403, 0)</f>
        <v>0</v>
      </c>
      <c r="G404" s="1">
        <v>134780.0521847782</v>
      </c>
      <c r="H404" s="1">
        <f>IF(G404 + H403 &lt; 0, G404 + H403, 0)</f>
        <v>0</v>
      </c>
      <c r="I404" s="1">
        <v>134780.0521847782</v>
      </c>
      <c r="J404" s="1">
        <f>IF(I404 + J403 &lt; 0, I404 + J403, 0)</f>
        <v>0</v>
      </c>
      <c r="K404" s="1">
        <v>134780.0521847782</v>
      </c>
      <c r="L404" s="1">
        <f>IF(K404 + L403 &lt; 0, K404 + L403, 0)</f>
        <v>0</v>
      </c>
      <c r="M404" s="1">
        <v>0</v>
      </c>
      <c r="N404" s="1">
        <f>IF(M404 + N403 &lt; 0, M404 + N403, 0)</f>
        <v>0</v>
      </c>
      <c r="O404" s="1">
        <v>0</v>
      </c>
      <c r="P404" s="1">
        <f>IF(O404 + P403 &lt; 0, O404 + P403, 0)</f>
        <v>0</v>
      </c>
      <c r="Q404" s="1">
        <v>0</v>
      </c>
      <c r="R404" s="1">
        <f>IF(Q404 + R403 &lt; 0, Q404 + R403, 0)</f>
        <v>0</v>
      </c>
      <c r="S404" s="1">
        <v>0</v>
      </c>
      <c r="T404" s="1">
        <f>IF(S404 + T403 &lt; 0, S404 + T403, 0)</f>
        <v>0</v>
      </c>
    </row>
    <row r="405" spans="1:20" s="1" customFormat="1">
      <c r="A405" s="3">
        <v>45581</v>
      </c>
      <c r="B405" s="2" t="s">
        <v>14</v>
      </c>
      <c r="C405" s="2">
        <v>2</v>
      </c>
      <c r="D405" s="2">
        <v>7</v>
      </c>
      <c r="E405" s="1">
        <v>257499.1602284179</v>
      </c>
      <c r="F405" s="1">
        <f>IF(E405 + F404 &lt; 0, E405 + F404, 0)</f>
        <v>0</v>
      </c>
      <c r="G405" s="1">
        <v>257499.1602284179</v>
      </c>
      <c r="H405" s="1">
        <f>IF(G405 + H404 &lt; 0, G405 + H404, 0)</f>
        <v>0</v>
      </c>
      <c r="I405" s="1">
        <v>257499.1602284179</v>
      </c>
      <c r="J405" s="1">
        <f>IF(I405 + J404 &lt; 0, I405 + J404, 0)</f>
        <v>0</v>
      </c>
      <c r="K405" s="1">
        <v>257499.1602284179</v>
      </c>
      <c r="L405" s="1">
        <f>IF(K405 + L404 &lt; 0, K405 + L404, 0)</f>
        <v>0</v>
      </c>
      <c r="M405" s="1">
        <v>0</v>
      </c>
      <c r="N405" s="1">
        <f>IF(M405 + N404 &lt; 0, M405 + N404, 0)</f>
        <v>0</v>
      </c>
      <c r="O405" s="1">
        <v>0</v>
      </c>
      <c r="P405" s="1">
        <f>IF(O405 + P404 &lt; 0, O405 + P404, 0)</f>
        <v>0</v>
      </c>
      <c r="Q405" s="1">
        <v>0</v>
      </c>
      <c r="R405" s="1">
        <f>IF(Q405 + R404 &lt; 0, Q405 + R404, 0)</f>
        <v>0</v>
      </c>
      <c r="S405" s="1">
        <v>0</v>
      </c>
      <c r="T405" s="1">
        <f>IF(S405 + T404 &lt; 0, S405 + T404, 0)</f>
        <v>0</v>
      </c>
    </row>
    <row r="406" spans="1:20" s="1" customFormat="1">
      <c r="A406" s="3">
        <v>45582</v>
      </c>
      <c r="B406" s="2" t="s">
        <v>16</v>
      </c>
      <c r="C406" s="2">
        <v>1</v>
      </c>
      <c r="D406" s="2">
        <v>6</v>
      </c>
      <c r="E406" s="1">
        <v>-96477.58291889465</v>
      </c>
      <c r="F406" s="1">
        <f>IF(E406 + F405 &lt; 0, E406 + F405, 0)</f>
        <v>0</v>
      </c>
      <c r="G406" s="1">
        <v>253992.6335863591</v>
      </c>
      <c r="H406" s="1">
        <f>IF(G406 + H405 &lt; 0, G406 + H405, 0)</f>
        <v>0</v>
      </c>
      <c r="I406" s="1">
        <v>253992.6335863591</v>
      </c>
      <c r="J406" s="1">
        <f>IF(I406 + J405 &lt; 0, I406 + J405, 0)</f>
        <v>0</v>
      </c>
      <c r="K406" s="1">
        <v>253992.6335863591</v>
      </c>
      <c r="L406" s="1">
        <f>IF(K406 + L405 &lt; 0, K406 + L405, 0)</f>
        <v>0</v>
      </c>
      <c r="M406" s="1">
        <v>73290.24186822351</v>
      </c>
      <c r="N406" s="1">
        <f>IF(M406 + N405 &lt; 0, M406 + N405, 0)</f>
        <v>0</v>
      </c>
      <c r="O406" s="1">
        <v>73290.24186822351</v>
      </c>
      <c r="P406" s="1">
        <f>IF(O406 + P405 &lt; 0, O406 + P405, 0)</f>
        <v>0</v>
      </c>
      <c r="Q406" s="1">
        <v>73290.24186822351</v>
      </c>
      <c r="R406" s="1">
        <f>IF(Q406 + R405 &lt; 0, Q406 + R405, 0)</f>
        <v>0</v>
      </c>
      <c r="S406" s="1">
        <v>73290.24186822351</v>
      </c>
      <c r="T406" s="1">
        <f>IF(S406 + T405 &lt; 0, S406 + T405, 0)</f>
        <v>0</v>
      </c>
    </row>
    <row r="407" spans="1:20" s="1" customFormat="1">
      <c r="A407" s="3">
        <v>45583</v>
      </c>
      <c r="B407" s="2" t="s">
        <v>15</v>
      </c>
      <c r="C407" s="2">
        <v>21</v>
      </c>
      <c r="D407" s="2">
        <v>5</v>
      </c>
      <c r="E407" s="1">
        <v>0</v>
      </c>
      <c r="F407" s="1">
        <f>IF(E407 + F406 &lt; 0, E407 + F406, 0)</f>
        <v>0</v>
      </c>
      <c r="G407" s="1">
        <v>0</v>
      </c>
      <c r="H407" s="1">
        <f>IF(G407 + H406 &lt; 0, G407 + H406, 0)</f>
        <v>0</v>
      </c>
      <c r="I407" s="1">
        <v>0</v>
      </c>
      <c r="J407" s="1">
        <f>IF(I407 + J406 &lt; 0, I407 + J406, 0)</f>
        <v>0</v>
      </c>
      <c r="K407" s="1">
        <v>0</v>
      </c>
      <c r="L407" s="1">
        <f>IF(K407 + L406 &lt; 0, K407 + L406, 0)</f>
        <v>0</v>
      </c>
      <c r="M407" s="1">
        <v>-37505.26759376316</v>
      </c>
      <c r="N407" s="1">
        <f>IF(M407 + N406 &lt; 0, M407 + N406, 0)</f>
        <v>0</v>
      </c>
      <c r="O407" s="1">
        <v>-37505.26759376316</v>
      </c>
      <c r="P407" s="1">
        <f>IF(O407 + P406 &lt; 0, O407 + P406, 0)</f>
        <v>0</v>
      </c>
      <c r="Q407" s="1">
        <v>-37505.26759376316</v>
      </c>
      <c r="R407" s="1">
        <f>IF(Q407 + R406 &lt; 0, Q407 + R406, 0)</f>
        <v>0</v>
      </c>
      <c r="S407" s="1">
        <v>-37505.26759376316</v>
      </c>
      <c r="T407" s="1">
        <f>IF(S407 + T406 &lt; 0, S407 + T406, 0)</f>
        <v>0</v>
      </c>
    </row>
    <row r="408" spans="1:20" s="1" customFormat="1">
      <c r="A408" s="3">
        <v>45586</v>
      </c>
      <c r="B408" s="2" t="s">
        <v>12</v>
      </c>
      <c r="C408" s="2">
        <v>20</v>
      </c>
      <c r="D408" s="2">
        <v>4</v>
      </c>
      <c r="E408" s="1">
        <v>0</v>
      </c>
      <c r="F408" s="1">
        <f>IF(E408 + F407 &lt; 0, E408 + F407, 0)</f>
        <v>0</v>
      </c>
      <c r="G408" s="1">
        <v>0</v>
      </c>
      <c r="H408" s="1">
        <f>IF(G408 + H407 &lt; 0, G408 + H407, 0)</f>
        <v>0</v>
      </c>
      <c r="I408" s="1">
        <v>0</v>
      </c>
      <c r="J408" s="1">
        <f>IF(I408 + J407 &lt; 0, I408 + J407, 0)</f>
        <v>0</v>
      </c>
      <c r="K408" s="1">
        <v>0</v>
      </c>
      <c r="L408" s="1">
        <f>IF(K408 + L407 &lt; 0, K408 + L407, 0)</f>
        <v>0</v>
      </c>
      <c r="M408" s="1">
        <v>-16476.27416520211</v>
      </c>
      <c r="N408" s="1">
        <f>IF(M408 + N407 &lt; 0, M408 + N407, 0)</f>
        <v>0</v>
      </c>
      <c r="O408" s="1">
        <v>-16476.27416520211</v>
      </c>
      <c r="P408" s="1">
        <f>IF(O408 + P407 &lt; 0, O408 + P407, 0)</f>
        <v>0</v>
      </c>
      <c r="Q408" s="1">
        <v>-16476.27416520211</v>
      </c>
      <c r="R408" s="1">
        <f>IF(Q408 + R407 &lt; 0, Q408 + R407, 0)</f>
        <v>0</v>
      </c>
      <c r="S408" s="1">
        <v>-16476.27416520211</v>
      </c>
      <c r="T408" s="1">
        <f>IF(S408 + T407 &lt; 0, S408 + T407, 0)</f>
        <v>0</v>
      </c>
    </row>
    <row r="409" spans="1:20" s="1" customFormat="1">
      <c r="A409" s="3">
        <v>45587</v>
      </c>
      <c r="B409" s="2" t="s">
        <v>13</v>
      </c>
      <c r="C409" s="2">
        <v>19</v>
      </c>
      <c r="D409" s="2">
        <v>3</v>
      </c>
      <c r="E409" s="1">
        <v>0</v>
      </c>
      <c r="F409" s="1">
        <f>IF(E409 + F408 &lt; 0, E409 + F408, 0)</f>
        <v>0</v>
      </c>
      <c r="G409" s="1">
        <v>0</v>
      </c>
      <c r="H409" s="1">
        <f>IF(G409 + H408 &lt; 0, G409 + H408, 0)</f>
        <v>0</v>
      </c>
      <c r="I409" s="1">
        <v>0</v>
      </c>
      <c r="J409" s="1">
        <f>IF(I409 + J408 &lt; 0, I409 + J408, 0)</f>
        <v>0</v>
      </c>
      <c r="K409" s="1">
        <v>0</v>
      </c>
      <c r="L409" s="1">
        <f>IF(K409 + L408 &lt; 0, K409 + L408, 0)</f>
        <v>0</v>
      </c>
      <c r="M409" s="1">
        <v>94520.04219409279</v>
      </c>
      <c r="N409" s="1">
        <f>IF(M409 + N408 &lt; 0, M409 + N408, 0)</f>
        <v>0</v>
      </c>
      <c r="O409" s="1">
        <v>94520.04219409279</v>
      </c>
      <c r="P409" s="1">
        <f>IF(O409 + P408 &lt; 0, O409 + P408, 0)</f>
        <v>0</v>
      </c>
      <c r="Q409" s="1">
        <v>94520.04219409279</v>
      </c>
      <c r="R409" s="1">
        <f>IF(Q409 + R408 &lt; 0, Q409 + R408, 0)</f>
        <v>0</v>
      </c>
      <c r="S409" s="1">
        <v>94520.04219409279</v>
      </c>
      <c r="T409" s="1">
        <f>IF(S409 + T408 &lt; 0, S409 + T408, 0)</f>
        <v>0</v>
      </c>
    </row>
    <row r="410" spans="1:20" s="1" customFormat="1">
      <c r="A410" s="3">
        <v>45588</v>
      </c>
      <c r="B410" s="2" t="s">
        <v>14</v>
      </c>
      <c r="C410" s="2">
        <v>18</v>
      </c>
      <c r="D410" s="2">
        <v>2</v>
      </c>
      <c r="E410" s="1">
        <v>0</v>
      </c>
      <c r="F410" s="1">
        <f>IF(E410 + F409 &lt; 0, E410 + F409, 0)</f>
        <v>0</v>
      </c>
      <c r="G410" s="1">
        <v>0</v>
      </c>
      <c r="H410" s="1">
        <f>IF(G410 + H409 &lt; 0, G410 + H409, 0)</f>
        <v>0</v>
      </c>
      <c r="I410" s="1">
        <v>0</v>
      </c>
      <c r="J410" s="1">
        <f>IF(I410 + J409 &lt; 0, I410 + J409, 0)</f>
        <v>0</v>
      </c>
      <c r="K410" s="1">
        <v>0</v>
      </c>
      <c r="L410" s="1">
        <f>IF(K410 + L409 &lt; 0, K410 + L409, 0)</f>
        <v>0</v>
      </c>
      <c r="M410" s="1">
        <v>14813.81833835557</v>
      </c>
      <c r="N410" s="1">
        <f>IF(M410 + N409 &lt; 0, M410 + N409, 0)</f>
        <v>0</v>
      </c>
      <c r="O410" s="1">
        <v>-106688.5492897116</v>
      </c>
      <c r="P410" s="1">
        <f>IF(O410 + P409 &lt; 0, O410 + P409, 0)</f>
        <v>0</v>
      </c>
      <c r="Q410" s="1">
        <v>-106688.5492897116</v>
      </c>
      <c r="R410" s="1">
        <f>IF(Q410 + R409 &lt; 0, Q410 + R409, 0)</f>
        <v>0</v>
      </c>
      <c r="S410" s="1">
        <v>-106688.5492897116</v>
      </c>
      <c r="T410" s="1">
        <f>IF(S410 + T409 &lt; 0, S410 + T409, 0)</f>
        <v>0</v>
      </c>
    </row>
    <row r="411" spans="1:20" s="1" customFormat="1">
      <c r="A411" s="3">
        <v>45589</v>
      </c>
      <c r="B411" s="2" t="s">
        <v>16</v>
      </c>
      <c r="C411" s="2">
        <v>17</v>
      </c>
      <c r="D411" s="2">
        <v>1</v>
      </c>
      <c r="E411" s="1">
        <v>0</v>
      </c>
      <c r="F411" s="1">
        <f>IF(E411 + F410 &lt; 0, E411 + F410, 0)</f>
        <v>0</v>
      </c>
      <c r="G411" s="1">
        <v>0</v>
      </c>
      <c r="H411" s="1">
        <f>IF(G411 + H410 &lt; 0, G411 + H410, 0)</f>
        <v>0</v>
      </c>
      <c r="I411" s="1">
        <v>0</v>
      </c>
      <c r="J411" s="1">
        <f>IF(I411 + J410 &lt; 0, I411 + J410, 0)</f>
        <v>0</v>
      </c>
      <c r="K411" s="1">
        <v>0</v>
      </c>
      <c r="L411" s="1">
        <f>IF(K411 + L410 &lt; 0, K411 + L410, 0)</f>
        <v>0</v>
      </c>
      <c r="M411" s="1">
        <v>-62184.1342170671</v>
      </c>
      <c r="N411" s="1">
        <f>IF(M411 + N410 &lt; 0, M411 + N410, 0)</f>
        <v>0</v>
      </c>
      <c r="O411" s="1">
        <v>-79789.76801988402</v>
      </c>
      <c r="P411" s="1">
        <f>IF(O411 + P410 &lt; 0, O411 + P410, 0)</f>
        <v>0</v>
      </c>
      <c r="Q411" s="1">
        <v>105607.9121789561</v>
      </c>
      <c r="R411" s="1">
        <f>IF(Q411 + R410 &lt; 0, Q411 + R410, 0)</f>
        <v>0</v>
      </c>
      <c r="S411" s="1">
        <v>105607.9121789561</v>
      </c>
      <c r="T411" s="1">
        <f>IF(S411 + T410 &lt; 0, S411 + T410, 0)</f>
        <v>0</v>
      </c>
    </row>
    <row r="412" spans="1:20" s="1" customFormat="1">
      <c r="A412" s="3">
        <v>45590</v>
      </c>
      <c r="B412" s="2" t="s">
        <v>15</v>
      </c>
      <c r="C412" s="2">
        <v>16</v>
      </c>
      <c r="D412" s="2">
        <v>20</v>
      </c>
      <c r="E412" s="1">
        <v>0</v>
      </c>
      <c r="F412" s="1">
        <f>IF(E412 + F411 &lt; 0, E412 + F411, 0)</f>
        <v>0</v>
      </c>
      <c r="G412" s="1">
        <v>0</v>
      </c>
      <c r="H412" s="1">
        <f>IF(G412 + H411 &lt; 0, G412 + H411, 0)</f>
        <v>0</v>
      </c>
      <c r="I412" s="1">
        <v>0</v>
      </c>
      <c r="J412" s="1">
        <f>IF(I412 + J411 &lt; 0, I412 + J411, 0)</f>
        <v>0</v>
      </c>
      <c r="K412" s="1">
        <v>0</v>
      </c>
      <c r="L412" s="1">
        <f>IF(K412 + L411 &lt; 0, K412 + L411, 0)</f>
        <v>0</v>
      </c>
      <c r="M412" s="1">
        <v>0</v>
      </c>
      <c r="N412" s="1">
        <f>IF(M412 + N411 &lt; 0, M412 + N411, 0)</f>
        <v>0</v>
      </c>
      <c r="O412" s="1">
        <v>0</v>
      </c>
      <c r="P412" s="1">
        <f>IF(O412 + P411 &lt; 0, O412 + P411, 0)</f>
        <v>0</v>
      </c>
      <c r="Q412" s="1">
        <v>0</v>
      </c>
      <c r="R412" s="1">
        <f>IF(Q412 + R411 &lt; 0, Q412 + R411, 0)</f>
        <v>0</v>
      </c>
      <c r="S412" s="1">
        <v>0</v>
      </c>
      <c r="T412" s="1">
        <f>IF(S412 + T411 &lt; 0, S412 + T411, 0)</f>
        <v>0</v>
      </c>
    </row>
    <row r="413" spans="1:20" s="1" customFormat="1">
      <c r="A413" s="3">
        <v>45593</v>
      </c>
      <c r="B413" s="2" t="s">
        <v>12</v>
      </c>
      <c r="C413" s="2">
        <v>15</v>
      </c>
      <c r="D413" s="2">
        <v>19</v>
      </c>
      <c r="E413" s="1">
        <v>0</v>
      </c>
      <c r="F413" s="1">
        <f>IF(E413 + F412 &lt; 0, E413 + F412, 0)</f>
        <v>0</v>
      </c>
      <c r="G413" s="1">
        <v>0</v>
      </c>
      <c r="H413" s="1">
        <f>IF(G413 + H412 &lt; 0, G413 + H412, 0)</f>
        <v>0</v>
      </c>
      <c r="I413" s="1">
        <v>0</v>
      </c>
      <c r="J413" s="1">
        <f>IF(I413 + J412 &lt; 0, I413 + J412, 0)</f>
        <v>0</v>
      </c>
      <c r="K413" s="1">
        <v>0</v>
      </c>
      <c r="L413" s="1">
        <f>IF(K413 + L412 &lt; 0, K413 + L412, 0)</f>
        <v>0</v>
      </c>
      <c r="M413" s="1">
        <v>0</v>
      </c>
      <c r="N413" s="1">
        <f>IF(M413 + N412 &lt; 0, M413 + N412, 0)</f>
        <v>0</v>
      </c>
      <c r="O413" s="1">
        <v>0</v>
      </c>
      <c r="P413" s="1">
        <f>IF(O413 + P412 &lt; 0, O413 + P412, 0)</f>
        <v>0</v>
      </c>
      <c r="Q413" s="1">
        <v>0</v>
      </c>
      <c r="R413" s="1">
        <f>IF(Q413 + R412 &lt; 0, Q413 + R412, 0)</f>
        <v>0</v>
      </c>
      <c r="S413" s="1">
        <v>0</v>
      </c>
      <c r="T413" s="1">
        <f>IF(S413 + T412 &lt; 0, S413 + T412, 0)</f>
        <v>0</v>
      </c>
    </row>
    <row r="414" spans="1:20" s="1" customFormat="1">
      <c r="A414" s="3">
        <v>45594</v>
      </c>
      <c r="B414" s="2" t="s">
        <v>13</v>
      </c>
      <c r="C414" s="2">
        <v>14</v>
      </c>
      <c r="D414" s="2">
        <v>18</v>
      </c>
      <c r="E414" s="1">
        <v>0</v>
      </c>
      <c r="F414" s="1">
        <f>IF(E414 + F413 &lt; 0, E414 + F413, 0)</f>
        <v>0</v>
      </c>
      <c r="G414" s="1">
        <v>0</v>
      </c>
      <c r="H414" s="1">
        <f>IF(G414 + H413 &lt; 0, G414 + H413, 0)</f>
        <v>0</v>
      </c>
      <c r="I414" s="1">
        <v>0</v>
      </c>
      <c r="J414" s="1">
        <f>IF(I414 + J413 &lt; 0, I414 + J413, 0)</f>
        <v>0</v>
      </c>
      <c r="K414" s="1">
        <v>0</v>
      </c>
      <c r="L414" s="1">
        <f>IF(K414 + L413 &lt; 0, K414 + L413, 0)</f>
        <v>0</v>
      </c>
      <c r="M414" s="1">
        <v>0</v>
      </c>
      <c r="N414" s="1">
        <f>IF(M414 + N413 &lt; 0, M414 + N413, 0)</f>
        <v>0</v>
      </c>
      <c r="O414" s="1">
        <v>0</v>
      </c>
      <c r="P414" s="1">
        <f>IF(O414 + P413 &lt; 0, O414 + P413, 0)</f>
        <v>0</v>
      </c>
      <c r="Q414" s="1">
        <v>0</v>
      </c>
      <c r="R414" s="1">
        <f>IF(Q414 + R413 &lt; 0, Q414 + R413, 0)</f>
        <v>0</v>
      </c>
      <c r="S414" s="1">
        <v>0</v>
      </c>
      <c r="T414" s="1">
        <f>IF(S414 + T413 &lt; 0, S414 + T413, 0)</f>
        <v>0</v>
      </c>
    </row>
    <row r="415" spans="1:20" s="1" customFormat="1">
      <c r="A415" s="3">
        <v>45595</v>
      </c>
      <c r="B415" s="2" t="s">
        <v>14</v>
      </c>
      <c r="C415" s="2">
        <v>13</v>
      </c>
      <c r="D415" s="2">
        <v>17</v>
      </c>
      <c r="E415" s="1">
        <v>0</v>
      </c>
      <c r="F415" s="1">
        <f>IF(E415 + F414 &lt; 0, E415 + F414, 0)</f>
        <v>0</v>
      </c>
      <c r="G415" s="1">
        <v>0</v>
      </c>
      <c r="H415" s="1">
        <f>IF(G415 + H414 &lt; 0, G415 + H414, 0)</f>
        <v>0</v>
      </c>
      <c r="I415" s="1">
        <v>0</v>
      </c>
      <c r="J415" s="1">
        <f>IF(I415 + J414 &lt; 0, I415 + J414, 0)</f>
        <v>0</v>
      </c>
      <c r="K415" s="1">
        <v>0</v>
      </c>
      <c r="L415" s="1">
        <f>IF(K415 + L414 &lt; 0, K415 + L414, 0)</f>
        <v>0</v>
      </c>
      <c r="M415" s="1">
        <v>0</v>
      </c>
      <c r="N415" s="1">
        <f>IF(M415 + N414 &lt; 0, M415 + N414, 0)</f>
        <v>0</v>
      </c>
      <c r="O415" s="1">
        <v>0</v>
      </c>
      <c r="P415" s="1">
        <f>IF(O415 + P414 &lt; 0, O415 + P414, 0)</f>
        <v>0</v>
      </c>
      <c r="Q415" s="1">
        <v>0</v>
      </c>
      <c r="R415" s="1">
        <f>IF(Q415 + R414 &lt; 0, Q415 + R414, 0)</f>
        <v>0</v>
      </c>
      <c r="S415" s="1">
        <v>0</v>
      </c>
      <c r="T415" s="1">
        <f>IF(S415 + T414 &lt; 0, S415 + T414, 0)</f>
        <v>0</v>
      </c>
    </row>
    <row r="416" spans="1:20" s="1" customFormat="1">
      <c r="A416" s="3">
        <v>45596</v>
      </c>
      <c r="B416" s="2" t="s">
        <v>16</v>
      </c>
      <c r="C416" s="2">
        <v>12</v>
      </c>
      <c r="D416" s="2">
        <v>16</v>
      </c>
      <c r="E416" s="1">
        <v>0</v>
      </c>
      <c r="F416" s="1">
        <f>IF(E416 + F415 &lt; 0, E416 + F415, 0)</f>
        <v>0</v>
      </c>
      <c r="G416" s="1">
        <v>0</v>
      </c>
      <c r="H416" s="1">
        <f>IF(G416 + H415 &lt; 0, G416 + H415, 0)</f>
        <v>0</v>
      </c>
      <c r="I416" s="1">
        <v>0</v>
      </c>
      <c r="J416" s="1">
        <f>IF(I416 + J415 &lt; 0, I416 + J415, 0)</f>
        <v>0</v>
      </c>
      <c r="K416" s="1">
        <v>0</v>
      </c>
      <c r="L416" s="1">
        <f>IF(K416 + L415 &lt; 0, K416 + L415, 0)</f>
        <v>0</v>
      </c>
      <c r="M416" s="1">
        <v>0</v>
      </c>
      <c r="N416" s="1">
        <f>IF(M416 + N415 &lt; 0, M416 + N415, 0)</f>
        <v>0</v>
      </c>
      <c r="O416" s="1">
        <v>0</v>
      </c>
      <c r="P416" s="1">
        <f>IF(O416 + P415 &lt; 0, O416 + P415, 0)</f>
        <v>0</v>
      </c>
      <c r="Q416" s="1">
        <v>0</v>
      </c>
      <c r="R416" s="1">
        <f>IF(Q416 + R415 &lt; 0, Q416 + R415, 0)</f>
        <v>0</v>
      </c>
      <c r="S416" s="1">
        <v>0</v>
      </c>
      <c r="T416" s="1">
        <f>IF(S416 + T415 &lt; 0, S416 + T415, 0)</f>
        <v>0</v>
      </c>
    </row>
    <row r="417" spans="1:20" s="1" customFormat="1">
      <c r="A417" s="3">
        <v>45597</v>
      </c>
      <c r="B417" s="2" t="s">
        <v>15</v>
      </c>
      <c r="C417" s="2">
        <v>11</v>
      </c>
      <c r="D417" s="2">
        <v>15</v>
      </c>
      <c r="E417" s="1">
        <v>0</v>
      </c>
      <c r="F417" s="1">
        <f>IF(E417 + F416 &lt; 0, E417 + F416, 0)</f>
        <v>0</v>
      </c>
      <c r="G417" s="1">
        <v>0</v>
      </c>
      <c r="H417" s="1">
        <f>IF(G417 + H416 &lt; 0, G417 + H416, 0)</f>
        <v>0</v>
      </c>
      <c r="I417" s="1">
        <v>0</v>
      </c>
      <c r="J417" s="1">
        <f>IF(I417 + J416 &lt; 0, I417 + J416, 0)</f>
        <v>0</v>
      </c>
      <c r="K417" s="1">
        <v>0</v>
      </c>
      <c r="L417" s="1">
        <f>IF(K417 + L416 &lt; 0, K417 + L416, 0)</f>
        <v>0</v>
      </c>
      <c r="M417" s="1">
        <v>0</v>
      </c>
      <c r="N417" s="1">
        <f>IF(M417 + N416 &lt; 0, M417 + N416, 0)</f>
        <v>0</v>
      </c>
      <c r="O417" s="1">
        <v>0</v>
      </c>
      <c r="P417" s="1">
        <f>IF(O417 + P416 &lt; 0, O417 + P416, 0)</f>
        <v>0</v>
      </c>
      <c r="Q417" s="1">
        <v>0</v>
      </c>
      <c r="R417" s="1">
        <f>IF(Q417 + R416 &lt; 0, Q417 + R416, 0)</f>
        <v>0</v>
      </c>
      <c r="S417" s="1">
        <v>0</v>
      </c>
      <c r="T417" s="1">
        <f>IF(S417 + T416 &lt; 0, S417 + T416, 0)</f>
        <v>0</v>
      </c>
    </row>
    <row r="418" spans="1:20" s="1" customFormat="1">
      <c r="A418" s="3">
        <v>45600</v>
      </c>
      <c r="B418" s="2" t="s">
        <v>12</v>
      </c>
      <c r="C418" s="2">
        <v>10</v>
      </c>
      <c r="D418" s="2">
        <v>14</v>
      </c>
      <c r="E418" s="1">
        <v>4001.047002954045</v>
      </c>
      <c r="F418" s="1">
        <f>IF(E418 + F417 &lt; 0, E418 + F417, 0)</f>
        <v>0</v>
      </c>
      <c r="G418" s="1">
        <v>4001.047002954045</v>
      </c>
      <c r="H418" s="1">
        <f>IF(G418 + H417 &lt; 0, G418 + H417, 0)</f>
        <v>0</v>
      </c>
      <c r="I418" s="1">
        <v>4001.047002954045</v>
      </c>
      <c r="J418" s="1">
        <f>IF(I418 + J417 &lt; 0, I418 + J417, 0)</f>
        <v>0</v>
      </c>
      <c r="K418" s="1">
        <v>4001.047002954045</v>
      </c>
      <c r="L418" s="1">
        <f>IF(K418 + L417 &lt; 0, K418 + L417, 0)</f>
        <v>0</v>
      </c>
      <c r="M418" s="1">
        <v>0</v>
      </c>
      <c r="N418" s="1">
        <f>IF(M418 + N417 &lt; 0, M418 + N417, 0)</f>
        <v>0</v>
      </c>
      <c r="O418" s="1">
        <v>0</v>
      </c>
      <c r="P418" s="1">
        <f>IF(O418 + P417 &lt; 0, O418 + P417, 0)</f>
        <v>0</v>
      </c>
      <c r="Q418" s="1">
        <v>0</v>
      </c>
      <c r="R418" s="1">
        <f>IF(Q418 + R417 &lt; 0, Q418 + R417, 0)</f>
        <v>0</v>
      </c>
      <c r="S418" s="1">
        <v>0</v>
      </c>
      <c r="T418" s="1">
        <f>IF(S418 + T417 &lt; 0, S418 + T417, 0)</f>
        <v>0</v>
      </c>
    </row>
    <row r="419" spans="1:20" s="1" customFormat="1">
      <c r="A419" s="3">
        <v>45601</v>
      </c>
      <c r="B419" s="2" t="s">
        <v>13</v>
      </c>
      <c r="C419" s="2">
        <v>9</v>
      </c>
      <c r="D419" s="2">
        <v>13</v>
      </c>
      <c r="E419" s="1">
        <v>102561.9743249225</v>
      </c>
      <c r="F419" s="1">
        <f>IF(E419 + F418 &lt; 0, E419 + F418, 0)</f>
        <v>0</v>
      </c>
      <c r="G419" s="1">
        <v>102561.9743249225</v>
      </c>
      <c r="H419" s="1">
        <f>IF(G419 + H418 &lt; 0, G419 + H418, 0)</f>
        <v>0</v>
      </c>
      <c r="I419" s="1">
        <v>102561.9743249225</v>
      </c>
      <c r="J419" s="1">
        <f>IF(I419 + J418 &lt; 0, I419 + J418, 0)</f>
        <v>0</v>
      </c>
      <c r="K419" s="1">
        <v>102561.9743249225</v>
      </c>
      <c r="L419" s="1">
        <f>IF(K419 + L418 &lt; 0, K419 + L418, 0)</f>
        <v>0</v>
      </c>
      <c r="M419" s="1">
        <v>0</v>
      </c>
      <c r="N419" s="1">
        <f>IF(M419 + N418 &lt; 0, M419 + N418, 0)</f>
        <v>0</v>
      </c>
      <c r="O419" s="1">
        <v>0</v>
      </c>
      <c r="P419" s="1">
        <f>IF(O419 + P418 &lt; 0, O419 + P418, 0)</f>
        <v>0</v>
      </c>
      <c r="Q419" s="1">
        <v>0</v>
      </c>
      <c r="R419" s="1">
        <f>IF(Q419 + R418 &lt; 0, Q419 + R418, 0)</f>
        <v>0</v>
      </c>
      <c r="S419" s="1">
        <v>0</v>
      </c>
      <c r="T419" s="1">
        <f>IF(S419 + T418 &lt; 0, S419 + T418, 0)</f>
        <v>0</v>
      </c>
    </row>
    <row r="420" spans="1:20" s="1" customFormat="1">
      <c r="A420" s="3">
        <v>45602</v>
      </c>
      <c r="B420" s="2" t="s">
        <v>14</v>
      </c>
      <c r="C420" s="2">
        <v>8</v>
      </c>
      <c r="D420" s="2">
        <v>12</v>
      </c>
      <c r="E420" s="1">
        <v>-177519.8449326195</v>
      </c>
      <c r="F420" s="1">
        <f>IF(E420 + F419 &lt; 0, E420 + F419, 0)</f>
        <v>0</v>
      </c>
      <c r="G420" s="1">
        <v>28216.72512460772</v>
      </c>
      <c r="H420" s="1">
        <f>IF(G420 + H419 &lt; 0, G420 + H419, 0)</f>
        <v>0</v>
      </c>
      <c r="I420" s="1">
        <v>28216.72512460772</v>
      </c>
      <c r="J420" s="1">
        <f>IF(I420 + J419 &lt; 0, I420 + J419, 0)</f>
        <v>0</v>
      </c>
      <c r="K420" s="1">
        <v>28216.72512460772</v>
      </c>
      <c r="L420" s="1">
        <f>IF(K420 + L419 &lt; 0, K420 + L419, 0)</f>
        <v>0</v>
      </c>
      <c r="M420" s="1">
        <v>0</v>
      </c>
      <c r="N420" s="1">
        <f>IF(M420 + N419 &lt; 0, M420 + N419, 0)</f>
        <v>0</v>
      </c>
      <c r="O420" s="1">
        <v>0</v>
      </c>
      <c r="P420" s="1">
        <f>IF(O420 + P419 &lt; 0, O420 + P419, 0)</f>
        <v>0</v>
      </c>
      <c r="Q420" s="1">
        <v>0</v>
      </c>
      <c r="R420" s="1">
        <f>IF(Q420 + R419 &lt; 0, Q420 + R419, 0)</f>
        <v>0</v>
      </c>
      <c r="S420" s="1">
        <v>0</v>
      </c>
      <c r="T420" s="1">
        <f>IF(S420 + T419 &lt; 0, S420 + T419, 0)</f>
        <v>0</v>
      </c>
    </row>
    <row r="421" spans="1:20" s="1" customFormat="1">
      <c r="A421" s="3">
        <v>45603</v>
      </c>
      <c r="B421" s="2" t="s">
        <v>16</v>
      </c>
      <c r="C421" s="2">
        <v>7</v>
      </c>
      <c r="D421" s="2">
        <v>11</v>
      </c>
      <c r="E421" s="1">
        <v>62384.04791468845</v>
      </c>
      <c r="F421" s="1">
        <f>IF(E421 + F420 &lt; 0, E421 + F420, 0)</f>
        <v>0</v>
      </c>
      <c r="G421" s="1">
        <v>47659.04608867138</v>
      </c>
      <c r="H421" s="1">
        <f>IF(G421 + H420 &lt; 0, G421 + H420, 0)</f>
        <v>0</v>
      </c>
      <c r="I421" s="1">
        <v>47659.04608867138</v>
      </c>
      <c r="J421" s="1">
        <f>IF(I421 + J420 &lt; 0, I421 + J420, 0)</f>
        <v>0</v>
      </c>
      <c r="K421" s="1">
        <v>47659.04608867138</v>
      </c>
      <c r="L421" s="1">
        <f>IF(K421 + L420 &lt; 0, K421 + L420, 0)</f>
        <v>0</v>
      </c>
      <c r="M421" s="1">
        <v>0</v>
      </c>
      <c r="N421" s="1">
        <f>IF(M421 + N420 &lt; 0, M421 + N420, 0)</f>
        <v>0</v>
      </c>
      <c r="O421" s="1">
        <v>0</v>
      </c>
      <c r="P421" s="1">
        <f>IF(O421 + P420 &lt; 0, O421 + P420, 0)</f>
        <v>0</v>
      </c>
      <c r="Q421" s="1">
        <v>0</v>
      </c>
      <c r="R421" s="1">
        <f>IF(Q421 + R420 &lt; 0, Q421 + R420, 0)</f>
        <v>0</v>
      </c>
      <c r="S421" s="1">
        <v>0</v>
      </c>
      <c r="T421" s="1">
        <f>IF(S421 + T420 &lt; 0, S421 + T420, 0)</f>
        <v>0</v>
      </c>
    </row>
    <row r="422" spans="1:20" s="1" customFormat="1">
      <c r="A422" s="3">
        <v>45604</v>
      </c>
      <c r="B422" s="2" t="s">
        <v>15</v>
      </c>
      <c r="C422" s="2">
        <v>6</v>
      </c>
      <c r="D422" s="2">
        <v>10</v>
      </c>
      <c r="E422" s="1">
        <v>-28876.62860488945</v>
      </c>
      <c r="F422" s="1">
        <f>IF(E422 + F421 &lt; 0, E422 + F421, 0)</f>
        <v>0</v>
      </c>
      <c r="G422" s="1">
        <v>31785.24374176548</v>
      </c>
      <c r="H422" s="1">
        <f>IF(G422 + H421 &lt; 0, G422 + H421, 0)</f>
        <v>0</v>
      </c>
      <c r="I422" s="1">
        <v>31785.24374176548</v>
      </c>
      <c r="J422" s="1">
        <f>IF(I422 + J421 &lt; 0, I422 + J421, 0)</f>
        <v>0</v>
      </c>
      <c r="K422" s="1">
        <v>31785.24374176548</v>
      </c>
      <c r="L422" s="1">
        <f>IF(K422 + L421 &lt; 0, K422 + L421, 0)</f>
        <v>0</v>
      </c>
      <c r="M422" s="1">
        <v>0</v>
      </c>
      <c r="N422" s="1">
        <f>IF(M422 + N421 &lt; 0, M422 + N421, 0)</f>
        <v>0</v>
      </c>
      <c r="O422" s="1">
        <v>0</v>
      </c>
      <c r="P422" s="1">
        <f>IF(O422 + P421 &lt; 0, O422 + P421, 0)</f>
        <v>0</v>
      </c>
      <c r="Q422" s="1">
        <v>0</v>
      </c>
      <c r="R422" s="1">
        <f>IF(Q422 + R421 &lt; 0, Q422 + R421, 0)</f>
        <v>0</v>
      </c>
      <c r="S422" s="1">
        <v>0</v>
      </c>
      <c r="T422" s="1">
        <f>IF(S422 + T421 &lt; 0, S422 + T421, 0)</f>
        <v>0</v>
      </c>
    </row>
    <row r="423" spans="1:20" s="1" customFormat="1">
      <c r="A423" s="3">
        <v>45607</v>
      </c>
      <c r="B423" s="2" t="s">
        <v>12</v>
      </c>
      <c r="C423" s="2">
        <v>5</v>
      </c>
      <c r="D423" s="2">
        <v>9</v>
      </c>
      <c r="E423" s="1">
        <v>21552.17717717717</v>
      </c>
      <c r="F423" s="1">
        <f>IF(E423 + F422 &lt; 0, E423 + F422, 0)</f>
        <v>0</v>
      </c>
      <c r="G423" s="1">
        <v>33286.41141141142</v>
      </c>
      <c r="H423" s="1">
        <f>IF(G423 + H422 &lt; 0, G423 + H422, 0)</f>
        <v>0</v>
      </c>
      <c r="I423" s="1">
        <v>33286.41141141142</v>
      </c>
      <c r="J423" s="1">
        <f>IF(I423 + J422 &lt; 0, I423 + J422, 0)</f>
        <v>0</v>
      </c>
      <c r="K423" s="1">
        <v>33286.41141141142</v>
      </c>
      <c r="L423" s="1">
        <f>IF(K423 + L422 &lt; 0, K423 + L422, 0)</f>
        <v>0</v>
      </c>
      <c r="M423" s="1">
        <v>0</v>
      </c>
      <c r="N423" s="1">
        <f>IF(M423 + N422 &lt; 0, M423 + N422, 0)</f>
        <v>0</v>
      </c>
      <c r="O423" s="1">
        <v>0</v>
      </c>
      <c r="P423" s="1">
        <f>IF(O423 + P422 &lt; 0, O423 + P422, 0)</f>
        <v>0</v>
      </c>
      <c r="Q423" s="1">
        <v>0</v>
      </c>
      <c r="R423" s="1">
        <f>IF(Q423 + R422 &lt; 0, Q423 + R422, 0)</f>
        <v>0</v>
      </c>
      <c r="S423" s="1">
        <v>0</v>
      </c>
      <c r="T423" s="1">
        <f>IF(S423 + T422 &lt; 0, S423 + T422, 0)</f>
        <v>0</v>
      </c>
    </row>
    <row r="424" spans="1:20" s="1" customFormat="1">
      <c r="A424" s="3">
        <v>45608</v>
      </c>
      <c r="B424" s="2" t="s">
        <v>13</v>
      </c>
      <c r="C424" s="2">
        <v>4</v>
      </c>
      <c r="D424" s="2">
        <v>8</v>
      </c>
      <c r="E424" s="1">
        <v>44099.03634041565</v>
      </c>
      <c r="F424" s="1">
        <f>IF(E424 + F423 &lt; 0, E424 + F423, 0)</f>
        <v>0</v>
      </c>
      <c r="G424" s="1">
        <v>99829.71477224349</v>
      </c>
      <c r="H424" s="1">
        <f>IF(G424 + H423 &lt; 0, G424 + H423, 0)</f>
        <v>0</v>
      </c>
      <c r="I424" s="1">
        <v>99829.71477224349</v>
      </c>
      <c r="J424" s="1">
        <f>IF(I424 + J423 &lt; 0, I424 + J423, 0)</f>
        <v>0</v>
      </c>
      <c r="K424" s="1">
        <v>99829.71477224349</v>
      </c>
      <c r="L424" s="1">
        <f>IF(K424 + L423 &lt; 0, K424 + L423, 0)</f>
        <v>0</v>
      </c>
      <c r="M424" s="1">
        <v>0</v>
      </c>
      <c r="N424" s="1">
        <f>IF(M424 + N423 &lt; 0, M424 + N423, 0)</f>
        <v>0</v>
      </c>
      <c r="O424" s="1">
        <v>0</v>
      </c>
      <c r="P424" s="1">
        <f>IF(O424 + P423 &lt; 0, O424 + P423, 0)</f>
        <v>0</v>
      </c>
      <c r="Q424" s="1">
        <v>0</v>
      </c>
      <c r="R424" s="1">
        <f>IF(Q424 + R423 &lt; 0, Q424 + R423, 0)</f>
        <v>0</v>
      </c>
      <c r="S424" s="1">
        <v>0</v>
      </c>
      <c r="T424" s="1">
        <f>IF(S424 + T423 &lt; 0, S424 + T423, 0)</f>
        <v>0</v>
      </c>
    </row>
    <row r="425" spans="1:20" s="1" customFormat="1">
      <c r="A425" s="3">
        <v>45609</v>
      </c>
      <c r="B425" s="2" t="s">
        <v>14</v>
      </c>
      <c r="C425" s="2">
        <v>3</v>
      </c>
      <c r="D425" s="2">
        <v>7</v>
      </c>
      <c r="E425" s="1">
        <v>-127789.8522849669</v>
      </c>
      <c r="F425" s="1">
        <f>IF(E425 + F424 &lt; 0, E425 + F424, 0)</f>
        <v>0</v>
      </c>
      <c r="G425" s="1">
        <v>-214620.518541314</v>
      </c>
      <c r="H425" s="1">
        <f>IF(G425 + H424 &lt; 0, G425 + H424, 0)</f>
        <v>0</v>
      </c>
      <c r="I425" s="1">
        <v>109584.1667948915</v>
      </c>
      <c r="J425" s="1">
        <f>IF(I425 + J424 &lt; 0, I425 + J424, 0)</f>
        <v>0</v>
      </c>
      <c r="K425" s="1">
        <v>109584.1667948915</v>
      </c>
      <c r="L425" s="1">
        <f>IF(K425 + L424 &lt; 0, K425 + L424, 0)</f>
        <v>0</v>
      </c>
      <c r="M425" s="1">
        <v>0</v>
      </c>
      <c r="N425" s="1">
        <f>IF(M425 + N424 &lt; 0, M425 + N424, 0)</f>
        <v>0</v>
      </c>
      <c r="O425" s="1">
        <v>0</v>
      </c>
      <c r="P425" s="1">
        <f>IF(O425 + P424 &lt; 0, O425 + P424, 0)</f>
        <v>0</v>
      </c>
      <c r="Q425" s="1">
        <v>0</v>
      </c>
      <c r="R425" s="1">
        <f>IF(Q425 + R424 &lt; 0, Q425 + R424, 0)</f>
        <v>0</v>
      </c>
      <c r="S425" s="1">
        <v>0</v>
      </c>
      <c r="T425" s="1">
        <f>IF(S425 + T424 &lt; 0, S425 + T424, 0)</f>
        <v>0</v>
      </c>
    </row>
    <row r="426" spans="1:20" s="1" customFormat="1">
      <c r="A426" s="3">
        <v>45610</v>
      </c>
      <c r="B426" s="2" t="s">
        <v>16</v>
      </c>
      <c r="C426" s="2">
        <v>2</v>
      </c>
      <c r="D426" s="2">
        <v>6</v>
      </c>
      <c r="E426" s="1">
        <v>-31541.57823654254</v>
      </c>
      <c r="F426" s="1">
        <f>IF(E426 + F425 &lt; 0, E426 + F425, 0)</f>
        <v>0</v>
      </c>
      <c r="G426" s="1">
        <v>181844.4916071773</v>
      </c>
      <c r="H426" s="1">
        <f>IF(G426 + H425 &lt; 0, G426 + H425, 0)</f>
        <v>0</v>
      </c>
      <c r="I426" s="1">
        <v>181844.4916071773</v>
      </c>
      <c r="J426" s="1">
        <f>IF(I426 + J425 &lt; 0, I426 + J425, 0)</f>
        <v>0</v>
      </c>
      <c r="K426" s="1">
        <v>181844.4916071773</v>
      </c>
      <c r="L426" s="1">
        <f>IF(K426 + L425 &lt; 0, K426 + L425, 0)</f>
        <v>0</v>
      </c>
      <c r="M426" s="1">
        <v>95601.92883272366</v>
      </c>
      <c r="N426" s="1">
        <f>IF(M426 + N425 &lt; 0, M426 + N425, 0)</f>
        <v>0</v>
      </c>
      <c r="O426" s="1">
        <v>95601.92883272366</v>
      </c>
      <c r="P426" s="1">
        <f>IF(O426 + P425 &lt; 0, O426 + P425, 0)</f>
        <v>0</v>
      </c>
      <c r="Q426" s="1">
        <v>95601.92883272366</v>
      </c>
      <c r="R426" s="1">
        <f>IF(Q426 + R425 &lt; 0, Q426 + R425, 0)</f>
        <v>0</v>
      </c>
      <c r="S426" s="1">
        <v>95601.92883272366</v>
      </c>
      <c r="T426" s="1">
        <f>IF(S426 + T425 &lt; 0, S426 + T425, 0)</f>
        <v>0</v>
      </c>
    </row>
    <row r="427" spans="1:20" s="1" customFormat="1">
      <c r="A427" s="3">
        <v>45611</v>
      </c>
      <c r="B427" s="2" t="s">
        <v>15</v>
      </c>
      <c r="C427" s="2">
        <v>1</v>
      </c>
      <c r="D427" s="2">
        <v>5</v>
      </c>
      <c r="E427" s="1">
        <v>-54008.61402966624</v>
      </c>
      <c r="F427" s="1">
        <f>IF(E427 + F426 &lt; 0, E427 + F426, 0)</f>
        <v>0</v>
      </c>
      <c r="G427" s="1">
        <v>-100844.9860939431</v>
      </c>
      <c r="H427" s="1">
        <f>IF(G427 + H426 &lt; 0, G427 + H426, 0)</f>
        <v>0</v>
      </c>
      <c r="I427" s="1">
        <v>-116733.6217552534</v>
      </c>
      <c r="J427" s="1">
        <f>IF(I427 + J426 &lt; 0, I427 + J426, 0)</f>
        <v>0</v>
      </c>
      <c r="K427" s="1">
        <v>-143676.6069221261</v>
      </c>
      <c r="L427" s="1">
        <f>IF(K427 + L426 &lt; 0, K427 + L426, 0)</f>
        <v>0</v>
      </c>
      <c r="M427" s="1">
        <v>-130284.9599417335</v>
      </c>
      <c r="N427" s="1">
        <f>IF(M427 + N426 &lt; 0, M427 + N426, 0)</f>
        <v>0</v>
      </c>
      <c r="O427" s="1">
        <v>-123393.1172614712</v>
      </c>
      <c r="P427" s="1">
        <f>IF(O427 + P426 &lt; 0, O427 + P426, 0)</f>
        <v>0</v>
      </c>
      <c r="Q427" s="1">
        <v>-123393.1172614712</v>
      </c>
      <c r="R427" s="1">
        <f>IF(Q427 + R426 &lt; 0, Q427 + R426, 0)</f>
        <v>0</v>
      </c>
      <c r="S427" s="1">
        <v>-123393.1172614712</v>
      </c>
      <c r="T427" s="1">
        <f>IF(S427 + T426 &lt; 0, S427 + T426, 0)</f>
        <v>0</v>
      </c>
    </row>
    <row r="428" spans="1:20" s="1" customFormat="1">
      <c r="A428" s="3">
        <v>45614</v>
      </c>
      <c r="B428" s="2" t="s">
        <v>12</v>
      </c>
      <c r="C428" s="2">
        <v>21</v>
      </c>
      <c r="D428" s="2">
        <v>4</v>
      </c>
      <c r="E428" s="1">
        <v>0</v>
      </c>
      <c r="F428" s="1">
        <f>IF(E428 + F427 &lt; 0, E428 + F427, 0)</f>
        <v>0</v>
      </c>
      <c r="G428" s="1">
        <v>0</v>
      </c>
      <c r="H428" s="1">
        <f>IF(G428 + H427 &lt; 0, G428 + H427, 0)</f>
        <v>0</v>
      </c>
      <c r="I428" s="1">
        <v>0</v>
      </c>
      <c r="J428" s="1">
        <f>IF(I428 + J427 &lt; 0, I428 + J427, 0)</f>
        <v>0</v>
      </c>
      <c r="K428" s="1">
        <v>0</v>
      </c>
      <c r="L428" s="1">
        <f>IF(K428 + L427 &lt; 0, K428 + L427, 0)</f>
        <v>0</v>
      </c>
      <c r="M428" s="1">
        <v>78716.21621621623</v>
      </c>
      <c r="N428" s="1">
        <f>IF(M428 + N427 &lt; 0, M428 + N427, 0)</f>
        <v>0</v>
      </c>
      <c r="O428" s="1">
        <v>78716.21621621623</v>
      </c>
      <c r="P428" s="1">
        <f>IF(O428 + P427 &lt; 0, O428 + P427, 0)</f>
        <v>0</v>
      </c>
      <c r="Q428" s="1">
        <v>78716.21621621623</v>
      </c>
      <c r="R428" s="1">
        <f>IF(Q428 + R427 &lt; 0, Q428 + R427, 0)</f>
        <v>0</v>
      </c>
      <c r="S428" s="1">
        <v>78716.21621621623</v>
      </c>
      <c r="T428" s="1">
        <f>IF(S428 + T427 &lt; 0, S428 + T427, 0)</f>
        <v>0</v>
      </c>
    </row>
    <row r="429" spans="1:20" s="1" customFormat="1">
      <c r="A429" s="3">
        <v>45615</v>
      </c>
      <c r="B429" s="2" t="s">
        <v>13</v>
      </c>
      <c r="C429" s="2">
        <v>20</v>
      </c>
      <c r="D429" s="2">
        <v>3</v>
      </c>
      <c r="E429" s="1">
        <v>0</v>
      </c>
      <c r="F429" s="1">
        <f>IF(E429 + F428 &lt; 0, E429 + F428, 0)</f>
        <v>0</v>
      </c>
      <c r="G429" s="1">
        <v>0</v>
      </c>
      <c r="H429" s="1">
        <f>IF(G429 + H428 &lt; 0, G429 + H428, 0)</f>
        <v>0</v>
      </c>
      <c r="I429" s="1">
        <v>0</v>
      </c>
      <c r="J429" s="1">
        <f>IF(I429 + J428 &lt; 0, I429 + J428, 0)</f>
        <v>0</v>
      </c>
      <c r="K429" s="1">
        <v>0</v>
      </c>
      <c r="L429" s="1">
        <f>IF(K429 + L428 &lt; 0, K429 + L428, 0)</f>
        <v>0</v>
      </c>
      <c r="M429" s="1">
        <v>92094.48160535122</v>
      </c>
      <c r="N429" s="1">
        <f>IF(M429 + N428 &lt; 0, M429 + N428, 0)</f>
        <v>0</v>
      </c>
      <c r="O429" s="1">
        <v>92094.48160535122</v>
      </c>
      <c r="P429" s="1">
        <f>IF(O429 + P428 &lt; 0, O429 + P428, 0)</f>
        <v>0</v>
      </c>
      <c r="Q429" s="1">
        <v>92094.48160535122</v>
      </c>
      <c r="R429" s="1">
        <f>IF(Q429 + R428 &lt; 0, Q429 + R428, 0)</f>
        <v>0</v>
      </c>
      <c r="S429" s="1">
        <v>92094.48160535122</v>
      </c>
      <c r="T429" s="1">
        <f>IF(S429 + T428 &lt; 0, S429 + T428, 0)</f>
        <v>0</v>
      </c>
    </row>
    <row r="430" spans="1:20" s="1" customFormat="1">
      <c r="A430" s="3">
        <v>45616</v>
      </c>
      <c r="B430" s="2" t="s">
        <v>14</v>
      </c>
      <c r="C430" s="2">
        <v>19</v>
      </c>
      <c r="D430" s="2">
        <v>2</v>
      </c>
      <c r="E430" s="1">
        <v>0</v>
      </c>
      <c r="F430" s="1">
        <f>IF(E430 + F429 &lt; 0, E430 + F429, 0)</f>
        <v>0</v>
      </c>
      <c r="G430" s="1">
        <v>0</v>
      </c>
      <c r="H430" s="1">
        <f>IF(G430 + H429 &lt; 0, G430 + H429, 0)</f>
        <v>0</v>
      </c>
      <c r="I430" s="1">
        <v>0</v>
      </c>
      <c r="J430" s="1">
        <f>IF(I430 + J429 &lt; 0, I430 + J429, 0)</f>
        <v>0</v>
      </c>
      <c r="K430" s="1">
        <v>0</v>
      </c>
      <c r="L430" s="1">
        <f>IF(K430 + L429 &lt; 0, K430 + L429, 0)</f>
        <v>0</v>
      </c>
      <c r="M430" s="1">
        <v>-173499.0470139772</v>
      </c>
      <c r="N430" s="1">
        <f>IF(M430 + N429 &lt; 0, M430 + N429, 0)</f>
        <v>0</v>
      </c>
      <c r="O430" s="1">
        <v>-184879.2884371029</v>
      </c>
      <c r="P430" s="1">
        <f>IF(O430 + P429 &lt; 0, O430 + P429, 0)</f>
        <v>0</v>
      </c>
      <c r="Q430" s="1">
        <v>-184895.1715374841</v>
      </c>
      <c r="R430" s="1">
        <f>IF(Q430 + R429 &lt; 0, Q430 + R429, 0)</f>
        <v>0</v>
      </c>
      <c r="S430" s="1">
        <v>-184895.1715374841</v>
      </c>
      <c r="T430" s="1">
        <f>IF(S430 + T429 &lt; 0, S430 + T429, 0)</f>
        <v>0</v>
      </c>
    </row>
    <row r="431" spans="1:20" s="1" customFormat="1">
      <c r="A431" s="3">
        <v>45617</v>
      </c>
      <c r="B431" s="2" t="s">
        <v>16</v>
      </c>
      <c r="C431" s="2">
        <v>18</v>
      </c>
      <c r="D431" s="2">
        <v>1</v>
      </c>
      <c r="E431" s="1">
        <v>0</v>
      </c>
      <c r="F431" s="1">
        <f>IF(E431 + F430 &lt; 0, E431 + F430, 0)</f>
        <v>0</v>
      </c>
      <c r="G431" s="1">
        <v>0</v>
      </c>
      <c r="H431" s="1">
        <f>IF(G431 + H430 &lt; 0, G431 + H430, 0)</f>
        <v>0</v>
      </c>
      <c r="I431" s="1">
        <v>0</v>
      </c>
      <c r="J431" s="1">
        <f>IF(I431 + J430 &lt; 0, I431 + J430, 0)</f>
        <v>0</v>
      </c>
      <c r="K431" s="1">
        <v>0</v>
      </c>
      <c r="L431" s="1">
        <f>IF(K431 + L430 &lt; 0, K431 + L430, 0)</f>
        <v>0</v>
      </c>
      <c r="M431" s="1">
        <v>98758.83799569626</v>
      </c>
      <c r="N431" s="1">
        <f>IF(M431 + N430 &lt; 0, M431 + N430, 0)</f>
        <v>0</v>
      </c>
      <c r="O431" s="1">
        <v>98758.83799569626</v>
      </c>
      <c r="P431" s="1">
        <f>IF(O431 + P430 &lt; 0, O431 + P430, 0)</f>
        <v>0</v>
      </c>
      <c r="Q431" s="1">
        <v>98758.83799569626</v>
      </c>
      <c r="R431" s="1">
        <f>IF(Q431 + R430 &lt; 0, Q431 + R430, 0)</f>
        <v>0</v>
      </c>
      <c r="S431" s="1">
        <v>98758.83799569626</v>
      </c>
      <c r="T431" s="1">
        <f>IF(S431 + T430 &lt; 0, S431 + T430, 0)</f>
        <v>0</v>
      </c>
    </row>
    <row r="432" spans="1:20" s="1" customFormat="1">
      <c r="A432" s="3">
        <v>45618</v>
      </c>
      <c r="B432" s="2" t="s">
        <v>15</v>
      </c>
      <c r="C432" s="2">
        <v>17</v>
      </c>
      <c r="D432" s="2">
        <v>22</v>
      </c>
      <c r="E432" s="1">
        <v>0</v>
      </c>
      <c r="F432" s="1">
        <f>IF(E432 + F431 &lt; 0, E432 + F431, 0)</f>
        <v>0</v>
      </c>
      <c r="G432" s="1">
        <v>0</v>
      </c>
      <c r="H432" s="1">
        <f>IF(G432 + H431 &lt; 0, G432 + H431, 0)</f>
        <v>0</v>
      </c>
      <c r="I432" s="1">
        <v>0</v>
      </c>
      <c r="J432" s="1">
        <f>IF(I432 + J431 &lt; 0, I432 + J431, 0)</f>
        <v>0</v>
      </c>
      <c r="K432" s="1">
        <v>0</v>
      </c>
      <c r="L432" s="1">
        <f>IF(K432 + L431 &lt; 0, K432 + L431, 0)</f>
        <v>0</v>
      </c>
      <c r="M432" s="1">
        <v>0</v>
      </c>
      <c r="N432" s="1">
        <f>IF(M432 + N431 &lt; 0, M432 + N431, 0)</f>
        <v>0</v>
      </c>
      <c r="O432" s="1">
        <v>0</v>
      </c>
      <c r="P432" s="1">
        <f>IF(O432 + P431 &lt; 0, O432 + P431, 0)</f>
        <v>0</v>
      </c>
      <c r="Q432" s="1">
        <v>0</v>
      </c>
      <c r="R432" s="1">
        <f>IF(Q432 + R431 &lt; 0, Q432 + R431, 0)</f>
        <v>0</v>
      </c>
      <c r="S432" s="1">
        <v>0</v>
      </c>
      <c r="T432" s="1">
        <f>IF(S432 + T431 &lt; 0, S432 + T431, 0)</f>
        <v>0</v>
      </c>
    </row>
    <row r="433" spans="1:20" s="1" customFormat="1">
      <c r="A433" s="3">
        <v>45621</v>
      </c>
      <c r="B433" s="2" t="s">
        <v>12</v>
      </c>
      <c r="C433" s="2">
        <v>16</v>
      </c>
      <c r="D433" s="2">
        <v>21</v>
      </c>
      <c r="E433" s="1">
        <v>0</v>
      </c>
      <c r="F433" s="1">
        <f>IF(E433 + F432 &lt; 0, E433 + F432, 0)</f>
        <v>0</v>
      </c>
      <c r="G433" s="1">
        <v>0</v>
      </c>
      <c r="H433" s="1">
        <f>IF(G433 + H432 &lt; 0, G433 + H432, 0)</f>
        <v>0</v>
      </c>
      <c r="I433" s="1">
        <v>0</v>
      </c>
      <c r="J433" s="1">
        <f>IF(I433 + J432 &lt; 0, I433 + J432, 0)</f>
        <v>0</v>
      </c>
      <c r="K433" s="1">
        <v>0</v>
      </c>
      <c r="L433" s="1">
        <f>IF(K433 + L432 &lt; 0, K433 + L432, 0)</f>
        <v>0</v>
      </c>
      <c r="M433" s="1">
        <v>0</v>
      </c>
      <c r="N433" s="1">
        <f>IF(M433 + N432 &lt; 0, M433 + N432, 0)</f>
        <v>0</v>
      </c>
      <c r="O433" s="1">
        <v>0</v>
      </c>
      <c r="P433" s="1">
        <f>IF(O433 + P432 &lt; 0, O433 + P432, 0)</f>
        <v>0</v>
      </c>
      <c r="Q433" s="1">
        <v>0</v>
      </c>
      <c r="R433" s="1">
        <f>IF(Q433 + R432 &lt; 0, Q433 + R432, 0)</f>
        <v>0</v>
      </c>
      <c r="S433" s="1">
        <v>0</v>
      </c>
      <c r="T433" s="1">
        <f>IF(S433 + T432 &lt; 0, S433 + T432, 0)</f>
        <v>0</v>
      </c>
    </row>
    <row r="434" spans="1:20" s="1" customFormat="1">
      <c r="A434" s="3">
        <v>45622</v>
      </c>
      <c r="B434" s="2" t="s">
        <v>13</v>
      </c>
      <c r="C434" s="2">
        <v>15</v>
      </c>
      <c r="D434" s="2">
        <v>20</v>
      </c>
      <c r="E434" s="1">
        <v>0</v>
      </c>
      <c r="F434" s="1">
        <f>IF(E434 + F433 &lt; 0, E434 + F433, 0)</f>
        <v>0</v>
      </c>
      <c r="G434" s="1">
        <v>0</v>
      </c>
      <c r="H434" s="1">
        <f>IF(G434 + H433 &lt; 0, G434 + H433, 0)</f>
        <v>0</v>
      </c>
      <c r="I434" s="1">
        <v>0</v>
      </c>
      <c r="J434" s="1">
        <f>IF(I434 + J433 &lt; 0, I434 + J433, 0)</f>
        <v>0</v>
      </c>
      <c r="K434" s="1">
        <v>0</v>
      </c>
      <c r="L434" s="1">
        <f>IF(K434 + L433 &lt; 0, K434 + L433, 0)</f>
        <v>0</v>
      </c>
      <c r="M434" s="1">
        <v>0</v>
      </c>
      <c r="N434" s="1">
        <f>IF(M434 + N433 &lt; 0, M434 + N433, 0)</f>
        <v>0</v>
      </c>
      <c r="O434" s="1">
        <v>0</v>
      </c>
      <c r="P434" s="1">
        <f>IF(O434 + P433 &lt; 0, O434 + P433, 0)</f>
        <v>0</v>
      </c>
      <c r="Q434" s="1">
        <v>0</v>
      </c>
      <c r="R434" s="1">
        <f>IF(Q434 + R433 &lt; 0, Q434 + R433, 0)</f>
        <v>0</v>
      </c>
      <c r="S434" s="1">
        <v>0</v>
      </c>
      <c r="T434" s="1">
        <f>IF(S434 + T433 &lt; 0, S434 + T433, 0)</f>
        <v>0</v>
      </c>
    </row>
    <row r="435" spans="1:20" s="1" customFormat="1">
      <c r="A435" s="3">
        <v>45623</v>
      </c>
      <c r="B435" s="2" t="s">
        <v>14</v>
      </c>
      <c r="C435" s="2">
        <v>14</v>
      </c>
      <c r="D435" s="2">
        <v>19</v>
      </c>
      <c r="E435" s="1">
        <v>0</v>
      </c>
      <c r="F435" s="1">
        <f>IF(E435 + F434 &lt; 0, E435 + F434, 0)</f>
        <v>0</v>
      </c>
      <c r="G435" s="1">
        <v>0</v>
      </c>
      <c r="H435" s="1">
        <f>IF(G435 + H434 &lt; 0, G435 + H434, 0)</f>
        <v>0</v>
      </c>
      <c r="I435" s="1">
        <v>0</v>
      </c>
      <c r="J435" s="1">
        <f>IF(I435 + J434 &lt; 0, I435 + J434, 0)</f>
        <v>0</v>
      </c>
      <c r="K435" s="1">
        <v>0</v>
      </c>
      <c r="L435" s="1">
        <f>IF(K435 + L434 &lt; 0, K435 + L434, 0)</f>
        <v>0</v>
      </c>
      <c r="M435" s="1">
        <v>0</v>
      </c>
      <c r="N435" s="1">
        <f>IF(M435 + N434 &lt; 0, M435 + N434, 0)</f>
        <v>0</v>
      </c>
      <c r="O435" s="1">
        <v>0</v>
      </c>
      <c r="P435" s="1">
        <f>IF(O435 + P434 &lt; 0, O435 + P434, 0)</f>
        <v>0</v>
      </c>
      <c r="Q435" s="1">
        <v>0</v>
      </c>
      <c r="R435" s="1">
        <f>IF(Q435 + R434 &lt; 0, Q435 + R434, 0)</f>
        <v>0</v>
      </c>
      <c r="S435" s="1">
        <v>0</v>
      </c>
      <c r="T435" s="1">
        <f>IF(S435 + T434 &lt; 0, S435 + T434, 0)</f>
        <v>0</v>
      </c>
    </row>
    <row r="436" spans="1:20" s="1" customFormat="1">
      <c r="A436" s="3">
        <v>45624</v>
      </c>
      <c r="B436" s="2" t="s">
        <v>16</v>
      </c>
      <c r="C436" s="2">
        <v>13</v>
      </c>
      <c r="D436" s="2">
        <v>18</v>
      </c>
      <c r="E436" s="1">
        <v>0</v>
      </c>
      <c r="F436" s="1">
        <f>IF(E436 + F435 &lt; 0, E436 + F435, 0)</f>
        <v>0</v>
      </c>
      <c r="G436" s="1">
        <v>0</v>
      </c>
      <c r="H436" s="1">
        <f>IF(G436 + H435 &lt; 0, G436 + H435, 0)</f>
        <v>0</v>
      </c>
      <c r="I436" s="1">
        <v>0</v>
      </c>
      <c r="J436" s="1">
        <f>IF(I436 + J435 &lt; 0, I436 + J435, 0)</f>
        <v>0</v>
      </c>
      <c r="K436" s="1">
        <v>0</v>
      </c>
      <c r="L436" s="1">
        <f>IF(K436 + L435 &lt; 0, K436 + L435, 0)</f>
        <v>0</v>
      </c>
      <c r="M436" s="1">
        <v>0</v>
      </c>
      <c r="N436" s="1">
        <f>IF(M436 + N435 &lt; 0, M436 + N435, 0)</f>
        <v>0</v>
      </c>
      <c r="O436" s="1">
        <v>0</v>
      </c>
      <c r="P436" s="1">
        <f>IF(O436 + P435 &lt; 0, O436 + P435, 0)</f>
        <v>0</v>
      </c>
      <c r="Q436" s="1">
        <v>0</v>
      </c>
      <c r="R436" s="1">
        <f>IF(Q436 + R435 &lt; 0, Q436 + R435, 0)</f>
        <v>0</v>
      </c>
      <c r="S436" s="1">
        <v>0</v>
      </c>
      <c r="T436" s="1">
        <f>IF(S436 + T435 &lt; 0, S436 + T435, 0)</f>
        <v>0</v>
      </c>
    </row>
    <row r="437" spans="1:20" s="1" customFormat="1">
      <c r="A437" s="3">
        <v>45625</v>
      </c>
      <c r="B437" s="2" t="s">
        <v>15</v>
      </c>
      <c r="C437" s="2">
        <v>12</v>
      </c>
      <c r="D437" s="2">
        <v>17</v>
      </c>
      <c r="E437" s="1">
        <v>0</v>
      </c>
      <c r="F437" s="1">
        <f>IF(E437 + F436 &lt; 0, E437 + F436, 0)</f>
        <v>0</v>
      </c>
      <c r="G437" s="1">
        <v>0</v>
      </c>
      <c r="H437" s="1">
        <f>IF(G437 + H436 &lt; 0, G437 + H436, 0)</f>
        <v>0</v>
      </c>
      <c r="I437" s="1">
        <v>0</v>
      </c>
      <c r="J437" s="1">
        <f>IF(I437 + J436 &lt; 0, I437 + J436, 0)</f>
        <v>0</v>
      </c>
      <c r="K437" s="1">
        <v>0</v>
      </c>
      <c r="L437" s="1">
        <f>IF(K437 + L436 &lt; 0, K437 + L436, 0)</f>
        <v>0</v>
      </c>
      <c r="M437" s="1">
        <v>0</v>
      </c>
      <c r="N437" s="1">
        <f>IF(M437 + N436 &lt; 0, M437 + N436, 0)</f>
        <v>0</v>
      </c>
      <c r="O437" s="1">
        <v>0</v>
      </c>
      <c r="P437" s="1">
        <f>IF(O437 + P436 &lt; 0, O437 + P436, 0)</f>
        <v>0</v>
      </c>
      <c r="Q437" s="1">
        <v>0</v>
      </c>
      <c r="R437" s="1">
        <f>IF(Q437 + R436 &lt; 0, Q437 + R436, 0)</f>
        <v>0</v>
      </c>
      <c r="S437" s="1">
        <v>0</v>
      </c>
      <c r="T437" s="1">
        <f>IF(S437 + T436 &lt; 0, S437 + T436, 0)</f>
        <v>0</v>
      </c>
    </row>
    <row r="438" spans="1:20" s="1" customFormat="1">
      <c r="A438" s="3">
        <v>45628</v>
      </c>
      <c r="B438" s="2" t="s">
        <v>12</v>
      </c>
      <c r="C438" s="2">
        <v>11</v>
      </c>
      <c r="D438" s="2">
        <v>16</v>
      </c>
      <c r="E438" s="1">
        <v>0</v>
      </c>
      <c r="F438" s="1">
        <f>IF(E438 + F437 &lt; 0, E438 + F437, 0)</f>
        <v>0</v>
      </c>
      <c r="G438" s="1">
        <v>0</v>
      </c>
      <c r="H438" s="1">
        <f>IF(G438 + H437 &lt; 0, G438 + H437, 0)</f>
        <v>0</v>
      </c>
      <c r="I438" s="1">
        <v>0</v>
      </c>
      <c r="J438" s="1">
        <f>IF(I438 + J437 &lt; 0, I438 + J437, 0)</f>
        <v>0</v>
      </c>
      <c r="K438" s="1">
        <v>0</v>
      </c>
      <c r="L438" s="1">
        <f>IF(K438 + L437 &lt; 0, K438 + L437, 0)</f>
        <v>0</v>
      </c>
      <c r="M438" s="1">
        <v>0</v>
      </c>
      <c r="N438" s="1">
        <f>IF(M438 + N437 &lt; 0, M438 + N437, 0)</f>
        <v>0</v>
      </c>
      <c r="O438" s="1">
        <v>0</v>
      </c>
      <c r="P438" s="1">
        <f>IF(O438 + P437 &lt; 0, O438 + P437, 0)</f>
        <v>0</v>
      </c>
      <c r="Q438" s="1">
        <v>0</v>
      </c>
      <c r="R438" s="1">
        <f>IF(Q438 + R437 &lt; 0, Q438 + R437, 0)</f>
        <v>0</v>
      </c>
      <c r="S438" s="1">
        <v>0</v>
      </c>
      <c r="T438" s="1">
        <f>IF(S438 + T437 &lt; 0, S438 + T437, 0)</f>
        <v>0</v>
      </c>
    </row>
    <row r="439" spans="1:20" s="1" customFormat="1">
      <c r="A439" s="3">
        <v>45629</v>
      </c>
      <c r="B439" s="2" t="s">
        <v>13</v>
      </c>
      <c r="C439" s="2">
        <v>10</v>
      </c>
      <c r="D439" s="2">
        <v>15</v>
      </c>
      <c r="E439" s="1">
        <v>-54069.99078057775</v>
      </c>
      <c r="F439" s="1">
        <f>IF(E439 + F438 &lt; 0, E439 + F438, 0)</f>
        <v>0</v>
      </c>
      <c r="G439" s="1">
        <v>-32565.68838352797</v>
      </c>
      <c r="H439" s="1">
        <f>IF(G439 + H438 &lt; 0, G439 + H438, 0)</f>
        <v>0</v>
      </c>
      <c r="I439" s="1">
        <v>-32565.68838352797</v>
      </c>
      <c r="J439" s="1">
        <f>IF(I439 + J438 &lt; 0, I439 + J438, 0)</f>
        <v>0</v>
      </c>
      <c r="K439" s="1">
        <v>-32565.68838352797</v>
      </c>
      <c r="L439" s="1">
        <f>IF(K439 + L438 &lt; 0, K439 + L438, 0)</f>
        <v>0</v>
      </c>
      <c r="M439" s="1">
        <v>0</v>
      </c>
      <c r="N439" s="1">
        <f>IF(M439 + N438 &lt; 0, M439 + N438, 0)</f>
        <v>0</v>
      </c>
      <c r="O439" s="1">
        <v>0</v>
      </c>
      <c r="P439" s="1">
        <f>IF(O439 + P438 &lt; 0, O439 + P438, 0)</f>
        <v>0</v>
      </c>
      <c r="Q439" s="1">
        <v>0</v>
      </c>
      <c r="R439" s="1">
        <f>IF(Q439 + R438 &lt; 0, Q439 + R438, 0)</f>
        <v>0</v>
      </c>
      <c r="S439" s="1">
        <v>0</v>
      </c>
      <c r="T439" s="1">
        <f>IF(S439 + T438 &lt; 0, S439 + T438, 0)</f>
        <v>0</v>
      </c>
    </row>
    <row r="440" spans="1:20" s="1" customFormat="1">
      <c r="A440" s="3">
        <v>45630</v>
      </c>
      <c r="B440" s="2" t="s">
        <v>14</v>
      </c>
      <c r="C440" s="2">
        <v>9</v>
      </c>
      <c r="D440" s="2">
        <v>14</v>
      </c>
      <c r="E440" s="1">
        <v>86250.79567154677</v>
      </c>
      <c r="F440" s="1">
        <f>IF(E440 + F439 &lt; 0, E440 + F439, 0)</f>
        <v>0</v>
      </c>
      <c r="G440" s="1">
        <v>86250.79567154677</v>
      </c>
      <c r="H440" s="1">
        <f>IF(G440 + H439 &lt; 0, G440 + H439, 0)</f>
        <v>0</v>
      </c>
      <c r="I440" s="1">
        <v>86250.79567154677</v>
      </c>
      <c r="J440" s="1">
        <f>IF(I440 + J439 &lt; 0, I440 + J439, 0)</f>
        <v>0</v>
      </c>
      <c r="K440" s="1">
        <v>86250.79567154677</v>
      </c>
      <c r="L440" s="1">
        <f>IF(K440 + L439 &lt; 0, K440 + L439, 0)</f>
        <v>0</v>
      </c>
      <c r="M440" s="1">
        <v>0</v>
      </c>
      <c r="N440" s="1">
        <f>IF(M440 + N439 &lt; 0, M440 + N439, 0)</f>
        <v>0</v>
      </c>
      <c r="O440" s="1">
        <v>0</v>
      </c>
      <c r="P440" s="1">
        <f>IF(O440 + P439 &lt; 0, O440 + P439, 0)</f>
        <v>0</v>
      </c>
      <c r="Q440" s="1">
        <v>0</v>
      </c>
      <c r="R440" s="1">
        <f>IF(Q440 + R439 &lt; 0, Q440 + R439, 0)</f>
        <v>0</v>
      </c>
      <c r="S440" s="1">
        <v>0</v>
      </c>
      <c r="T440" s="1">
        <f>IF(S440 + T439 &lt; 0, S440 + T439, 0)</f>
        <v>0</v>
      </c>
    </row>
    <row r="441" spans="1:20" s="1" customFormat="1">
      <c r="A441" s="3">
        <v>45631</v>
      </c>
      <c r="B441" s="2" t="s">
        <v>16</v>
      </c>
      <c r="C441" s="2">
        <v>8</v>
      </c>
      <c r="D441" s="2">
        <v>13</v>
      </c>
      <c r="E441" s="1">
        <v>143626.9647489699</v>
      </c>
      <c r="F441" s="1">
        <f>IF(E441 + F440 &lt; 0, E441 + F440, 0)</f>
        <v>0</v>
      </c>
      <c r="G441" s="1">
        <v>143626.9647489699</v>
      </c>
      <c r="H441" s="1">
        <f>IF(G441 + H440 &lt; 0, G441 + H440, 0)</f>
        <v>0</v>
      </c>
      <c r="I441" s="1">
        <v>143626.9647489699</v>
      </c>
      <c r="J441" s="1">
        <f>IF(I441 + J440 &lt; 0, I441 + J440, 0)</f>
        <v>0</v>
      </c>
      <c r="K441" s="1">
        <v>143626.9647489699</v>
      </c>
      <c r="L441" s="1">
        <f>IF(K441 + L440 &lt; 0, K441 + L440, 0)</f>
        <v>0</v>
      </c>
      <c r="M441" s="1">
        <v>0</v>
      </c>
      <c r="N441" s="1">
        <f>IF(M441 + N440 &lt; 0, M441 + N440, 0)</f>
        <v>0</v>
      </c>
      <c r="O441" s="1">
        <v>0</v>
      </c>
      <c r="P441" s="1">
        <f>IF(O441 + P440 &lt; 0, O441 + P440, 0)</f>
        <v>0</v>
      </c>
      <c r="Q441" s="1">
        <v>0</v>
      </c>
      <c r="R441" s="1">
        <f>IF(Q441 + R440 &lt; 0, Q441 + R440, 0)</f>
        <v>0</v>
      </c>
      <c r="S441" s="1">
        <v>0</v>
      </c>
      <c r="T441" s="1">
        <f>IF(S441 + T440 &lt; 0, S441 + T440, 0)</f>
        <v>0</v>
      </c>
    </row>
    <row r="442" spans="1:20" s="1" customFormat="1">
      <c r="A442" s="3">
        <v>45632</v>
      </c>
      <c r="B442" s="2" t="s">
        <v>15</v>
      </c>
      <c r="C442" s="2">
        <v>7</v>
      </c>
      <c r="D442" s="2">
        <v>12</v>
      </c>
      <c r="E442" s="1">
        <v>87962.252570201</v>
      </c>
      <c r="F442" s="1">
        <f>IF(E442 + F441 &lt; 0, E442 + F441, 0)</f>
        <v>0</v>
      </c>
      <c r="G442" s="1">
        <v>87962.252570201</v>
      </c>
      <c r="H442" s="1">
        <f>IF(G442 + H441 &lt; 0, G442 + H441, 0)</f>
        <v>0</v>
      </c>
      <c r="I442" s="1">
        <v>87962.252570201</v>
      </c>
      <c r="J442" s="1">
        <f>IF(I442 + J441 &lt; 0, I442 + J441, 0)</f>
        <v>0</v>
      </c>
      <c r="K442" s="1">
        <v>87962.252570201</v>
      </c>
      <c r="L442" s="1">
        <f>IF(K442 + L441 &lt; 0, K442 + L441, 0)</f>
        <v>0</v>
      </c>
      <c r="M442" s="1">
        <v>0</v>
      </c>
      <c r="N442" s="1">
        <f>IF(M442 + N441 &lt; 0, M442 + N441, 0)</f>
        <v>0</v>
      </c>
      <c r="O442" s="1">
        <v>0</v>
      </c>
      <c r="P442" s="1">
        <f>IF(O442 + P441 &lt; 0, O442 + P441, 0)</f>
        <v>0</v>
      </c>
      <c r="Q442" s="1">
        <v>0</v>
      </c>
      <c r="R442" s="1">
        <f>IF(Q442 + R441 &lt; 0, Q442 + R441, 0)</f>
        <v>0</v>
      </c>
      <c r="S442" s="1">
        <v>0</v>
      </c>
      <c r="T442" s="1">
        <f>IF(S442 + T441 &lt; 0, S442 + T441, 0)</f>
        <v>0</v>
      </c>
    </row>
    <row r="443" spans="1:20" s="1" customFormat="1">
      <c r="A443" s="3">
        <v>45635</v>
      </c>
      <c r="B443" s="2" t="s">
        <v>12</v>
      </c>
      <c r="C443" s="2">
        <v>6</v>
      </c>
      <c r="D443" s="2">
        <v>11</v>
      </c>
      <c r="E443" s="1">
        <v>102172.5624199123</v>
      </c>
      <c r="F443" s="1">
        <f>IF(E443 + F442 &lt; 0, E443 + F442, 0)</f>
        <v>0</v>
      </c>
      <c r="G443" s="1">
        <v>102172.5624199123</v>
      </c>
      <c r="H443" s="1">
        <f>IF(G443 + H442 &lt; 0, G443 + H442, 0)</f>
        <v>0</v>
      </c>
      <c r="I443" s="1">
        <v>102172.5624199123</v>
      </c>
      <c r="J443" s="1">
        <f>IF(I443 + J442 &lt; 0, I443 + J442, 0)</f>
        <v>0</v>
      </c>
      <c r="K443" s="1">
        <v>102172.5624199123</v>
      </c>
      <c r="L443" s="1">
        <f>IF(K443 + L442 &lt; 0, K443 + L442, 0)</f>
        <v>0</v>
      </c>
      <c r="M443" s="1">
        <v>0</v>
      </c>
      <c r="N443" s="1">
        <f>IF(M443 + N442 &lt; 0, M443 + N442, 0)</f>
        <v>0</v>
      </c>
      <c r="O443" s="1">
        <v>0</v>
      </c>
      <c r="P443" s="1">
        <f>IF(O443 + P442 &lt; 0, O443 + P442, 0)</f>
        <v>0</v>
      </c>
      <c r="Q443" s="1">
        <v>0</v>
      </c>
      <c r="R443" s="1">
        <f>IF(Q443 + R442 &lt; 0, Q443 + R442, 0)</f>
        <v>0</v>
      </c>
      <c r="S443" s="1">
        <v>0</v>
      </c>
      <c r="T443" s="1">
        <f>IF(S443 + T442 &lt; 0, S443 + T442, 0)</f>
        <v>0</v>
      </c>
    </row>
    <row r="444" spans="1:20" s="1" customFormat="1">
      <c r="A444" s="3">
        <v>45636</v>
      </c>
      <c r="B444" s="2" t="s">
        <v>13</v>
      </c>
      <c r="C444" s="2">
        <v>5</v>
      </c>
      <c r="D444" s="2">
        <v>10</v>
      </c>
      <c r="E444" s="1">
        <v>21263.5843477593</v>
      </c>
      <c r="F444" s="1">
        <f>IF(E444 + F443 &lt; 0, E444 + F443, 0)</f>
        <v>0</v>
      </c>
      <c r="G444" s="1">
        <v>40753.04327790792</v>
      </c>
      <c r="H444" s="1">
        <f>IF(G444 + H443 &lt; 0, G444 + H443, 0)</f>
        <v>0</v>
      </c>
      <c r="I444" s="1">
        <v>40753.04327790792</v>
      </c>
      <c r="J444" s="1">
        <f>IF(I444 + J443 &lt; 0, I444 + J443, 0)</f>
        <v>0</v>
      </c>
      <c r="K444" s="1">
        <v>40753.04327790792</v>
      </c>
      <c r="L444" s="1">
        <f>IF(K444 + L443 &lt; 0, K444 + L443, 0)</f>
        <v>0</v>
      </c>
      <c r="M444" s="1">
        <v>0</v>
      </c>
      <c r="N444" s="1">
        <f>IF(M444 + N443 &lt; 0, M444 + N443, 0)</f>
        <v>0</v>
      </c>
      <c r="O444" s="1">
        <v>0</v>
      </c>
      <c r="P444" s="1">
        <f>IF(O444 + P443 &lt; 0, O444 + P443, 0)</f>
        <v>0</v>
      </c>
      <c r="Q444" s="1">
        <v>0</v>
      </c>
      <c r="R444" s="1">
        <f>IF(Q444 + R443 &lt; 0, Q444 + R443, 0)</f>
        <v>0</v>
      </c>
      <c r="S444" s="1">
        <v>0</v>
      </c>
      <c r="T444" s="1">
        <f>IF(S444 + T443 &lt; 0, S444 + T443, 0)</f>
        <v>0</v>
      </c>
    </row>
    <row r="445" spans="1:20" s="1" customFormat="1">
      <c r="A445" s="3">
        <v>45637</v>
      </c>
      <c r="B445" s="2" t="s">
        <v>14</v>
      </c>
      <c r="C445" s="2">
        <v>4</v>
      </c>
      <c r="D445" s="2">
        <v>9</v>
      </c>
      <c r="E445" s="1">
        <v>64062.322301831</v>
      </c>
      <c r="F445" s="1">
        <f>IF(E445 + F444 &lt; 0, E445 + F444, 0)</f>
        <v>0</v>
      </c>
      <c r="G445" s="1">
        <v>67098.82861366995</v>
      </c>
      <c r="H445" s="1">
        <f>IF(G445 + H444 &lt; 0, G445 + H444, 0)</f>
        <v>0</v>
      </c>
      <c r="I445" s="1">
        <v>67098.82861366995</v>
      </c>
      <c r="J445" s="1">
        <f>IF(I445 + J444 &lt; 0, I445 + J444, 0)</f>
        <v>0</v>
      </c>
      <c r="K445" s="1">
        <v>67098.82861366995</v>
      </c>
      <c r="L445" s="1">
        <f>IF(K445 + L444 &lt; 0, K445 + L444, 0)</f>
        <v>0</v>
      </c>
      <c r="M445" s="1">
        <v>0</v>
      </c>
      <c r="N445" s="1">
        <f>IF(M445 + N444 &lt; 0, M445 + N444, 0)</f>
        <v>0</v>
      </c>
      <c r="O445" s="1">
        <v>0</v>
      </c>
      <c r="P445" s="1">
        <f>IF(O445 + P444 &lt; 0, O445 + P444, 0)</f>
        <v>0</v>
      </c>
      <c r="Q445" s="1">
        <v>0</v>
      </c>
      <c r="R445" s="1">
        <f>IF(Q445 + R444 &lt; 0, Q445 + R444, 0)</f>
        <v>0</v>
      </c>
      <c r="S445" s="1">
        <v>0</v>
      </c>
      <c r="T445" s="1">
        <f>IF(S445 + T444 &lt; 0, S445 + T444, 0)</f>
        <v>0</v>
      </c>
    </row>
    <row r="446" spans="1:20" s="1" customFormat="1">
      <c r="A446" s="3">
        <v>45638</v>
      </c>
      <c r="B446" s="2" t="s">
        <v>16</v>
      </c>
      <c r="C446" s="2">
        <v>3</v>
      </c>
      <c r="D446" s="2">
        <v>8</v>
      </c>
      <c r="E446" s="1">
        <v>-108092.9695932115</v>
      </c>
      <c r="F446" s="1">
        <f>IF(E446 + F445 &lt; 0, E446 + F445, 0)</f>
        <v>0</v>
      </c>
      <c r="G446" s="1">
        <v>-3699.430570545975</v>
      </c>
      <c r="H446" s="1">
        <f>IF(G446 + H445 &lt; 0, G446 + H445, 0)</f>
        <v>0</v>
      </c>
      <c r="I446" s="1">
        <v>70452.93833041795</v>
      </c>
      <c r="J446" s="1">
        <f>IF(I446 + J445 &lt; 0, I446 + J445, 0)</f>
        <v>0</v>
      </c>
      <c r="K446" s="1">
        <v>70452.93833041795</v>
      </c>
      <c r="L446" s="1">
        <f>IF(K446 + L445 &lt; 0, K446 + L445, 0)</f>
        <v>0</v>
      </c>
      <c r="M446" s="1">
        <v>0</v>
      </c>
      <c r="N446" s="1">
        <f>IF(M446 + N445 &lt; 0, M446 + N445, 0)</f>
        <v>0</v>
      </c>
      <c r="O446" s="1">
        <v>0</v>
      </c>
      <c r="P446" s="1">
        <f>IF(O446 + P445 &lt; 0, O446 + P445, 0)</f>
        <v>0</v>
      </c>
      <c r="Q446" s="1">
        <v>0</v>
      </c>
      <c r="R446" s="1">
        <f>IF(Q446 + R445 &lt; 0, Q446 + R445, 0)</f>
        <v>0</v>
      </c>
      <c r="S446" s="1">
        <v>0</v>
      </c>
      <c r="T446" s="1">
        <f>IF(S446 + T445 &lt; 0, S446 + T445, 0)</f>
        <v>0</v>
      </c>
    </row>
    <row r="447" spans="1:20" s="1" customFormat="1">
      <c r="A447" s="3">
        <v>45639</v>
      </c>
      <c r="B447" s="2" t="s">
        <v>15</v>
      </c>
      <c r="C447" s="2">
        <v>2</v>
      </c>
      <c r="D447" s="2">
        <v>7</v>
      </c>
      <c r="E447" s="1">
        <v>204652.3345649983</v>
      </c>
      <c r="F447" s="1">
        <f>IF(E447 + F446 &lt; 0, E447 + F446, 0)</f>
        <v>0</v>
      </c>
      <c r="G447" s="1">
        <v>204652.3345649983</v>
      </c>
      <c r="H447" s="1">
        <f>IF(G447 + H446 &lt; 0, G447 + H446, 0)</f>
        <v>0</v>
      </c>
      <c r="I447" s="1">
        <v>204652.3345649983</v>
      </c>
      <c r="J447" s="1">
        <f>IF(I447 + J446 &lt; 0, I447 + J446, 0)</f>
        <v>0</v>
      </c>
      <c r="K447" s="1">
        <v>204652.3345649983</v>
      </c>
      <c r="L447" s="1">
        <f>IF(K447 + L446 &lt; 0, K447 + L446, 0)</f>
        <v>0</v>
      </c>
      <c r="M447" s="1">
        <v>0</v>
      </c>
      <c r="N447" s="1">
        <f>IF(M447 + N446 &lt; 0, M447 + N446, 0)</f>
        <v>0</v>
      </c>
      <c r="O447" s="1">
        <v>0</v>
      </c>
      <c r="P447" s="1">
        <f>IF(O447 + P446 &lt; 0, O447 + P446, 0)</f>
        <v>0</v>
      </c>
      <c r="Q447" s="1">
        <v>0</v>
      </c>
      <c r="R447" s="1">
        <f>IF(Q447 + R446 &lt; 0, Q447 + R446, 0)</f>
        <v>0</v>
      </c>
      <c r="S447" s="1">
        <v>0</v>
      </c>
      <c r="T447" s="1">
        <f>IF(S447 + T446 &lt; 0, S447 + T446, 0)</f>
        <v>0</v>
      </c>
    </row>
    <row r="448" spans="1:20" s="1" customFormat="1">
      <c r="A448" s="3">
        <v>45642</v>
      </c>
      <c r="B448" s="2" t="s">
        <v>12</v>
      </c>
      <c r="C448" s="2">
        <v>1</v>
      </c>
      <c r="D448" s="2">
        <v>6</v>
      </c>
      <c r="E448" s="1">
        <v>79114.98708010337</v>
      </c>
      <c r="F448" s="1">
        <f>IF(E448 + F447 &lt; 0, E448 + F447, 0)</f>
        <v>0</v>
      </c>
      <c r="G448" s="1">
        <v>29844.03839055002</v>
      </c>
      <c r="H448" s="1">
        <f>IF(G448 + H447 &lt; 0, G448 + H447, 0)</f>
        <v>0</v>
      </c>
      <c r="I448" s="1">
        <v>130620.1550387597</v>
      </c>
      <c r="J448" s="1">
        <f>IF(I448 + J447 &lt; 0, I448 + J447, 0)</f>
        <v>0</v>
      </c>
      <c r="K448" s="1">
        <v>130620.1550387597</v>
      </c>
      <c r="L448" s="1">
        <f>IF(K448 + L447 &lt; 0, K448 + L447, 0)</f>
        <v>0</v>
      </c>
      <c r="M448" s="1">
        <v>33970.27600849257</v>
      </c>
      <c r="N448" s="1">
        <f>IF(M448 + N447 &lt; 0, M448 + N447, 0)</f>
        <v>0</v>
      </c>
      <c r="O448" s="1">
        <v>33970.27600849257</v>
      </c>
      <c r="P448" s="1">
        <f>IF(O448 + P447 &lt; 0, O448 + P447, 0)</f>
        <v>0</v>
      </c>
      <c r="Q448" s="1">
        <v>33970.27600849257</v>
      </c>
      <c r="R448" s="1">
        <f>IF(Q448 + R447 &lt; 0, Q448 + R447, 0)</f>
        <v>0</v>
      </c>
      <c r="S448" s="1">
        <v>33970.27600849257</v>
      </c>
      <c r="T448" s="1">
        <f>IF(S448 + T447 &lt; 0, S448 + T447, 0)</f>
        <v>0</v>
      </c>
    </row>
    <row r="449" spans="1:20" s="1" customFormat="1">
      <c r="A449" s="3">
        <v>45643</v>
      </c>
      <c r="B449" s="2" t="s">
        <v>13</v>
      </c>
      <c r="C449" s="2">
        <v>21</v>
      </c>
      <c r="D449" s="2">
        <v>5</v>
      </c>
      <c r="E449" s="1">
        <v>0</v>
      </c>
      <c r="F449" s="1">
        <f>IF(E449 + F448 &lt; 0, E449 + F448, 0)</f>
        <v>0</v>
      </c>
      <c r="G449" s="1">
        <v>0</v>
      </c>
      <c r="H449" s="1">
        <f>IF(G449 + H448 &lt; 0, G449 + H448, 0)</f>
        <v>0</v>
      </c>
      <c r="I449" s="1">
        <v>0</v>
      </c>
      <c r="J449" s="1">
        <f>IF(I449 + J448 &lt; 0, I449 + J448, 0)</f>
        <v>0</v>
      </c>
      <c r="K449" s="1">
        <v>0</v>
      </c>
      <c r="L449" s="1">
        <f>IF(K449 + L448 &lt; 0, K449 + L448, 0)</f>
        <v>0</v>
      </c>
      <c r="M449" s="1">
        <v>-112808.7831655992</v>
      </c>
      <c r="N449" s="1">
        <f>IF(M449 + N448 &lt; 0, M449 + N448, 0)</f>
        <v>0</v>
      </c>
      <c r="O449" s="1">
        <v>26532.47941445565</v>
      </c>
      <c r="P449" s="1">
        <f>IF(O449 + P448 &lt; 0, O449 + P448, 0)</f>
        <v>0</v>
      </c>
      <c r="Q449" s="1">
        <v>26532.47941445565</v>
      </c>
      <c r="R449" s="1">
        <f>IF(Q449 + R448 &lt; 0, Q449 + R448, 0)</f>
        <v>0</v>
      </c>
      <c r="S449" s="1">
        <v>26532.47941445565</v>
      </c>
      <c r="T449" s="1">
        <f>IF(S449 + T448 &lt; 0, S449 + T448, 0)</f>
        <v>0</v>
      </c>
    </row>
    <row r="450" spans="1:20" s="1" customFormat="1">
      <c r="A450" s="3">
        <v>45644</v>
      </c>
      <c r="B450" s="2" t="s">
        <v>14</v>
      </c>
      <c r="C450" s="2">
        <v>20</v>
      </c>
      <c r="D450" s="2">
        <v>4</v>
      </c>
      <c r="E450" s="1">
        <v>0</v>
      </c>
      <c r="F450" s="1">
        <f>IF(E450 + F449 &lt; 0, E450 + F449, 0)</f>
        <v>0</v>
      </c>
      <c r="G450" s="1">
        <v>0</v>
      </c>
      <c r="H450" s="1">
        <f>IF(G450 + H449 &lt; 0, G450 + H449, 0)</f>
        <v>0</v>
      </c>
      <c r="I450" s="1">
        <v>0</v>
      </c>
      <c r="J450" s="1">
        <f>IF(I450 + J449 &lt; 0, I450 + J449, 0)</f>
        <v>0</v>
      </c>
      <c r="K450" s="1">
        <v>0</v>
      </c>
      <c r="L450" s="1">
        <f>IF(K450 + L449 &lt; 0, K450 + L449, 0)</f>
        <v>0</v>
      </c>
      <c r="M450" s="1">
        <v>292.9115407147036</v>
      </c>
      <c r="N450" s="1">
        <f>IF(M450 + N449 &lt; 0, M450 + N449, 0)</f>
        <v>0</v>
      </c>
      <c r="O450" s="1">
        <v>292.9115407147036</v>
      </c>
      <c r="P450" s="1">
        <f>IF(O450 + P449 &lt; 0, O450 + P449, 0)</f>
        <v>0</v>
      </c>
      <c r="Q450" s="1">
        <v>292.9115407147036</v>
      </c>
      <c r="R450" s="1">
        <f>IF(Q450 + R449 &lt; 0, Q450 + R449, 0)</f>
        <v>0</v>
      </c>
      <c r="S450" s="1">
        <v>292.9115407147036</v>
      </c>
      <c r="T450" s="1">
        <f>IF(S450 + T449 &lt; 0, S450 + T449, 0)</f>
        <v>0</v>
      </c>
    </row>
    <row r="451" spans="1:20" s="1" customFormat="1">
      <c r="A451" s="3">
        <v>45645</v>
      </c>
      <c r="B451" s="2" t="s">
        <v>16</v>
      </c>
      <c r="C451" s="2">
        <v>19</v>
      </c>
      <c r="D451" s="2">
        <v>3</v>
      </c>
      <c r="E451" s="1">
        <v>0</v>
      </c>
      <c r="F451" s="1">
        <f>IF(E451 + F450 &lt; 0, E451 + F450, 0)</f>
        <v>0</v>
      </c>
      <c r="G451" s="1">
        <v>0</v>
      </c>
      <c r="H451" s="1">
        <f>IF(G451 + H450 &lt; 0, G451 + H450, 0)</f>
        <v>0</v>
      </c>
      <c r="I451" s="1">
        <v>0</v>
      </c>
      <c r="J451" s="1">
        <f>IF(I451 + J450 &lt; 0, I451 + J450, 0)</f>
        <v>0</v>
      </c>
      <c r="K451" s="1">
        <v>0</v>
      </c>
      <c r="L451" s="1">
        <f>IF(K451 + L450 &lt; 0, K451 + L450, 0)</f>
        <v>0</v>
      </c>
      <c r="M451" s="1">
        <v>41798.1072555205</v>
      </c>
      <c r="N451" s="1">
        <f>IF(M451 + N450 &lt; 0, M451 + N450, 0)</f>
        <v>0</v>
      </c>
      <c r="O451" s="1">
        <v>41798.1072555205</v>
      </c>
      <c r="P451" s="1">
        <f>IF(O451 + P450 &lt; 0, O451 + P450, 0)</f>
        <v>0</v>
      </c>
      <c r="Q451" s="1">
        <v>41798.1072555205</v>
      </c>
      <c r="R451" s="1">
        <f>IF(Q451 + R450 &lt; 0, Q451 + R450, 0)</f>
        <v>0</v>
      </c>
      <c r="S451" s="1">
        <v>41798.1072555205</v>
      </c>
      <c r="T451" s="1">
        <f>IF(S451 + T450 &lt; 0, S451 + T450, 0)</f>
        <v>0</v>
      </c>
    </row>
    <row r="452" spans="1:20" s="1" customFormat="1">
      <c r="A452" s="3">
        <v>45646</v>
      </c>
      <c r="B452" s="2" t="s">
        <v>15</v>
      </c>
      <c r="C452" s="2">
        <v>18</v>
      </c>
      <c r="D452" s="2">
        <v>2</v>
      </c>
      <c r="E452" s="1">
        <v>0</v>
      </c>
      <c r="F452" s="1">
        <f>IF(E452 + F451 &lt; 0, E452 + F451, 0)</f>
        <v>0</v>
      </c>
      <c r="G452" s="1">
        <v>0</v>
      </c>
      <c r="H452" s="1">
        <f>IF(G452 + H451 &lt; 0, G452 + H451, 0)</f>
        <v>0</v>
      </c>
      <c r="I452" s="1">
        <v>0</v>
      </c>
      <c r="J452" s="1">
        <f>IF(I452 + J451 &lt; 0, I452 + J451, 0)</f>
        <v>0</v>
      </c>
      <c r="K452" s="1">
        <v>0</v>
      </c>
      <c r="L452" s="1">
        <f>IF(K452 + L451 &lt; 0, K452 + L451, 0)</f>
        <v>0</v>
      </c>
      <c r="M452" s="1">
        <v>97115.38461538462</v>
      </c>
      <c r="N452" s="1">
        <f>IF(M452 + N451 &lt; 0, M452 + N451, 0)</f>
        <v>0</v>
      </c>
      <c r="O452" s="1">
        <v>97115.38461538462</v>
      </c>
      <c r="P452" s="1">
        <f>IF(O452 + P451 &lt; 0, O452 + P451, 0)</f>
        <v>0</v>
      </c>
      <c r="Q452" s="1">
        <v>97115.38461538462</v>
      </c>
      <c r="R452" s="1">
        <f>IF(Q452 + R451 &lt; 0, Q452 + R451, 0)</f>
        <v>0</v>
      </c>
      <c r="S452" s="1">
        <v>97115.38461538462</v>
      </c>
      <c r="T452" s="1">
        <f>IF(S452 + T451 &lt; 0, S452 + T451, 0)</f>
        <v>0</v>
      </c>
    </row>
    <row r="453" spans="1:20" s="1" customFormat="1">
      <c r="A453" s="3">
        <v>45649</v>
      </c>
      <c r="B453" s="2" t="s">
        <v>12</v>
      </c>
      <c r="C453" s="2">
        <v>17</v>
      </c>
      <c r="D453" s="2">
        <v>1</v>
      </c>
      <c r="E453" s="1">
        <v>0</v>
      </c>
      <c r="F453" s="1">
        <f>IF(E453 + F452 &lt; 0, E453 + F452, 0)</f>
        <v>0</v>
      </c>
      <c r="G453" s="1">
        <v>0</v>
      </c>
      <c r="H453" s="1">
        <f>IF(G453 + H452 &lt; 0, G453 + H452, 0)</f>
        <v>0</v>
      </c>
      <c r="I453" s="1">
        <v>0</v>
      </c>
      <c r="J453" s="1">
        <f>IF(I453 + J452 &lt; 0, I453 + J452, 0)</f>
        <v>0</v>
      </c>
      <c r="K453" s="1">
        <v>0</v>
      </c>
      <c r="L453" s="1">
        <f>IF(K453 + L452 &lt; 0, K453 + L452, 0)</f>
        <v>0</v>
      </c>
      <c r="M453" s="1">
        <v>31620.62848454131</v>
      </c>
      <c r="N453" s="1">
        <f>IF(M453 + N452 &lt; 0, M453 + N452, 0)</f>
        <v>0</v>
      </c>
      <c r="O453" s="1">
        <v>-13361.63203243791</v>
      </c>
      <c r="P453" s="1">
        <f>IF(O453 + P452 &lt; 0, O453 + P452, 0)</f>
        <v>0</v>
      </c>
      <c r="Q453" s="1">
        <v>-114426.0010136848</v>
      </c>
      <c r="R453" s="1">
        <f>IF(Q453 + R452 &lt; 0, Q453 + R452, 0)</f>
        <v>0</v>
      </c>
      <c r="S453" s="1">
        <v>-145799.5438418652</v>
      </c>
      <c r="T453" s="1">
        <f>IF(S453 + T452 &lt; 0, S453 + T452, 0)</f>
        <v>0</v>
      </c>
    </row>
    <row r="454" spans="1:20" s="1" customFormat="1">
      <c r="A454" s="3">
        <v>45650</v>
      </c>
      <c r="B454" s="2" t="s">
        <v>13</v>
      </c>
      <c r="C454" s="2">
        <v>16</v>
      </c>
      <c r="D454" s="2">
        <v>23</v>
      </c>
      <c r="E454" s="1">
        <v>0</v>
      </c>
      <c r="F454" s="1">
        <f>IF(E454 + F453 &lt; 0, E454 + F453, 0)</f>
        <v>0</v>
      </c>
      <c r="G454" s="1">
        <v>0</v>
      </c>
      <c r="H454" s="1">
        <f>IF(G454 + H453 &lt; 0, G454 + H453, 0)</f>
        <v>0</v>
      </c>
      <c r="I454" s="1">
        <v>0</v>
      </c>
      <c r="J454" s="1">
        <f>IF(I454 + J453 &lt; 0, I454 + J453, 0)</f>
        <v>0</v>
      </c>
      <c r="K454" s="1">
        <v>0</v>
      </c>
      <c r="L454" s="1">
        <f>IF(K454 + L453 &lt; 0, K454 + L453, 0)</f>
        <v>0</v>
      </c>
      <c r="M454" s="1">
        <v>0</v>
      </c>
      <c r="N454" s="1">
        <f>IF(M454 + N453 &lt; 0, M454 + N453, 0)</f>
        <v>0</v>
      </c>
      <c r="O454" s="1">
        <v>0</v>
      </c>
      <c r="P454" s="1">
        <f>IF(O454 + P453 &lt; 0, O454 + P453, 0)</f>
        <v>0</v>
      </c>
      <c r="Q454" s="1">
        <v>0</v>
      </c>
      <c r="R454" s="1">
        <f>IF(Q454 + R453 &lt; 0, Q454 + R453, 0)</f>
        <v>0</v>
      </c>
      <c r="S454" s="1">
        <v>0</v>
      </c>
      <c r="T454" s="1">
        <f>IF(S454 + T453 &lt; 0, S454 + T453, 0)</f>
        <v>0</v>
      </c>
    </row>
    <row r="455" spans="1:20" s="1" customFormat="1">
      <c r="A455" s="3">
        <v>45652</v>
      </c>
      <c r="B455" s="2" t="s">
        <v>16</v>
      </c>
      <c r="C455" s="2">
        <v>15</v>
      </c>
      <c r="D455" s="2">
        <v>22</v>
      </c>
      <c r="E455" s="1">
        <v>0</v>
      </c>
      <c r="F455" s="1">
        <f>IF(E455 + F454 &lt; 0, E455 + F454, 0)</f>
        <v>0</v>
      </c>
      <c r="G455" s="1">
        <v>0</v>
      </c>
      <c r="H455" s="1">
        <f>IF(G455 + H454 &lt; 0, G455 + H454, 0)</f>
        <v>0</v>
      </c>
      <c r="I455" s="1">
        <v>0</v>
      </c>
      <c r="J455" s="1">
        <f>IF(I455 + J454 &lt; 0, I455 + J454, 0)</f>
        <v>0</v>
      </c>
      <c r="K455" s="1">
        <v>0</v>
      </c>
      <c r="L455" s="1">
        <f>IF(K455 + L454 &lt; 0, K455 + L454, 0)</f>
        <v>0</v>
      </c>
      <c r="M455" s="1">
        <v>0</v>
      </c>
      <c r="N455" s="1">
        <f>IF(M455 + N454 &lt; 0, M455 + N454, 0)</f>
        <v>0</v>
      </c>
      <c r="O455" s="1">
        <v>0</v>
      </c>
      <c r="P455" s="1">
        <f>IF(O455 + P454 &lt; 0, O455 + P454, 0)</f>
        <v>0</v>
      </c>
      <c r="Q455" s="1">
        <v>0</v>
      </c>
      <c r="R455" s="1">
        <f>IF(Q455 + R454 &lt; 0, Q455 + R454, 0)</f>
        <v>0</v>
      </c>
      <c r="S455" s="1">
        <v>0</v>
      </c>
      <c r="T455" s="1">
        <f>IF(S455 + T454 &lt; 0, S455 + T454, 0)</f>
        <v>0</v>
      </c>
    </row>
    <row r="456" spans="1:20" s="1" customFormat="1">
      <c r="A456" s="3">
        <v>45653</v>
      </c>
      <c r="B456" s="2" t="s">
        <v>15</v>
      </c>
      <c r="C456" s="2">
        <v>14</v>
      </c>
      <c r="D456" s="2">
        <v>21</v>
      </c>
      <c r="E456" s="1">
        <v>0</v>
      </c>
      <c r="F456" s="1">
        <f>IF(E456 + F455 &lt; 0, E456 + F455, 0)</f>
        <v>0</v>
      </c>
      <c r="G456" s="1">
        <v>0</v>
      </c>
      <c r="H456" s="1">
        <f>IF(G456 + H455 &lt; 0, G456 + H455, 0)</f>
        <v>0</v>
      </c>
      <c r="I456" s="1">
        <v>0</v>
      </c>
      <c r="J456" s="1">
        <f>IF(I456 + J455 &lt; 0, I456 + J455, 0)</f>
        <v>0</v>
      </c>
      <c r="K456" s="1">
        <v>0</v>
      </c>
      <c r="L456" s="1">
        <f>IF(K456 + L455 &lt; 0, K456 + L455, 0)</f>
        <v>0</v>
      </c>
      <c r="M456" s="1">
        <v>0</v>
      </c>
      <c r="N456" s="1">
        <f>IF(M456 + N455 &lt; 0, M456 + N455, 0)</f>
        <v>0</v>
      </c>
      <c r="O456" s="1">
        <v>0</v>
      </c>
      <c r="P456" s="1">
        <f>IF(O456 + P455 &lt; 0, O456 + P455, 0)</f>
        <v>0</v>
      </c>
      <c r="Q456" s="1">
        <v>0</v>
      </c>
      <c r="R456" s="1">
        <f>IF(Q456 + R455 &lt; 0, Q456 + R455, 0)</f>
        <v>0</v>
      </c>
      <c r="S456" s="1">
        <v>0</v>
      </c>
      <c r="T456" s="1">
        <f>IF(S456 + T455 &lt; 0, S456 + T455, 0)</f>
        <v>0</v>
      </c>
    </row>
    <row r="457" spans="1:20" s="1" customFormat="1">
      <c r="A457" s="3">
        <v>45656</v>
      </c>
      <c r="B457" s="2" t="s">
        <v>12</v>
      </c>
      <c r="C457" s="2">
        <v>13</v>
      </c>
      <c r="D457" s="2">
        <v>20</v>
      </c>
      <c r="E457" s="1">
        <v>0</v>
      </c>
      <c r="F457" s="1">
        <f>IF(E457 + F456 &lt; 0, E457 + F456, 0)</f>
        <v>0</v>
      </c>
      <c r="G457" s="1">
        <v>0</v>
      </c>
      <c r="H457" s="1">
        <f>IF(G457 + H456 &lt; 0, G457 + H456, 0)</f>
        <v>0</v>
      </c>
      <c r="I457" s="1">
        <v>0</v>
      </c>
      <c r="J457" s="1">
        <f>IF(I457 + J456 &lt; 0, I457 + J456, 0)</f>
        <v>0</v>
      </c>
      <c r="K457" s="1">
        <v>0</v>
      </c>
      <c r="L457" s="1">
        <f>IF(K457 + L456 &lt; 0, K457 + L456, 0)</f>
        <v>0</v>
      </c>
      <c r="M457" s="1">
        <v>0</v>
      </c>
      <c r="N457" s="1">
        <f>IF(M457 + N456 &lt; 0, M457 + N456, 0)</f>
        <v>0</v>
      </c>
      <c r="O457" s="1">
        <v>0</v>
      </c>
      <c r="P457" s="1">
        <f>IF(O457 + P456 &lt; 0, O457 + P456, 0)</f>
        <v>0</v>
      </c>
      <c r="Q457" s="1">
        <v>0</v>
      </c>
      <c r="R457" s="1">
        <f>IF(Q457 + R456 &lt; 0, Q457 + R456, 0)</f>
        <v>0</v>
      </c>
      <c r="S457" s="1">
        <v>0</v>
      </c>
      <c r="T457" s="1">
        <f>IF(S457 + T456 &lt; 0, S457 + T456, 0)</f>
        <v>0</v>
      </c>
    </row>
    <row r="458" spans="1:20" s="1" customFormat="1">
      <c r="A458" s="3">
        <v>45657</v>
      </c>
      <c r="B458" s="2" t="s">
        <v>13</v>
      </c>
      <c r="C458" s="2">
        <v>12</v>
      </c>
      <c r="D458" s="2">
        <v>19</v>
      </c>
      <c r="E458" s="1">
        <v>0</v>
      </c>
      <c r="F458" s="1">
        <f>IF(E458 + F457 &lt; 0, E458 + F457, 0)</f>
        <v>0</v>
      </c>
      <c r="G458" s="1">
        <v>0</v>
      </c>
      <c r="H458" s="1">
        <f>IF(G458 + H457 &lt; 0, G458 + H457, 0)</f>
        <v>0</v>
      </c>
      <c r="I458" s="1">
        <v>0</v>
      </c>
      <c r="J458" s="1">
        <f>IF(I458 + J457 &lt; 0, I458 + J457, 0)</f>
        <v>0</v>
      </c>
      <c r="K458" s="1">
        <v>0</v>
      </c>
      <c r="L458" s="1">
        <f>IF(K458 + L457 &lt; 0, K458 + L457, 0)</f>
        <v>0</v>
      </c>
      <c r="M458" s="1">
        <v>0</v>
      </c>
      <c r="N458" s="1">
        <f>IF(M458 + N457 &lt; 0, M458 + N457, 0)</f>
        <v>0</v>
      </c>
      <c r="O458" s="1">
        <v>0</v>
      </c>
      <c r="P458" s="1">
        <f>IF(O458 + P457 &lt; 0, O458 + P457, 0)</f>
        <v>0</v>
      </c>
      <c r="Q458" s="1">
        <v>0</v>
      </c>
      <c r="R458" s="1">
        <f>IF(Q458 + R457 &lt; 0, Q458 + R457, 0)</f>
        <v>0</v>
      </c>
      <c r="S458" s="1">
        <v>0</v>
      </c>
      <c r="T458" s="1">
        <f>IF(S458 + T457 &lt; 0, S458 + T457, 0)</f>
        <v>0</v>
      </c>
    </row>
    <row r="459" spans="1:20" s="1" customFormat="1">
      <c r="A459" s="3">
        <v>45658</v>
      </c>
      <c r="B459" s="2" t="s">
        <v>14</v>
      </c>
      <c r="C459" s="2">
        <v>11</v>
      </c>
      <c r="D459" s="2">
        <v>18</v>
      </c>
      <c r="E459" s="1">
        <v>0</v>
      </c>
      <c r="F459" s="1">
        <f>IF(E459 + F458 &lt; 0, E459 + F458, 0)</f>
        <v>0</v>
      </c>
      <c r="G459" s="1">
        <v>0</v>
      </c>
      <c r="H459" s="1">
        <f>IF(G459 + H458 &lt; 0, G459 + H458, 0)</f>
        <v>0</v>
      </c>
      <c r="I459" s="1">
        <v>0</v>
      </c>
      <c r="J459" s="1">
        <f>IF(I459 + J458 &lt; 0, I459 + J458, 0)</f>
        <v>0</v>
      </c>
      <c r="K459" s="1">
        <v>0</v>
      </c>
      <c r="L459" s="1">
        <f>IF(K459 + L458 &lt; 0, K459 + L458, 0)</f>
        <v>0</v>
      </c>
      <c r="M459" s="1">
        <v>0</v>
      </c>
      <c r="N459" s="1">
        <f>IF(M459 + N458 &lt; 0, M459 + N458, 0)</f>
        <v>0</v>
      </c>
      <c r="O459" s="1">
        <v>0</v>
      </c>
      <c r="P459" s="1">
        <f>IF(O459 + P458 &lt; 0, O459 + P458, 0)</f>
        <v>0</v>
      </c>
      <c r="Q459" s="1">
        <v>0</v>
      </c>
      <c r="R459" s="1">
        <f>IF(Q459 + R458 &lt; 0, Q459 + R458, 0)</f>
        <v>0</v>
      </c>
      <c r="S459" s="1">
        <v>0</v>
      </c>
      <c r="T459" s="1">
        <f>IF(S459 + T458 &lt; 0, S459 + T458, 0)</f>
        <v>0</v>
      </c>
    </row>
    <row r="460" spans="1:20" s="1" customFormat="1">
      <c r="A460" s="3">
        <v>45659</v>
      </c>
      <c r="B460" s="2" t="s">
        <v>16</v>
      </c>
      <c r="C460" s="2">
        <v>10</v>
      </c>
      <c r="D460" s="2">
        <v>17</v>
      </c>
      <c r="E460" s="1">
        <v>25698.83587237712</v>
      </c>
      <c r="F460" s="1">
        <f>IF(E460 + F459 &lt; 0, E460 + F459, 0)</f>
        <v>0</v>
      </c>
      <c r="G460" s="1">
        <v>25698.83587237712</v>
      </c>
      <c r="H460" s="1">
        <f>IF(G460 + H459 &lt; 0, G460 + H459, 0)</f>
        <v>0</v>
      </c>
      <c r="I460" s="1">
        <v>25698.83587237712</v>
      </c>
      <c r="J460" s="1">
        <f>IF(I460 + J459 &lt; 0, I460 + J459, 0)</f>
        <v>0</v>
      </c>
      <c r="K460" s="1">
        <v>25698.83587237712</v>
      </c>
      <c r="L460" s="1">
        <f>IF(K460 + L459 &lt; 0, K460 + L459, 0)</f>
        <v>0</v>
      </c>
      <c r="M460" s="1">
        <v>0</v>
      </c>
      <c r="N460" s="1">
        <f>IF(M460 + N459 &lt; 0, M460 + N459, 0)</f>
        <v>0</v>
      </c>
      <c r="O460" s="1">
        <v>0</v>
      </c>
      <c r="P460" s="1">
        <f>IF(O460 + P459 &lt; 0, O460 + P459, 0)</f>
        <v>0</v>
      </c>
      <c r="Q460" s="1">
        <v>0</v>
      </c>
      <c r="R460" s="1">
        <f>IF(Q460 + R459 &lt; 0, Q460 + R459, 0)</f>
        <v>0</v>
      </c>
      <c r="S460" s="1">
        <v>0</v>
      </c>
      <c r="T460" s="1">
        <f>IF(S460 + T459 &lt; 0, S460 + T459, 0)</f>
        <v>0</v>
      </c>
    </row>
    <row r="461" spans="1:20" s="1" customFormat="1">
      <c r="A461" s="3">
        <v>45660</v>
      </c>
      <c r="B461" s="2" t="s">
        <v>15</v>
      </c>
      <c r="C461" s="2">
        <v>9</v>
      </c>
      <c r="D461" s="2">
        <v>16</v>
      </c>
      <c r="E461" s="1">
        <v>-14970.21291596167</v>
      </c>
      <c r="F461" s="1">
        <f>IF(E461 + F460 &lt; 0, E461 + F460, 0)</f>
        <v>0</v>
      </c>
      <c r="G461" s="1">
        <v>-62649.81669486743</v>
      </c>
      <c r="H461" s="1">
        <f>IF(G461 + H460 &lt; 0, G461 + H460, 0)</f>
        <v>0</v>
      </c>
      <c r="I461" s="1">
        <v>-62649.81669486743</v>
      </c>
      <c r="J461" s="1">
        <f>IF(I461 + J460 &lt; 0, I461 + J460, 0)</f>
        <v>0</v>
      </c>
      <c r="K461" s="1">
        <v>-62649.81669486743</v>
      </c>
      <c r="L461" s="1">
        <f>IF(K461 + L460 &lt; 0, K461 + L460, 0)</f>
        <v>0</v>
      </c>
      <c r="M461" s="1">
        <v>0</v>
      </c>
      <c r="N461" s="1">
        <f>IF(M461 + N460 &lt; 0, M461 + N460, 0)</f>
        <v>0</v>
      </c>
      <c r="O461" s="1">
        <v>0</v>
      </c>
      <c r="P461" s="1">
        <f>IF(O461 + P460 &lt; 0, O461 + P460, 0)</f>
        <v>0</v>
      </c>
      <c r="Q461" s="1">
        <v>0</v>
      </c>
      <c r="R461" s="1">
        <f>IF(Q461 + R460 &lt; 0, Q461 + R460, 0)</f>
        <v>0</v>
      </c>
      <c r="S461" s="1">
        <v>0</v>
      </c>
      <c r="T461" s="1">
        <f>IF(S461 + T460 &lt; 0, S461 + T460, 0)</f>
        <v>0</v>
      </c>
    </row>
    <row r="462" spans="1:20" s="1" customFormat="1">
      <c r="A462" s="3">
        <v>45663</v>
      </c>
      <c r="B462" s="2" t="s">
        <v>12</v>
      </c>
      <c r="C462" s="2">
        <v>8</v>
      </c>
      <c r="D462" s="2">
        <v>15</v>
      </c>
      <c r="E462" s="1">
        <v>24620.74764390568</v>
      </c>
      <c r="F462" s="1">
        <f>IF(E462 + F461 &lt; 0, E462 + F461, 0)</f>
        <v>0</v>
      </c>
      <c r="G462" s="1">
        <v>24620.74764390568</v>
      </c>
      <c r="H462" s="1">
        <f>IF(G462 + H461 &lt; 0, G462 + H461, 0)</f>
        <v>0</v>
      </c>
      <c r="I462" s="1">
        <v>24620.74764390568</v>
      </c>
      <c r="J462" s="1">
        <f>IF(I462 + J461 &lt; 0, I462 + J461, 0)</f>
        <v>0</v>
      </c>
      <c r="K462" s="1">
        <v>24620.74764390568</v>
      </c>
      <c r="L462" s="1">
        <f>IF(K462 + L461 &lt; 0, K462 + L461, 0)</f>
        <v>0</v>
      </c>
      <c r="M462" s="1">
        <v>0</v>
      </c>
      <c r="N462" s="1">
        <f>IF(M462 + N461 &lt; 0, M462 + N461, 0)</f>
        <v>0</v>
      </c>
      <c r="O462" s="1">
        <v>0</v>
      </c>
      <c r="P462" s="1">
        <f>IF(O462 + P461 &lt; 0, O462 + P461, 0)</f>
        <v>0</v>
      </c>
      <c r="Q462" s="1">
        <v>0</v>
      </c>
      <c r="R462" s="1">
        <f>IF(Q462 + R461 &lt; 0, Q462 + R461, 0)</f>
        <v>0</v>
      </c>
      <c r="S462" s="1">
        <v>0</v>
      </c>
      <c r="T462" s="1">
        <f>IF(S462 + T461 &lt; 0, S462 + T461, 0)</f>
        <v>0</v>
      </c>
    </row>
    <row r="463" spans="1:20" s="1" customFormat="1">
      <c r="A463" s="3">
        <v>45664</v>
      </c>
      <c r="B463" s="2" t="s">
        <v>13</v>
      </c>
      <c r="C463" s="2">
        <v>7</v>
      </c>
      <c r="D463" s="2">
        <v>14</v>
      </c>
      <c r="E463" s="1">
        <v>68804.83422007681</v>
      </c>
      <c r="F463" s="1">
        <f>IF(E463 + F462 &lt; 0, E463 + F462, 0)</f>
        <v>0</v>
      </c>
      <c r="G463" s="1">
        <v>68804.83422007681</v>
      </c>
      <c r="H463" s="1">
        <f>IF(G463 + H462 &lt; 0, G463 + H462, 0)</f>
        <v>0</v>
      </c>
      <c r="I463" s="1">
        <v>68804.83422007681</v>
      </c>
      <c r="J463" s="1">
        <f>IF(I463 + J462 &lt; 0, I463 + J462, 0)</f>
        <v>0</v>
      </c>
      <c r="K463" s="1">
        <v>68804.83422007681</v>
      </c>
      <c r="L463" s="1">
        <f>IF(K463 + L462 &lt; 0, K463 + L462, 0)</f>
        <v>0</v>
      </c>
      <c r="M463" s="1">
        <v>0</v>
      </c>
      <c r="N463" s="1">
        <f>IF(M463 + N462 &lt; 0, M463 + N462, 0)</f>
        <v>0</v>
      </c>
      <c r="O463" s="1">
        <v>0</v>
      </c>
      <c r="P463" s="1">
        <f>IF(O463 + P462 &lt; 0, O463 + P462, 0)</f>
        <v>0</v>
      </c>
      <c r="Q463" s="1">
        <v>0</v>
      </c>
      <c r="R463" s="1">
        <f>IF(Q463 + R462 &lt; 0, Q463 + R462, 0)</f>
        <v>0</v>
      </c>
      <c r="S463" s="1">
        <v>0</v>
      </c>
      <c r="T463" s="1">
        <f>IF(S463 + T462 &lt; 0, S463 + T462, 0)</f>
        <v>0</v>
      </c>
    </row>
    <row r="464" spans="1:20" s="1" customFormat="1">
      <c r="A464" s="3">
        <v>45665</v>
      </c>
      <c r="B464" s="2" t="s">
        <v>14</v>
      </c>
      <c r="C464" s="2">
        <v>6</v>
      </c>
      <c r="D464" s="2">
        <v>13</v>
      </c>
      <c r="E464" s="1">
        <v>42048.25337357337</v>
      </c>
      <c r="F464" s="1">
        <f>IF(E464 + F463 &lt; 0, E464 + F463, 0)</f>
        <v>0</v>
      </c>
      <c r="G464" s="1">
        <v>9704.443750650429</v>
      </c>
      <c r="H464" s="1">
        <f>IF(G464 + H463 &lt; 0, G464 + H463, 0)</f>
        <v>0</v>
      </c>
      <c r="I464" s="1">
        <v>9704.443750650429</v>
      </c>
      <c r="J464" s="1">
        <f>IF(I464 + J463 &lt; 0, I464 + J463, 0)</f>
        <v>0</v>
      </c>
      <c r="K464" s="1">
        <v>9704.443750650429</v>
      </c>
      <c r="L464" s="1">
        <f>IF(K464 + L463 &lt; 0, K464 + L463, 0)</f>
        <v>0</v>
      </c>
      <c r="M464" s="1">
        <v>0</v>
      </c>
      <c r="N464" s="1">
        <f>IF(M464 + N463 &lt; 0, M464 + N463, 0)</f>
        <v>0</v>
      </c>
      <c r="O464" s="1">
        <v>0</v>
      </c>
      <c r="P464" s="1">
        <f>IF(O464 + P463 &lt; 0, O464 + P463, 0)</f>
        <v>0</v>
      </c>
      <c r="Q464" s="1">
        <v>0</v>
      </c>
      <c r="R464" s="1">
        <f>IF(Q464 + R463 &lt; 0, Q464 + R463, 0)</f>
        <v>0</v>
      </c>
      <c r="S464" s="1">
        <v>0</v>
      </c>
      <c r="T464" s="1">
        <f>IF(S464 + T463 &lt; 0, S464 + T463, 0)</f>
        <v>0</v>
      </c>
    </row>
    <row r="465" spans="1:20" s="1" customFormat="1">
      <c r="A465" s="3">
        <v>45666</v>
      </c>
      <c r="B465" s="2" t="s">
        <v>16</v>
      </c>
      <c r="C465" s="2">
        <v>5</v>
      </c>
      <c r="D465" s="2">
        <v>12</v>
      </c>
      <c r="E465" s="1">
        <v>23066.21559713852</v>
      </c>
      <c r="F465" s="1">
        <f>IF(E465 + F464 &lt; 0, E465 + F464, 0)</f>
        <v>0</v>
      </c>
      <c r="G465" s="1">
        <v>32843.5000176199</v>
      </c>
      <c r="H465" s="1">
        <f>IF(G465 + H464 &lt; 0, G465 + H464, 0)</f>
        <v>0</v>
      </c>
      <c r="I465" s="1">
        <v>32843.5000176199</v>
      </c>
      <c r="J465" s="1">
        <f>IF(I465 + J464 &lt; 0, I465 + J464, 0)</f>
        <v>0</v>
      </c>
      <c r="K465" s="1">
        <v>32843.5000176199</v>
      </c>
      <c r="L465" s="1">
        <f>IF(K465 + L464 &lt; 0, K465 + L464, 0)</f>
        <v>0</v>
      </c>
      <c r="M465" s="1">
        <v>0</v>
      </c>
      <c r="N465" s="1">
        <f>IF(M465 + N464 &lt; 0, M465 + N464, 0)</f>
        <v>0</v>
      </c>
      <c r="O465" s="1">
        <v>0</v>
      </c>
      <c r="P465" s="1">
        <f>IF(O465 + P464 &lt; 0, O465 + P464, 0)</f>
        <v>0</v>
      </c>
      <c r="Q465" s="1">
        <v>0</v>
      </c>
      <c r="R465" s="1">
        <f>IF(Q465 + R464 &lt; 0, Q465 + R464, 0)</f>
        <v>0</v>
      </c>
      <c r="S465" s="1">
        <v>0</v>
      </c>
      <c r="T465" s="1">
        <f>IF(S465 + T464 &lt; 0, S465 + T464, 0)</f>
        <v>0</v>
      </c>
    </row>
    <row r="466" spans="1:20" s="1" customFormat="1">
      <c r="A466" s="3">
        <v>45667</v>
      </c>
      <c r="B466" s="2" t="s">
        <v>15</v>
      </c>
      <c r="C466" s="2">
        <v>4</v>
      </c>
      <c r="D466" s="2">
        <v>11</v>
      </c>
      <c r="E466" s="1">
        <v>-132430.7831787433</v>
      </c>
      <c r="F466" s="1">
        <f>IF(E466 + F465 &lt; 0, E466 + F465, 0)</f>
        <v>0</v>
      </c>
      <c r="G466" s="1">
        <v>-224237.2201687705</v>
      </c>
      <c r="H466" s="1">
        <f>IF(G466 + H465 &lt; 0, G466 + H465, 0)</f>
        <v>0</v>
      </c>
      <c r="I466" s="1">
        <v>99361.88018690284</v>
      </c>
      <c r="J466" s="1">
        <f>IF(I466 + J465 &lt; 0, I466 + J465, 0)</f>
        <v>0</v>
      </c>
      <c r="K466" s="1">
        <v>99361.88018690284</v>
      </c>
      <c r="L466" s="1">
        <f>IF(K466 + L465 &lt; 0, K466 + L465, 0)</f>
        <v>0</v>
      </c>
      <c r="M466" s="1">
        <v>0</v>
      </c>
      <c r="N466" s="1">
        <f>IF(M466 + N465 &lt; 0, M466 + N465, 0)</f>
        <v>0</v>
      </c>
      <c r="O466" s="1">
        <v>0</v>
      </c>
      <c r="P466" s="1">
        <f>IF(O466 + P465 &lt; 0, O466 + P465, 0)</f>
        <v>0</v>
      </c>
      <c r="Q466" s="1">
        <v>0</v>
      </c>
      <c r="R466" s="1">
        <f>IF(Q466 + R465 &lt; 0, Q466 + R465, 0)</f>
        <v>0</v>
      </c>
      <c r="S466" s="1">
        <v>0</v>
      </c>
      <c r="T466" s="1">
        <f>IF(S466 + T465 &lt; 0, S466 + T465, 0)</f>
        <v>0</v>
      </c>
    </row>
    <row r="467" spans="1:20" s="1" customFormat="1">
      <c r="A467" s="3">
        <v>45670</v>
      </c>
      <c r="B467" s="2" t="s">
        <v>12</v>
      </c>
      <c r="C467" s="2">
        <v>3</v>
      </c>
      <c r="D467" s="2">
        <v>10</v>
      </c>
      <c r="E467" s="1">
        <v>192901.439278371</v>
      </c>
      <c r="F467" s="1">
        <f>IF(E467 + F466 &lt; 0, E467 + F466, 0)</f>
        <v>0</v>
      </c>
      <c r="G467" s="1">
        <v>192901.439278371</v>
      </c>
      <c r="H467" s="1">
        <f>IF(G467 + H466 &lt; 0, G467 + H466, 0)</f>
        <v>0</v>
      </c>
      <c r="I467" s="1">
        <v>192901.439278371</v>
      </c>
      <c r="J467" s="1">
        <f>IF(I467 + J466 &lt; 0, I467 + J466, 0)</f>
        <v>0</v>
      </c>
      <c r="K467" s="1">
        <v>192901.439278371</v>
      </c>
      <c r="L467" s="1">
        <f>IF(K467 + L466 &lt; 0, K467 + L466, 0)</f>
        <v>0</v>
      </c>
      <c r="M467" s="1">
        <v>0</v>
      </c>
      <c r="N467" s="1">
        <f>IF(M467 + N466 &lt; 0, M467 + N466, 0)</f>
        <v>0</v>
      </c>
      <c r="O467" s="1">
        <v>0</v>
      </c>
      <c r="P467" s="1">
        <f>IF(O467 + P466 &lt; 0, O467 + P466, 0)</f>
        <v>0</v>
      </c>
      <c r="Q467" s="1">
        <v>0</v>
      </c>
      <c r="R467" s="1">
        <f>IF(Q467 + R466 &lt; 0, Q467 + R466, 0)</f>
        <v>0</v>
      </c>
      <c r="S467" s="1">
        <v>0</v>
      </c>
      <c r="T467" s="1">
        <f>IF(S467 + T466 &lt; 0, S467 + T466, 0)</f>
        <v>0</v>
      </c>
    </row>
    <row r="468" spans="1:20" s="1" customFormat="1">
      <c r="A468" s="3">
        <v>45671</v>
      </c>
      <c r="B468" s="2" t="s">
        <v>13</v>
      </c>
      <c r="C468" s="2">
        <v>2</v>
      </c>
      <c r="D468" s="2">
        <v>9</v>
      </c>
      <c r="E468" s="1">
        <v>141139.4984837122</v>
      </c>
      <c r="F468" s="1">
        <f>IF(E468 + F467 &lt; 0, E468 + F467, 0)</f>
        <v>0</v>
      </c>
      <c r="G468" s="1">
        <v>153291.8120455213</v>
      </c>
      <c r="H468" s="1">
        <f>IF(G468 + H467 &lt; 0, G468 + H467, 0)</f>
        <v>0</v>
      </c>
      <c r="I468" s="1">
        <v>153291.8120455213</v>
      </c>
      <c r="J468" s="1">
        <f>IF(I468 + J467 &lt; 0, I468 + J467, 0)</f>
        <v>0</v>
      </c>
      <c r="K468" s="1">
        <v>153291.8120455213</v>
      </c>
      <c r="L468" s="1">
        <f>IF(K468 + L467 &lt; 0, K468 + L467, 0)</f>
        <v>0</v>
      </c>
      <c r="M468" s="1">
        <v>0</v>
      </c>
      <c r="N468" s="1">
        <f>IF(M468 + N467 &lt; 0, M468 + N467, 0)</f>
        <v>0</v>
      </c>
      <c r="O468" s="1">
        <v>0</v>
      </c>
      <c r="P468" s="1">
        <f>IF(O468 + P467 &lt; 0, O468 + P467, 0)</f>
        <v>0</v>
      </c>
      <c r="Q468" s="1">
        <v>0</v>
      </c>
      <c r="R468" s="1">
        <f>IF(Q468 + R467 &lt; 0, Q468 + R467, 0)</f>
        <v>0</v>
      </c>
      <c r="S468" s="1">
        <v>0</v>
      </c>
      <c r="T468" s="1">
        <f>IF(S468 + T467 &lt; 0, S468 + T467, 0)</f>
        <v>0</v>
      </c>
    </row>
    <row r="469" spans="1:20" s="1" customFormat="1">
      <c r="A469" s="3">
        <v>45672</v>
      </c>
      <c r="B469" s="2" t="s">
        <v>14</v>
      </c>
      <c r="C469" s="2">
        <v>1</v>
      </c>
      <c r="D469" s="2">
        <v>8</v>
      </c>
      <c r="E469" s="1">
        <v>70150.89412620237</v>
      </c>
      <c r="F469" s="1">
        <f>IF(E469 + F468 &lt; 0, E469 + F468, 0)</f>
        <v>0</v>
      </c>
      <c r="G469" s="1">
        <v>-63968.0362278121</v>
      </c>
      <c r="H469" s="1">
        <f>IF(G469 + H468 &lt; 0, G469 + H468, 0)</f>
        <v>0</v>
      </c>
      <c r="I469" s="1">
        <v>-211557.5314844809</v>
      </c>
      <c r="J469" s="1">
        <f>IF(I469 + J468 &lt; 0, I469 + J468, 0)</f>
        <v>0</v>
      </c>
      <c r="K469" s="1">
        <v>-316836.346808581</v>
      </c>
      <c r="L469" s="1">
        <f>IF(K469 + L468 &lt; 0, K469 + L468, 0)</f>
        <v>0</v>
      </c>
      <c r="M469" s="1">
        <v>0</v>
      </c>
      <c r="N469" s="1">
        <f>IF(M469 + N468 &lt; 0, M469 + N468, 0)</f>
        <v>0</v>
      </c>
      <c r="O469" s="1">
        <v>0</v>
      </c>
      <c r="P469" s="1">
        <f>IF(O469 + P468 &lt; 0, O469 + P468, 0)</f>
        <v>0</v>
      </c>
      <c r="Q469" s="1">
        <v>0</v>
      </c>
      <c r="R469" s="1">
        <f>IF(Q469 + R468 &lt; 0, Q469 + R468, 0)</f>
        <v>0</v>
      </c>
      <c r="S469" s="1">
        <v>0</v>
      </c>
      <c r="T469" s="1">
        <f>IF(S469 + T468 &lt; 0, S469 + T468, 0)</f>
        <v>0</v>
      </c>
    </row>
    <row r="470" spans="1:20" s="1" customFormat="1">
      <c r="A470" s="3">
        <v>45673</v>
      </c>
      <c r="B470" s="2" t="s">
        <v>16</v>
      </c>
      <c r="C470" s="2">
        <v>24</v>
      </c>
      <c r="D470" s="2">
        <v>7</v>
      </c>
      <c r="E470" s="1">
        <v>0</v>
      </c>
      <c r="F470" s="1">
        <f>IF(E470 + F469 &lt; 0, E470 + F469, 0)</f>
        <v>0</v>
      </c>
      <c r="G470" s="1">
        <v>0</v>
      </c>
      <c r="H470" s="1">
        <f>IF(G470 + H469 &lt; 0, G470 + H469, 0)</f>
        <v>0</v>
      </c>
      <c r="I470" s="1">
        <v>0</v>
      </c>
      <c r="J470" s="1">
        <f>IF(I470 + J469 &lt; 0, I470 + J469, 0)</f>
        <v>0</v>
      </c>
      <c r="K470" s="1">
        <v>0</v>
      </c>
      <c r="L470" s="1">
        <f>IF(K470 + L469 &lt; 0, K470 + L469, 0)</f>
        <v>0</v>
      </c>
      <c r="M470" s="1">
        <v>0</v>
      </c>
      <c r="N470" s="1">
        <f>IF(M470 + N469 &lt; 0, M470 + N469, 0)</f>
        <v>0</v>
      </c>
      <c r="O470" s="1">
        <v>0</v>
      </c>
      <c r="P470" s="1">
        <f>IF(O470 + P469 &lt; 0, O470 + P469, 0)</f>
        <v>0</v>
      </c>
      <c r="Q470" s="1">
        <v>0</v>
      </c>
      <c r="R470" s="1">
        <f>IF(Q470 + R469 &lt; 0, Q470 + R469, 0)</f>
        <v>0</v>
      </c>
      <c r="S470" s="1">
        <v>0</v>
      </c>
      <c r="T470" s="1">
        <f>IF(S470 + T469 &lt; 0, S470 + T469, 0)</f>
        <v>0</v>
      </c>
    </row>
    <row r="471" spans="1:20" s="1" customFormat="1">
      <c r="A471" s="3">
        <v>45674</v>
      </c>
      <c r="B471" s="2" t="s">
        <v>15</v>
      </c>
      <c r="C471" s="2">
        <v>23</v>
      </c>
      <c r="D471" s="2">
        <v>6</v>
      </c>
      <c r="E471" s="1">
        <v>0</v>
      </c>
      <c r="F471" s="1">
        <f>IF(E471 + F470 &lt; 0, E471 + F470, 0)</f>
        <v>0</v>
      </c>
      <c r="G471" s="1">
        <v>0</v>
      </c>
      <c r="H471" s="1">
        <f>IF(G471 + H470 &lt; 0, G471 + H470, 0)</f>
        <v>0</v>
      </c>
      <c r="I471" s="1">
        <v>0</v>
      </c>
      <c r="J471" s="1">
        <f>IF(I471 + J470 &lt; 0, I471 + J470, 0)</f>
        <v>0</v>
      </c>
      <c r="K471" s="1">
        <v>0</v>
      </c>
      <c r="L471" s="1">
        <f>IF(K471 + L470 &lt; 0, K471 + L470, 0)</f>
        <v>0</v>
      </c>
      <c r="M471" s="1">
        <v>55580.81382132303</v>
      </c>
      <c r="N471" s="1">
        <f>IF(M471 + N470 &lt; 0, M471 + N470, 0)</f>
        <v>0</v>
      </c>
      <c r="O471" s="1">
        <v>55580.81382132303</v>
      </c>
      <c r="P471" s="1">
        <f>IF(O471 + P470 &lt; 0, O471 + P470, 0)</f>
        <v>0</v>
      </c>
      <c r="Q471" s="1">
        <v>55580.81382132303</v>
      </c>
      <c r="R471" s="1">
        <f>IF(Q471 + R470 &lt; 0, Q471 + R470, 0)</f>
        <v>0</v>
      </c>
      <c r="S471" s="1">
        <v>55580.81382132303</v>
      </c>
      <c r="T471" s="1">
        <f>IF(S471 + T470 &lt; 0, S471 + T470, 0)</f>
        <v>0</v>
      </c>
    </row>
    <row r="472" spans="1:20" s="1" customFormat="1">
      <c r="A472" s="3">
        <v>45677</v>
      </c>
      <c r="B472" s="2" t="s">
        <v>12</v>
      </c>
      <c r="C472" s="2">
        <v>22</v>
      </c>
      <c r="D472" s="2">
        <v>5</v>
      </c>
      <c r="E472" s="1">
        <v>0</v>
      </c>
      <c r="F472" s="1">
        <f>IF(E472 + F471 &lt; 0, E472 + F471, 0)</f>
        <v>0</v>
      </c>
      <c r="G472" s="1">
        <v>0</v>
      </c>
      <c r="H472" s="1">
        <f>IF(G472 + H471 &lt; 0, G472 + H471, 0)</f>
        <v>0</v>
      </c>
      <c r="I472" s="1">
        <v>0</v>
      </c>
      <c r="J472" s="1">
        <f>IF(I472 + J471 &lt; 0, I472 + J471, 0)</f>
        <v>0</v>
      </c>
      <c r="K472" s="1">
        <v>0</v>
      </c>
      <c r="L472" s="1">
        <f>IF(K472 + L471 &lt; 0, K472 + L471, 0)</f>
        <v>0</v>
      </c>
      <c r="M472" s="1">
        <v>61580.41603247083</v>
      </c>
      <c r="N472" s="1">
        <f>IF(M472 + N471 &lt; 0, M472 + N471, 0)</f>
        <v>0</v>
      </c>
      <c r="O472" s="1">
        <v>61580.41603247083</v>
      </c>
      <c r="P472" s="1">
        <f>IF(O472 + P471 &lt; 0, O472 + P471, 0)</f>
        <v>0</v>
      </c>
      <c r="Q472" s="1">
        <v>61580.41603247083</v>
      </c>
      <c r="R472" s="1">
        <f>IF(Q472 + R471 &lt; 0, Q472 + R471, 0)</f>
        <v>0</v>
      </c>
      <c r="S472" s="1">
        <v>61580.41603247083</v>
      </c>
      <c r="T472" s="1">
        <f>IF(S472 + T471 &lt; 0, S472 + T471, 0)</f>
        <v>0</v>
      </c>
    </row>
    <row r="473" spans="1:20" s="1" customFormat="1">
      <c r="A473" s="3">
        <v>45678</v>
      </c>
      <c r="B473" s="2" t="s">
        <v>13</v>
      </c>
      <c r="C473" s="2">
        <v>21</v>
      </c>
      <c r="D473" s="2">
        <v>4</v>
      </c>
      <c r="E473" s="1">
        <v>0</v>
      </c>
      <c r="F473" s="1">
        <f>IF(E473 + F472 &lt; 0, E473 + F472, 0)</f>
        <v>0</v>
      </c>
      <c r="G473" s="1">
        <v>0</v>
      </c>
      <c r="H473" s="1">
        <f>IF(G473 + H472 &lt; 0, G473 + H472, 0)</f>
        <v>0</v>
      </c>
      <c r="I473" s="1">
        <v>0</v>
      </c>
      <c r="J473" s="1">
        <f>IF(I473 + J472 &lt; 0, I473 + J472, 0)</f>
        <v>0</v>
      </c>
      <c r="K473" s="1">
        <v>0</v>
      </c>
      <c r="L473" s="1">
        <f>IF(K473 + L472 &lt; 0, K473 + L472, 0)</f>
        <v>0</v>
      </c>
      <c r="M473" s="1">
        <v>50810.94779523569</v>
      </c>
      <c r="N473" s="1">
        <f>IF(M473 + N472 &lt; 0, M473 + N472, 0)</f>
        <v>0</v>
      </c>
      <c r="O473" s="1">
        <v>50810.94779523569</v>
      </c>
      <c r="P473" s="1">
        <f>IF(O473 + P472 &lt; 0, O473 + P472, 0)</f>
        <v>0</v>
      </c>
      <c r="Q473" s="1">
        <v>50810.94779523569</v>
      </c>
      <c r="R473" s="1">
        <f>IF(Q473 + R472 &lt; 0, Q473 + R472, 0)</f>
        <v>0</v>
      </c>
      <c r="S473" s="1">
        <v>50810.94779523569</v>
      </c>
      <c r="T473" s="1">
        <f>IF(S473 + T472 &lt; 0, S473 + T472, 0)</f>
        <v>0</v>
      </c>
    </row>
    <row r="474" spans="1:20" s="1" customFormat="1">
      <c r="A474" s="3">
        <v>45679</v>
      </c>
      <c r="B474" s="2" t="s">
        <v>14</v>
      </c>
      <c r="C474" s="2">
        <v>20</v>
      </c>
      <c r="D474" s="2">
        <v>3</v>
      </c>
      <c r="E474" s="1">
        <v>0</v>
      </c>
      <c r="F474" s="1">
        <f>IF(E474 + F473 &lt; 0, E474 + F473, 0)</f>
        <v>0</v>
      </c>
      <c r="G474" s="1">
        <v>0</v>
      </c>
      <c r="H474" s="1">
        <f>IF(G474 + H473 &lt; 0, G474 + H473, 0)</f>
        <v>0</v>
      </c>
      <c r="I474" s="1">
        <v>0</v>
      </c>
      <c r="J474" s="1">
        <f>IF(I474 + J473 &lt; 0, I474 + J473, 0)</f>
        <v>0</v>
      </c>
      <c r="K474" s="1">
        <v>0</v>
      </c>
      <c r="L474" s="1">
        <f>IF(K474 + L473 &lt; 0, K474 + L473, 0)</f>
        <v>0</v>
      </c>
      <c r="M474" s="1">
        <v>-48071.00743399129</v>
      </c>
      <c r="N474" s="1">
        <f>IF(M474 + N473 &lt; 0, M474 + N473, 0)</f>
        <v>0</v>
      </c>
      <c r="O474" s="1">
        <v>-47744.16816200974</v>
      </c>
      <c r="P474" s="1">
        <f>IF(O474 + P473 &lt; 0, O474 + P473, 0)</f>
        <v>0</v>
      </c>
      <c r="Q474" s="1">
        <v>-47744.16816200974</v>
      </c>
      <c r="R474" s="1">
        <f>IF(Q474 + R473 &lt; 0, Q474 + R473, 0)</f>
        <v>0</v>
      </c>
      <c r="S474" s="1">
        <v>-47744.16816200974</v>
      </c>
      <c r="T474" s="1">
        <f>IF(S474 + T473 &lt; 0, S474 + T473, 0)</f>
        <v>0</v>
      </c>
    </row>
    <row r="475" spans="1:20" s="1" customFormat="1">
      <c r="A475" s="3">
        <v>45680</v>
      </c>
      <c r="B475" s="2" t="s">
        <v>16</v>
      </c>
      <c r="C475" s="2">
        <v>19</v>
      </c>
      <c r="D475" s="2">
        <v>2</v>
      </c>
      <c r="E475" s="1">
        <v>0</v>
      </c>
      <c r="F475" s="1">
        <f>IF(E475 + F474 &lt; 0, E475 + F474, 0)</f>
        <v>0</v>
      </c>
      <c r="G475" s="1">
        <v>0</v>
      </c>
      <c r="H475" s="1">
        <f>IF(G475 + H474 &lt; 0, G475 + H474, 0)</f>
        <v>0</v>
      </c>
      <c r="I475" s="1">
        <v>0</v>
      </c>
      <c r="J475" s="1">
        <f>IF(I475 + J474 &lt; 0, I475 + J474, 0)</f>
        <v>0</v>
      </c>
      <c r="K475" s="1">
        <v>0</v>
      </c>
      <c r="L475" s="1">
        <f>IF(K475 + L474 &lt; 0, K475 + L474, 0)</f>
        <v>0</v>
      </c>
      <c r="M475" s="1">
        <v>104396.7404524447</v>
      </c>
      <c r="N475" s="1">
        <f>IF(M475 + N474 &lt; 0, M475 + N474, 0)</f>
        <v>0</v>
      </c>
      <c r="O475" s="1">
        <v>104396.7404524447</v>
      </c>
      <c r="P475" s="1">
        <f>IF(O475 + P474 &lt; 0, O475 + P474, 0)</f>
        <v>0</v>
      </c>
      <c r="Q475" s="1">
        <v>104396.7404524447</v>
      </c>
      <c r="R475" s="1">
        <f>IF(Q475 + R474 &lt; 0, Q475 + R474, 0)</f>
        <v>0</v>
      </c>
      <c r="S475" s="1">
        <v>104396.7404524447</v>
      </c>
      <c r="T475" s="1">
        <f>IF(S475 + T474 &lt; 0, S475 + T474, 0)</f>
        <v>0</v>
      </c>
    </row>
    <row r="476" spans="1:20" s="1" customFormat="1">
      <c r="A476" s="3">
        <v>45681</v>
      </c>
      <c r="B476" s="2" t="s">
        <v>15</v>
      </c>
      <c r="C476" s="2">
        <v>18</v>
      </c>
      <c r="D476" s="2">
        <v>1</v>
      </c>
      <c r="E476" s="1">
        <v>0</v>
      </c>
      <c r="F476" s="1">
        <f>IF(E476 + F475 &lt; 0, E476 + F475, 0)</f>
        <v>0</v>
      </c>
      <c r="G476" s="1">
        <v>0</v>
      </c>
      <c r="H476" s="1">
        <f>IF(G476 + H475 &lt; 0, G476 + H475, 0)</f>
        <v>0</v>
      </c>
      <c r="I476" s="1">
        <v>0</v>
      </c>
      <c r="J476" s="1">
        <f>IF(I476 + J475 &lt; 0, I476 + J475, 0)</f>
        <v>0</v>
      </c>
      <c r="K476" s="1">
        <v>0</v>
      </c>
      <c r="L476" s="1">
        <f>IF(K476 + L475 &lt; 0, K476 + L475, 0)</f>
        <v>0</v>
      </c>
      <c r="M476" s="1">
        <v>99144.59161147903</v>
      </c>
      <c r="N476" s="1">
        <f>IF(M476 + N475 &lt; 0, M476 + N475, 0)</f>
        <v>0</v>
      </c>
      <c r="O476" s="1">
        <v>99144.59161147903</v>
      </c>
      <c r="P476" s="1">
        <f>IF(O476 + P475 &lt; 0, O476 + P475, 0)</f>
        <v>0</v>
      </c>
      <c r="Q476" s="1">
        <v>99144.59161147903</v>
      </c>
      <c r="R476" s="1">
        <f>IF(Q476 + R475 &lt; 0, Q476 + R475, 0)</f>
        <v>0</v>
      </c>
      <c r="S476" s="1">
        <v>99144.59161147903</v>
      </c>
      <c r="T476" s="1">
        <f>IF(S476 + T475 &lt; 0, S476 + T475, 0)</f>
        <v>0</v>
      </c>
    </row>
    <row r="477" spans="1:20" s="1" customFormat="1">
      <c r="A477" s="3">
        <v>45684</v>
      </c>
      <c r="B477" s="2" t="s">
        <v>12</v>
      </c>
      <c r="C477" s="2">
        <v>17</v>
      </c>
      <c r="D477" s="2">
        <v>21</v>
      </c>
      <c r="E477" s="1">
        <v>0</v>
      </c>
      <c r="F477" s="1">
        <f>IF(E477 + F476 &lt; 0, E477 + F476, 0)</f>
        <v>0</v>
      </c>
      <c r="G477" s="1">
        <v>0</v>
      </c>
      <c r="H477" s="1">
        <f>IF(G477 + H476 &lt; 0, G477 + H476, 0)</f>
        <v>0</v>
      </c>
      <c r="I477" s="1">
        <v>0</v>
      </c>
      <c r="J477" s="1">
        <f>IF(I477 + J476 &lt; 0, I477 + J476, 0)</f>
        <v>0</v>
      </c>
      <c r="K477" s="1">
        <v>0</v>
      </c>
      <c r="L477" s="1">
        <f>IF(K477 + L476 &lt; 0, K477 + L476, 0)</f>
        <v>0</v>
      </c>
      <c r="M477" s="1">
        <v>0</v>
      </c>
      <c r="N477" s="1">
        <f>IF(M477 + N476 &lt; 0, M477 + N476, 0)</f>
        <v>0</v>
      </c>
      <c r="O477" s="1">
        <v>0</v>
      </c>
      <c r="P477" s="1">
        <f>IF(O477 + P476 &lt; 0, O477 + P476, 0)</f>
        <v>0</v>
      </c>
      <c r="Q477" s="1">
        <v>0</v>
      </c>
      <c r="R477" s="1">
        <f>IF(Q477 + R476 &lt; 0, Q477 + R476, 0)</f>
        <v>0</v>
      </c>
      <c r="S477" s="1">
        <v>0</v>
      </c>
      <c r="T477" s="1">
        <f>IF(S477 + T476 &lt; 0, S477 + T476, 0)</f>
        <v>0</v>
      </c>
    </row>
    <row r="478" spans="1:20" s="1" customFormat="1">
      <c r="A478" s="3">
        <v>45685</v>
      </c>
      <c r="B478" s="2" t="s">
        <v>13</v>
      </c>
      <c r="C478" s="2">
        <v>16</v>
      </c>
      <c r="D478" s="2">
        <v>20</v>
      </c>
      <c r="E478" s="1">
        <v>0</v>
      </c>
      <c r="F478" s="1">
        <f>IF(E478 + F477 &lt; 0, E478 + F477, 0)</f>
        <v>0</v>
      </c>
      <c r="G478" s="1">
        <v>0</v>
      </c>
      <c r="H478" s="1">
        <f>IF(G478 + H477 &lt; 0, G478 + H477, 0)</f>
        <v>0</v>
      </c>
      <c r="I478" s="1">
        <v>0</v>
      </c>
      <c r="J478" s="1">
        <f>IF(I478 + J477 &lt; 0, I478 + J477, 0)</f>
        <v>0</v>
      </c>
      <c r="K478" s="1">
        <v>0</v>
      </c>
      <c r="L478" s="1">
        <f>IF(K478 + L477 &lt; 0, K478 + L477, 0)</f>
        <v>0</v>
      </c>
      <c r="M478" s="1">
        <v>0</v>
      </c>
      <c r="N478" s="1">
        <f>IF(M478 + N477 &lt; 0, M478 + N477, 0)</f>
        <v>0</v>
      </c>
      <c r="O478" s="1">
        <v>0</v>
      </c>
      <c r="P478" s="1">
        <f>IF(O478 + P477 &lt; 0, O478 + P477, 0)</f>
        <v>0</v>
      </c>
      <c r="Q478" s="1">
        <v>0</v>
      </c>
      <c r="R478" s="1">
        <f>IF(Q478 + R477 &lt; 0, Q478 + R477, 0)</f>
        <v>0</v>
      </c>
      <c r="S478" s="1">
        <v>0</v>
      </c>
      <c r="T478" s="1">
        <f>IF(S478 + T477 &lt; 0, S478 + T477, 0)</f>
        <v>0</v>
      </c>
    </row>
    <row r="479" spans="1:20" s="1" customFormat="1">
      <c r="A479" s="3">
        <v>45686</v>
      </c>
      <c r="B479" s="2" t="s">
        <v>14</v>
      </c>
      <c r="C479" s="2">
        <v>15</v>
      </c>
      <c r="D479" s="2">
        <v>19</v>
      </c>
      <c r="E479" s="1">
        <v>0</v>
      </c>
      <c r="F479" s="1">
        <f>IF(E479 + F478 &lt; 0, E479 + F478, 0)</f>
        <v>0</v>
      </c>
      <c r="G479" s="1">
        <v>0</v>
      </c>
      <c r="H479" s="1">
        <f>IF(G479 + H478 &lt; 0, G479 + H478, 0)</f>
        <v>0</v>
      </c>
      <c r="I479" s="1">
        <v>0</v>
      </c>
      <c r="J479" s="1">
        <f>IF(I479 + J478 &lt; 0, I479 + J478, 0)</f>
        <v>0</v>
      </c>
      <c r="K479" s="1">
        <v>0</v>
      </c>
      <c r="L479" s="1">
        <f>IF(K479 + L478 &lt; 0, K479 + L478, 0)</f>
        <v>0</v>
      </c>
      <c r="M479" s="1">
        <v>0</v>
      </c>
      <c r="N479" s="1">
        <f>IF(M479 + N478 &lt; 0, M479 + N478, 0)</f>
        <v>0</v>
      </c>
      <c r="O479" s="1">
        <v>0</v>
      </c>
      <c r="P479" s="1">
        <f>IF(O479 + P478 &lt; 0, O479 + P478, 0)</f>
        <v>0</v>
      </c>
      <c r="Q479" s="1">
        <v>0</v>
      </c>
      <c r="R479" s="1">
        <f>IF(Q479 + R478 &lt; 0, Q479 + R478, 0)</f>
        <v>0</v>
      </c>
      <c r="S479" s="1">
        <v>0</v>
      </c>
      <c r="T479" s="1">
        <f>IF(S479 + T478 &lt; 0, S479 + T478, 0)</f>
        <v>0</v>
      </c>
    </row>
    <row r="480" spans="1:20" s="1" customFormat="1">
      <c r="A480" s="3">
        <v>45687</v>
      </c>
      <c r="B480" s="2" t="s">
        <v>16</v>
      </c>
      <c r="C480" s="2">
        <v>14</v>
      </c>
      <c r="D480" s="2">
        <v>18</v>
      </c>
      <c r="E480" s="1">
        <v>0</v>
      </c>
      <c r="F480" s="1">
        <f>IF(E480 + F479 &lt; 0, E480 + F479, 0)</f>
        <v>0</v>
      </c>
      <c r="G480" s="1">
        <v>0</v>
      </c>
      <c r="H480" s="1">
        <f>IF(G480 + H479 &lt; 0, G480 + H479, 0)</f>
        <v>0</v>
      </c>
      <c r="I480" s="1">
        <v>0</v>
      </c>
      <c r="J480" s="1">
        <f>IF(I480 + J479 &lt; 0, I480 + J479, 0)</f>
        <v>0</v>
      </c>
      <c r="K480" s="1">
        <v>0</v>
      </c>
      <c r="L480" s="1">
        <f>IF(K480 + L479 &lt; 0, K480 + L479, 0)</f>
        <v>0</v>
      </c>
      <c r="M480" s="1">
        <v>0</v>
      </c>
      <c r="N480" s="1">
        <f>IF(M480 + N479 &lt; 0, M480 + N479, 0)</f>
        <v>0</v>
      </c>
      <c r="O480" s="1">
        <v>0</v>
      </c>
      <c r="P480" s="1">
        <f>IF(O480 + P479 &lt; 0, O480 + P479, 0)</f>
        <v>0</v>
      </c>
      <c r="Q480" s="1">
        <v>0</v>
      </c>
      <c r="R480" s="1">
        <f>IF(Q480 + R479 &lt; 0, Q480 + R479, 0)</f>
        <v>0</v>
      </c>
      <c r="S480" s="1">
        <v>0</v>
      </c>
      <c r="T480" s="1">
        <f>IF(S480 + T479 &lt; 0, S480 + T479, 0)</f>
        <v>0</v>
      </c>
    </row>
    <row r="481" spans="1:20" s="1" customFormat="1">
      <c r="A481" s="3">
        <v>45688</v>
      </c>
      <c r="B481" s="2" t="s">
        <v>15</v>
      </c>
      <c r="C481" s="2">
        <v>13</v>
      </c>
      <c r="D481" s="2">
        <v>17</v>
      </c>
      <c r="E481" s="1">
        <v>0</v>
      </c>
      <c r="F481" s="1">
        <f>IF(E481 + F480 &lt; 0, E481 + F480, 0)</f>
        <v>0</v>
      </c>
      <c r="G481" s="1">
        <v>0</v>
      </c>
      <c r="H481" s="1">
        <f>IF(G481 + H480 &lt; 0, G481 + H480, 0)</f>
        <v>0</v>
      </c>
      <c r="I481" s="1">
        <v>0</v>
      </c>
      <c r="J481" s="1">
        <f>IF(I481 + J480 &lt; 0, I481 + J480, 0)</f>
        <v>0</v>
      </c>
      <c r="K481" s="1">
        <v>0</v>
      </c>
      <c r="L481" s="1">
        <f>IF(K481 + L480 &lt; 0, K481 + L480, 0)</f>
        <v>0</v>
      </c>
      <c r="M481" s="1">
        <v>0</v>
      </c>
      <c r="N481" s="1">
        <f>IF(M481 + N480 &lt; 0, M481 + N480, 0)</f>
        <v>0</v>
      </c>
      <c r="O481" s="1">
        <v>0</v>
      </c>
      <c r="P481" s="1">
        <f>IF(O481 + P480 &lt; 0, O481 + P480, 0)</f>
        <v>0</v>
      </c>
      <c r="Q481" s="1">
        <v>0</v>
      </c>
      <c r="R481" s="1">
        <f>IF(Q481 + R480 &lt; 0, Q481 + R480, 0)</f>
        <v>0</v>
      </c>
      <c r="S481" s="1">
        <v>0</v>
      </c>
      <c r="T481" s="1">
        <f>IF(S481 + T480 &lt; 0, S481 + T480, 0)</f>
        <v>0</v>
      </c>
    </row>
    <row r="482" spans="1:20" s="1" customFormat="1">
      <c r="A482" s="3">
        <v>45689</v>
      </c>
      <c r="B482" s="2" t="s">
        <v>18</v>
      </c>
      <c r="C482" s="2">
        <v>12</v>
      </c>
      <c r="D482" s="2">
        <v>16</v>
      </c>
      <c r="E482" s="1">
        <v>0</v>
      </c>
      <c r="F482" s="1">
        <f>IF(E482 + F481 &lt; 0, E482 + F481, 0)</f>
        <v>0</v>
      </c>
      <c r="G482" s="1">
        <v>0</v>
      </c>
      <c r="H482" s="1">
        <f>IF(G482 + H481 &lt; 0, G482 + H481, 0)</f>
        <v>0</v>
      </c>
      <c r="I482" s="1">
        <v>0</v>
      </c>
      <c r="J482" s="1">
        <f>IF(I482 + J481 &lt; 0, I482 + J481, 0)</f>
        <v>0</v>
      </c>
      <c r="K482" s="1">
        <v>0</v>
      </c>
      <c r="L482" s="1">
        <f>IF(K482 + L481 &lt; 0, K482 + L481, 0)</f>
        <v>0</v>
      </c>
      <c r="M482" s="1">
        <v>0</v>
      </c>
      <c r="N482" s="1">
        <f>IF(M482 + N481 &lt; 0, M482 + N481, 0)</f>
        <v>0</v>
      </c>
      <c r="O482" s="1">
        <v>0</v>
      </c>
      <c r="P482" s="1">
        <f>IF(O482 + P481 &lt; 0, O482 + P481, 0)</f>
        <v>0</v>
      </c>
      <c r="Q482" s="1">
        <v>0</v>
      </c>
      <c r="R482" s="1">
        <f>IF(Q482 + R481 &lt; 0, Q482 + R481, 0)</f>
        <v>0</v>
      </c>
      <c r="S482" s="1">
        <v>0</v>
      </c>
      <c r="T482" s="1">
        <f>IF(S482 + T481 &lt; 0, S482 + T481, 0)</f>
        <v>0</v>
      </c>
    </row>
    <row r="483" spans="1:20" s="1" customFormat="1">
      <c r="A483" s="3">
        <v>45691</v>
      </c>
      <c r="B483" s="2" t="s">
        <v>12</v>
      </c>
      <c r="C483" s="2">
        <v>11</v>
      </c>
      <c r="D483" s="2">
        <v>15</v>
      </c>
      <c r="E483" s="1">
        <v>0</v>
      </c>
      <c r="F483" s="1">
        <f>IF(E483 + F482 &lt; 0, E483 + F482, 0)</f>
        <v>0</v>
      </c>
      <c r="G483" s="1">
        <v>0</v>
      </c>
      <c r="H483" s="1">
        <f>IF(G483 + H482 &lt; 0, G483 + H482, 0)</f>
        <v>0</v>
      </c>
      <c r="I483" s="1">
        <v>0</v>
      </c>
      <c r="J483" s="1">
        <f>IF(I483 + J482 &lt; 0, I483 + J482, 0)</f>
        <v>0</v>
      </c>
      <c r="K483" s="1">
        <v>0</v>
      </c>
      <c r="L483" s="1">
        <f>IF(K483 + L482 &lt; 0, K483 + L482, 0)</f>
        <v>0</v>
      </c>
      <c r="M483" s="1">
        <v>0</v>
      </c>
      <c r="N483" s="1">
        <f>IF(M483 + N482 &lt; 0, M483 + N482, 0)</f>
        <v>0</v>
      </c>
      <c r="O483" s="1">
        <v>0</v>
      </c>
      <c r="P483" s="1">
        <f>IF(O483 + P482 &lt; 0, O483 + P482, 0)</f>
        <v>0</v>
      </c>
      <c r="Q483" s="1">
        <v>0</v>
      </c>
      <c r="R483" s="1">
        <f>IF(Q483 + R482 &lt; 0, Q483 + R482, 0)</f>
        <v>0</v>
      </c>
      <c r="S483" s="1">
        <v>0</v>
      </c>
      <c r="T483" s="1">
        <f>IF(S483 + T482 &lt; 0, S483 + T482, 0)</f>
        <v>0</v>
      </c>
    </row>
    <row r="484" spans="1:20" s="1" customFormat="1">
      <c r="A484" s="3">
        <v>45692</v>
      </c>
      <c r="B484" s="2" t="s">
        <v>13</v>
      </c>
      <c r="C484" s="2">
        <v>10</v>
      </c>
      <c r="D484" s="2">
        <v>14</v>
      </c>
      <c r="E484" s="1">
        <v>-54169.60011264437</v>
      </c>
      <c r="F484" s="1">
        <f>IF(E484 + F483 &lt; 0, E484 + F483, 0)</f>
        <v>0</v>
      </c>
      <c r="G484" s="1">
        <v>89631.44184736694</v>
      </c>
      <c r="H484" s="1">
        <f>IF(G484 + H483 &lt; 0, G484 + H483, 0)</f>
        <v>0</v>
      </c>
      <c r="I484" s="1">
        <v>89631.44184736694</v>
      </c>
      <c r="J484" s="1">
        <f>IF(I484 + J483 &lt; 0, I484 + J483, 0)</f>
        <v>0</v>
      </c>
      <c r="K484" s="1">
        <v>89631.44184736694</v>
      </c>
      <c r="L484" s="1">
        <f>IF(K484 + L483 &lt; 0, K484 + L483, 0)</f>
        <v>0</v>
      </c>
      <c r="M484" s="1">
        <v>0</v>
      </c>
      <c r="N484" s="1">
        <f>IF(M484 + N483 &lt; 0, M484 + N483, 0)</f>
        <v>0</v>
      </c>
      <c r="O484" s="1">
        <v>0</v>
      </c>
      <c r="P484" s="1">
        <f>IF(O484 + P483 &lt; 0, O484 + P483, 0)</f>
        <v>0</v>
      </c>
      <c r="Q484" s="1">
        <v>0</v>
      </c>
      <c r="R484" s="1">
        <f>IF(Q484 + R483 &lt; 0, Q484 + R483, 0)</f>
        <v>0</v>
      </c>
      <c r="S484" s="1">
        <v>0</v>
      </c>
      <c r="T484" s="1">
        <f>IF(S484 + T483 &lt; 0, S484 + T483, 0)</f>
        <v>0</v>
      </c>
    </row>
    <row r="485" spans="1:20" s="1" customFormat="1">
      <c r="A485" s="3">
        <v>45693</v>
      </c>
      <c r="B485" s="2" t="s">
        <v>14</v>
      </c>
      <c r="C485" s="2">
        <v>9</v>
      </c>
      <c r="D485" s="2">
        <v>13</v>
      </c>
      <c r="E485" s="1">
        <v>51716.56476210555</v>
      </c>
      <c r="F485" s="1">
        <f>IF(E485 + F484 &lt; 0, E485 + F484, 0)</f>
        <v>0</v>
      </c>
      <c r="G485" s="1">
        <v>51716.56476210555</v>
      </c>
      <c r="H485" s="1">
        <f>IF(G485 + H484 &lt; 0, G485 + H484, 0)</f>
        <v>0</v>
      </c>
      <c r="I485" s="1">
        <v>51716.56476210555</v>
      </c>
      <c r="J485" s="1">
        <f>IF(I485 + J484 &lt; 0, I485 + J484, 0)</f>
        <v>0</v>
      </c>
      <c r="K485" s="1">
        <v>51716.56476210555</v>
      </c>
      <c r="L485" s="1">
        <f>IF(K485 + L484 &lt; 0, K485 + L484, 0)</f>
        <v>0</v>
      </c>
      <c r="M485" s="1">
        <v>0</v>
      </c>
      <c r="N485" s="1">
        <f>IF(M485 + N484 &lt; 0, M485 + N484, 0)</f>
        <v>0</v>
      </c>
      <c r="O485" s="1">
        <v>0</v>
      </c>
      <c r="P485" s="1">
        <f>IF(O485 + P484 &lt; 0, O485 + P484, 0)</f>
        <v>0</v>
      </c>
      <c r="Q485" s="1">
        <v>0</v>
      </c>
      <c r="R485" s="1">
        <f>IF(Q485 + R484 &lt; 0, Q485 + R484, 0)</f>
        <v>0</v>
      </c>
      <c r="S485" s="1">
        <v>0</v>
      </c>
      <c r="T485" s="1">
        <f>IF(S485 + T484 &lt; 0, S485 + T484, 0)</f>
        <v>0</v>
      </c>
    </row>
    <row r="486" spans="1:20" s="1" customFormat="1">
      <c r="A486" s="3">
        <v>45694</v>
      </c>
      <c r="B486" s="2" t="s">
        <v>16</v>
      </c>
      <c r="C486" s="2">
        <v>8</v>
      </c>
      <c r="D486" s="2">
        <v>12</v>
      </c>
      <c r="E486" s="1">
        <v>22377.03751156667</v>
      </c>
      <c r="F486" s="1">
        <f>IF(E486 + F485 &lt; 0, E486 + F485, 0)</f>
        <v>0</v>
      </c>
      <c r="G486" s="1">
        <v>22377.03751156667</v>
      </c>
      <c r="H486" s="1">
        <f>IF(G486 + H485 &lt; 0, G486 + H485, 0)</f>
        <v>0</v>
      </c>
      <c r="I486" s="1">
        <v>22377.03751156667</v>
      </c>
      <c r="J486" s="1">
        <f>IF(I486 + J485 &lt; 0, I486 + J485, 0)</f>
        <v>0</v>
      </c>
      <c r="K486" s="1">
        <v>22377.03751156667</v>
      </c>
      <c r="L486" s="1">
        <f>IF(K486 + L485 &lt; 0, K486 + L485, 0)</f>
        <v>0</v>
      </c>
      <c r="M486" s="1">
        <v>0</v>
      </c>
      <c r="N486" s="1">
        <f>IF(M486 + N485 &lt; 0, M486 + N485, 0)</f>
        <v>0</v>
      </c>
      <c r="O486" s="1">
        <v>0</v>
      </c>
      <c r="P486" s="1">
        <f>IF(O486 + P485 &lt; 0, O486 + P485, 0)</f>
        <v>0</v>
      </c>
      <c r="Q486" s="1">
        <v>0</v>
      </c>
      <c r="R486" s="1">
        <f>IF(Q486 + R485 &lt; 0, Q486 + R485, 0)</f>
        <v>0</v>
      </c>
      <c r="S486" s="1">
        <v>0</v>
      </c>
      <c r="T486" s="1">
        <f>IF(S486 + T485 &lt; 0, S486 + T485, 0)</f>
        <v>0</v>
      </c>
    </row>
    <row r="487" spans="1:20" s="1" customFormat="1">
      <c r="A487" s="3">
        <v>45695</v>
      </c>
      <c r="B487" s="2" t="s">
        <v>15</v>
      </c>
      <c r="C487" s="2">
        <v>7</v>
      </c>
      <c r="D487" s="2">
        <v>11</v>
      </c>
      <c r="E487" s="1">
        <v>63067.08580410088</v>
      </c>
      <c r="F487" s="1">
        <f>IF(E487 + F486 &lt; 0, E487 + F486, 0)</f>
        <v>0</v>
      </c>
      <c r="G487" s="1">
        <v>63067.08580410088</v>
      </c>
      <c r="H487" s="1">
        <f>IF(G487 + H486 &lt; 0, G487 + H486, 0)</f>
        <v>0</v>
      </c>
      <c r="I487" s="1">
        <v>63067.08580410088</v>
      </c>
      <c r="J487" s="1">
        <f>IF(I487 + J486 &lt; 0, I487 + J486, 0)</f>
        <v>0</v>
      </c>
      <c r="K487" s="1">
        <v>63067.08580410088</v>
      </c>
      <c r="L487" s="1">
        <f>IF(K487 + L486 &lt; 0, K487 + L486, 0)</f>
        <v>0</v>
      </c>
      <c r="M487" s="1">
        <v>0</v>
      </c>
      <c r="N487" s="1">
        <f>IF(M487 + N486 &lt; 0, M487 + N486, 0)</f>
        <v>0</v>
      </c>
      <c r="O487" s="1">
        <v>0</v>
      </c>
      <c r="P487" s="1">
        <f>IF(O487 + P486 &lt; 0, O487 + P486, 0)</f>
        <v>0</v>
      </c>
      <c r="Q487" s="1">
        <v>0</v>
      </c>
      <c r="R487" s="1">
        <f>IF(Q487 + R486 &lt; 0, Q487 + R486, 0)</f>
        <v>0</v>
      </c>
      <c r="S487" s="1">
        <v>0</v>
      </c>
      <c r="T487" s="1">
        <f>IF(S487 + T486 &lt; 0, S487 + T486, 0)</f>
        <v>0</v>
      </c>
    </row>
    <row r="488" spans="1:20" s="1" customFormat="1">
      <c r="A488" s="3">
        <v>45698</v>
      </c>
      <c r="B488" s="2" t="s">
        <v>12</v>
      </c>
      <c r="C488" s="2">
        <v>6</v>
      </c>
      <c r="D488" s="2">
        <v>10</v>
      </c>
      <c r="E488" s="1">
        <v>56776.78350369611</v>
      </c>
      <c r="F488" s="1">
        <f>IF(E488 + F487 &lt; 0, E488 + F487, 0)</f>
        <v>0</v>
      </c>
      <c r="G488" s="1">
        <v>56776.78350369611</v>
      </c>
      <c r="H488" s="1">
        <f>IF(G488 + H487 &lt; 0, G488 + H487, 0)</f>
        <v>0</v>
      </c>
      <c r="I488" s="1">
        <v>56776.78350369611</v>
      </c>
      <c r="J488" s="1">
        <f>IF(I488 + J487 &lt; 0, I488 + J487, 0)</f>
        <v>0</v>
      </c>
      <c r="K488" s="1">
        <v>56776.78350369611</v>
      </c>
      <c r="L488" s="1">
        <f>IF(K488 + L487 &lt; 0, K488 + L487, 0)</f>
        <v>0</v>
      </c>
      <c r="M488" s="1">
        <v>0</v>
      </c>
      <c r="N488" s="1">
        <f>IF(M488 + N487 &lt; 0, M488 + N487, 0)</f>
        <v>0</v>
      </c>
      <c r="O488" s="1">
        <v>0</v>
      </c>
      <c r="P488" s="1">
        <f>IF(O488 + P487 &lt; 0, O488 + P487, 0)</f>
        <v>0</v>
      </c>
      <c r="Q488" s="1">
        <v>0</v>
      </c>
      <c r="R488" s="1">
        <f>IF(Q488 + R487 &lt; 0, Q488 + R487, 0)</f>
        <v>0</v>
      </c>
      <c r="S488" s="1">
        <v>0</v>
      </c>
      <c r="T488" s="1">
        <f>IF(S488 + T487 &lt; 0, S488 + T487, 0)</f>
        <v>0</v>
      </c>
    </row>
    <row r="489" spans="1:20" s="1" customFormat="1">
      <c r="A489" s="3">
        <v>45699</v>
      </c>
      <c r="B489" s="2" t="s">
        <v>13</v>
      </c>
      <c r="C489" s="2">
        <v>5</v>
      </c>
      <c r="D489" s="2">
        <v>9</v>
      </c>
      <c r="E489" s="1">
        <v>48696.29214270695</v>
      </c>
      <c r="F489" s="1">
        <f>IF(E489 + F488 &lt; 0, E489 + F488, 0)</f>
        <v>0</v>
      </c>
      <c r="G489" s="1">
        <v>48696.29214270695</v>
      </c>
      <c r="H489" s="1">
        <f>IF(G489 + H488 &lt; 0, G489 + H488, 0)</f>
        <v>0</v>
      </c>
      <c r="I489" s="1">
        <v>48696.29214270695</v>
      </c>
      <c r="J489" s="1">
        <f>IF(I489 + J488 &lt; 0, I489 + J488, 0)</f>
        <v>0</v>
      </c>
      <c r="K489" s="1">
        <v>48696.29214270695</v>
      </c>
      <c r="L489" s="1">
        <f>IF(K489 + L488 &lt; 0, K489 + L488, 0)</f>
        <v>0</v>
      </c>
      <c r="M489" s="1">
        <v>0</v>
      </c>
      <c r="N489" s="1">
        <f>IF(M489 + N488 &lt; 0, M489 + N488, 0)</f>
        <v>0</v>
      </c>
      <c r="O489" s="1">
        <v>0</v>
      </c>
      <c r="P489" s="1">
        <f>IF(O489 + P488 &lt; 0, O489 + P488, 0)</f>
        <v>0</v>
      </c>
      <c r="Q489" s="1">
        <v>0</v>
      </c>
      <c r="R489" s="1">
        <f>IF(Q489 + R488 &lt; 0, Q489 + R488, 0)</f>
        <v>0</v>
      </c>
      <c r="S489" s="1">
        <v>0</v>
      </c>
      <c r="T489" s="1">
        <f>IF(S489 + T488 &lt; 0, S489 + T488, 0)</f>
        <v>0</v>
      </c>
    </row>
    <row r="490" spans="1:20" s="1" customFormat="1">
      <c r="A490" s="3">
        <v>45700</v>
      </c>
      <c r="B490" s="2" t="s">
        <v>14</v>
      </c>
      <c r="C490" s="2">
        <v>4</v>
      </c>
      <c r="D490" s="2">
        <v>8</v>
      </c>
      <c r="E490" s="1">
        <v>-21420.04563805509</v>
      </c>
      <c r="F490" s="1">
        <f>IF(E490 + F489 &lt; 0, E490 + F489, 0)</f>
        <v>0</v>
      </c>
      <c r="G490" s="1">
        <v>-2466.210286115501</v>
      </c>
      <c r="H490" s="1">
        <f>IF(G490 + H489 &lt; 0, G490 + H489, 0)</f>
        <v>0</v>
      </c>
      <c r="I490" s="1">
        <v>-2466.210286115501</v>
      </c>
      <c r="J490" s="1">
        <f>IF(I490 + J489 &lt; 0, I490 + J489, 0)</f>
        <v>0</v>
      </c>
      <c r="K490" s="1">
        <v>-2466.210286115501</v>
      </c>
      <c r="L490" s="1">
        <f>IF(K490 + L489 &lt; 0, K490 + L489, 0)</f>
        <v>0</v>
      </c>
      <c r="M490" s="1">
        <v>0</v>
      </c>
      <c r="N490" s="1">
        <f>IF(M490 + N489 &lt; 0, M490 + N489, 0)</f>
        <v>0</v>
      </c>
      <c r="O490" s="1">
        <v>0</v>
      </c>
      <c r="P490" s="1">
        <f>IF(O490 + P489 &lt; 0, O490 + P489, 0)</f>
        <v>0</v>
      </c>
      <c r="Q490" s="1">
        <v>0</v>
      </c>
      <c r="R490" s="1">
        <f>IF(Q490 + R489 &lt; 0, Q490 + R489, 0)</f>
        <v>0</v>
      </c>
      <c r="S490" s="1">
        <v>0</v>
      </c>
      <c r="T490" s="1">
        <f>IF(S490 + T489 &lt; 0, S490 + T489, 0)</f>
        <v>0</v>
      </c>
    </row>
    <row r="491" spans="1:20" s="1" customFormat="1">
      <c r="A491" s="3">
        <v>45701</v>
      </c>
      <c r="B491" s="2" t="s">
        <v>16</v>
      </c>
      <c r="C491" s="2">
        <v>3</v>
      </c>
      <c r="D491" s="2">
        <v>7</v>
      </c>
      <c r="E491" s="1">
        <v>56982.37248952463</v>
      </c>
      <c r="F491" s="1">
        <f>IF(E491 + F490 &lt; 0, E491 + F490, 0)</f>
        <v>0</v>
      </c>
      <c r="G491" s="1">
        <v>88128.52188990031</v>
      </c>
      <c r="H491" s="1">
        <f>IF(G491 + H490 &lt; 0, G491 + H490, 0)</f>
        <v>0</v>
      </c>
      <c r="I491" s="1">
        <v>88128.52188990031</v>
      </c>
      <c r="J491" s="1">
        <f>IF(I491 + J490 &lt; 0, I491 + J490, 0)</f>
        <v>0</v>
      </c>
      <c r="K491" s="1">
        <v>88128.52188990031</v>
      </c>
      <c r="L491" s="1">
        <f>IF(K491 + L490 &lt; 0, K491 + L490, 0)</f>
        <v>0</v>
      </c>
      <c r="M491" s="1">
        <v>0</v>
      </c>
      <c r="N491" s="1">
        <f>IF(M491 + N490 &lt; 0, M491 + N490, 0)</f>
        <v>0</v>
      </c>
      <c r="O491" s="1">
        <v>0</v>
      </c>
      <c r="P491" s="1">
        <f>IF(O491 + P490 &lt; 0, O491 + P490, 0)</f>
        <v>0</v>
      </c>
      <c r="Q491" s="1">
        <v>0</v>
      </c>
      <c r="R491" s="1">
        <f>IF(Q491 + R490 &lt; 0, Q491 + R490, 0)</f>
        <v>0</v>
      </c>
      <c r="S491" s="1">
        <v>0</v>
      </c>
      <c r="T491" s="1">
        <f>IF(S491 + T490 &lt; 0, S491 + T490, 0)</f>
        <v>0</v>
      </c>
    </row>
    <row r="492" spans="1:20" s="1" customFormat="1">
      <c r="A492" s="3">
        <v>45702</v>
      </c>
      <c r="B492" s="2" t="s">
        <v>15</v>
      </c>
      <c r="C492" s="2">
        <v>2</v>
      </c>
      <c r="D492" s="2">
        <v>6</v>
      </c>
      <c r="E492" s="1">
        <v>42309.6210330253</v>
      </c>
      <c r="F492" s="1">
        <f>IF(E492 + F491 &lt; 0, E492 + F491, 0)</f>
        <v>0</v>
      </c>
      <c r="G492" s="1">
        <v>18757.61157676052</v>
      </c>
      <c r="H492" s="1">
        <f>IF(G492 + H491 &lt; 0, G492 + H491, 0)</f>
        <v>0</v>
      </c>
      <c r="I492" s="1">
        <v>50102.08467655276</v>
      </c>
      <c r="J492" s="1">
        <f>IF(I492 + J491 &lt; 0, I492 + J491, 0)</f>
        <v>0</v>
      </c>
      <c r="K492" s="1">
        <v>50102.08467655276</v>
      </c>
      <c r="L492" s="1">
        <f>IF(K492 + L491 &lt; 0, K492 + L491, 0)</f>
        <v>0</v>
      </c>
      <c r="M492" s="1">
        <v>2958.968963703312</v>
      </c>
      <c r="N492" s="1">
        <f>IF(M492 + N491 &lt; 0, M492 + N491, 0)</f>
        <v>0</v>
      </c>
      <c r="O492" s="1">
        <v>2958.968963703312</v>
      </c>
      <c r="P492" s="1">
        <f>IF(O492 + P491 &lt; 0, O492 + P491, 0)</f>
        <v>0</v>
      </c>
      <c r="Q492" s="1">
        <v>2958.968963703312</v>
      </c>
      <c r="R492" s="1">
        <f>IF(Q492 + R491 &lt; 0, Q492 + R491, 0)</f>
        <v>0</v>
      </c>
      <c r="S492" s="1">
        <v>2958.968963703312</v>
      </c>
      <c r="T492" s="1">
        <f>IF(S492 + T491 &lt; 0, S492 + T491, 0)</f>
        <v>0</v>
      </c>
    </row>
    <row r="493" spans="1:20" s="1" customFormat="1">
      <c r="A493" s="3">
        <v>45705</v>
      </c>
      <c r="B493" s="2" t="s">
        <v>12</v>
      </c>
      <c r="C493" s="2">
        <v>1</v>
      </c>
      <c r="D493" s="2">
        <v>5</v>
      </c>
      <c r="E493" s="1">
        <v>28807.79117338257</v>
      </c>
      <c r="F493" s="1">
        <f>IF(E493 + F492 &lt; 0, E493 + F492, 0)</f>
        <v>0</v>
      </c>
      <c r="G493" s="1">
        <v>72529.05398066688</v>
      </c>
      <c r="H493" s="1">
        <f>IF(G493 + H492 &lt; 0, G493 + H492, 0)</f>
        <v>0</v>
      </c>
      <c r="I493" s="1">
        <v>94158.43017993556</v>
      </c>
      <c r="J493" s="1">
        <f>IF(I493 + J492 &lt; 0, I493 + J492, 0)</f>
        <v>0</v>
      </c>
      <c r="K493" s="1">
        <v>94158.43017993556</v>
      </c>
      <c r="L493" s="1">
        <f>IF(K493 + L492 &lt; 0, K493 + L492, 0)</f>
        <v>0</v>
      </c>
      <c r="M493" s="1">
        <v>43938.59184753838</v>
      </c>
      <c r="N493" s="1">
        <f>IF(M493 + N492 &lt; 0, M493 + N492, 0)</f>
        <v>0</v>
      </c>
      <c r="O493" s="1">
        <v>43938.59184753838</v>
      </c>
      <c r="P493" s="1">
        <f>IF(O493 + P492 &lt; 0, O493 + P492, 0)</f>
        <v>0</v>
      </c>
      <c r="Q493" s="1">
        <v>43938.59184753838</v>
      </c>
      <c r="R493" s="1">
        <f>IF(Q493 + R492 &lt; 0, Q493 + R492, 0)</f>
        <v>0</v>
      </c>
      <c r="S493" s="1">
        <v>43938.59184753838</v>
      </c>
      <c r="T493" s="1">
        <f>IF(S493 + T492 &lt; 0, S493 + T492, 0)</f>
        <v>0</v>
      </c>
    </row>
    <row r="494" spans="1:20" s="1" customFormat="1">
      <c r="A494" s="3">
        <v>45706</v>
      </c>
      <c r="B494" s="2" t="s">
        <v>13</v>
      </c>
      <c r="C494" s="2">
        <v>20</v>
      </c>
      <c r="D494" s="2">
        <v>4</v>
      </c>
      <c r="E494" s="1">
        <v>0</v>
      </c>
      <c r="F494" s="1">
        <f>IF(E494 + F493 &lt; 0, E494 + F493, 0)</f>
        <v>0</v>
      </c>
      <c r="G494" s="1">
        <v>0</v>
      </c>
      <c r="H494" s="1">
        <f>IF(G494 + H493 &lt; 0, G494 + H493, 0)</f>
        <v>0</v>
      </c>
      <c r="I494" s="1">
        <v>0</v>
      </c>
      <c r="J494" s="1">
        <f>IF(I494 + J493 &lt; 0, I494 + J493, 0)</f>
        <v>0</v>
      </c>
      <c r="K494" s="1">
        <v>0</v>
      </c>
      <c r="L494" s="1">
        <f>IF(K494 + L493 &lt; 0, K494 + L493, 0)</f>
        <v>0</v>
      </c>
      <c r="M494" s="1">
        <v>27819.02086677366</v>
      </c>
      <c r="N494" s="1">
        <f>IF(M494 + N493 &lt; 0, M494 + N493, 0)</f>
        <v>0</v>
      </c>
      <c r="O494" s="1">
        <v>-34045.61262707328</v>
      </c>
      <c r="P494" s="1">
        <f>IF(O494 + P493 &lt; 0, O494 + P493, 0)</f>
        <v>0</v>
      </c>
      <c r="Q494" s="1">
        <v>-154802.0331728197</v>
      </c>
      <c r="R494" s="1">
        <f>IF(Q494 + R493 &lt; 0, Q494 + R493, 0)</f>
        <v>0</v>
      </c>
      <c r="S494" s="1">
        <v>-154802.0331728197</v>
      </c>
      <c r="T494" s="1">
        <f>IF(S494 + T493 &lt; 0, S494 + T493, 0)</f>
        <v>0</v>
      </c>
    </row>
    <row r="495" spans="1:20" s="1" customFormat="1">
      <c r="A495" s="3">
        <v>45707</v>
      </c>
      <c r="B495" s="2" t="s">
        <v>14</v>
      </c>
      <c r="C495" s="2">
        <v>19</v>
      </c>
      <c r="D495" s="2">
        <v>3</v>
      </c>
      <c r="E495" s="1">
        <v>0</v>
      </c>
      <c r="F495" s="1">
        <f>IF(E495 + F494 &lt; 0, E495 + F494, 0)</f>
        <v>0</v>
      </c>
      <c r="G495" s="1">
        <v>0</v>
      </c>
      <c r="H495" s="1">
        <f>IF(G495 + H494 &lt; 0, G495 + H494, 0)</f>
        <v>0</v>
      </c>
      <c r="I495" s="1">
        <v>0</v>
      </c>
      <c r="J495" s="1">
        <f>IF(I495 + J494 &lt; 0, I495 + J494, 0)</f>
        <v>0</v>
      </c>
      <c r="K495" s="1">
        <v>0</v>
      </c>
      <c r="L495" s="1">
        <f>IF(K495 + L494 &lt; 0, K495 + L494, 0)</f>
        <v>0</v>
      </c>
      <c r="M495" s="1">
        <v>-123590.3614457831</v>
      </c>
      <c r="N495" s="1">
        <f>IF(M495 + N494 &lt; 0, M495 + N494, 0)</f>
        <v>0</v>
      </c>
      <c r="O495" s="1">
        <v>-152171.686746988</v>
      </c>
      <c r="P495" s="1">
        <f>IF(O495 + P494 &lt; 0, O495 + P494, 0)</f>
        <v>0</v>
      </c>
      <c r="Q495" s="1">
        <v>-152153.6144578313</v>
      </c>
      <c r="R495" s="1">
        <f>IF(Q495 + R494 &lt; 0, Q495 + R494, 0)</f>
        <v>0</v>
      </c>
      <c r="S495" s="1">
        <v>-152153.6144578313</v>
      </c>
      <c r="T495" s="1">
        <f>IF(S495 + T494 &lt; 0, S495 + T494, 0)</f>
        <v>0</v>
      </c>
    </row>
    <row r="496" spans="1:20" s="1" customFormat="1">
      <c r="A496" s="3">
        <v>45708</v>
      </c>
      <c r="B496" s="2" t="s">
        <v>16</v>
      </c>
      <c r="C496" s="2">
        <v>18</v>
      </c>
      <c r="D496" s="2">
        <v>2</v>
      </c>
      <c r="E496" s="1">
        <v>0</v>
      </c>
      <c r="F496" s="1">
        <f>IF(E496 + F495 &lt; 0, E496 + F495, 0)</f>
        <v>0</v>
      </c>
      <c r="G496" s="1">
        <v>0</v>
      </c>
      <c r="H496" s="1">
        <f>IF(G496 + H495 &lt; 0, G496 + H495, 0)</f>
        <v>0</v>
      </c>
      <c r="I496" s="1">
        <v>0</v>
      </c>
      <c r="J496" s="1">
        <f>IF(I496 + J495 &lt; 0, I496 + J495, 0)</f>
        <v>0</v>
      </c>
      <c r="K496" s="1">
        <v>0</v>
      </c>
      <c r="L496" s="1">
        <f>IF(K496 + L495 &lt; 0, K496 + L495, 0)</f>
        <v>0</v>
      </c>
      <c r="M496" s="1">
        <v>103467.9374173645</v>
      </c>
      <c r="N496" s="1">
        <f>IF(M496 + N495 &lt; 0, M496 + N495, 0)</f>
        <v>0</v>
      </c>
      <c r="O496" s="1">
        <v>103467.9374173645</v>
      </c>
      <c r="P496" s="1">
        <f>IF(O496 + P495 &lt; 0, O496 + P495, 0)</f>
        <v>0</v>
      </c>
      <c r="Q496" s="1">
        <v>103467.9374173645</v>
      </c>
      <c r="R496" s="1">
        <f>IF(Q496 + R495 &lt; 0, Q496 + R495, 0)</f>
        <v>0</v>
      </c>
      <c r="S496" s="1">
        <v>103467.9374173645</v>
      </c>
      <c r="T496" s="1">
        <f>IF(S496 + T495 &lt; 0, S496 + T495, 0)</f>
        <v>0</v>
      </c>
    </row>
    <row r="497" spans="1:20" s="1" customFormat="1">
      <c r="A497" s="3">
        <v>45709</v>
      </c>
      <c r="B497" s="2" t="s">
        <v>15</v>
      </c>
      <c r="C497" s="2">
        <v>17</v>
      </c>
      <c r="D497" s="2">
        <v>1</v>
      </c>
      <c r="E497" s="1">
        <v>0</v>
      </c>
      <c r="F497" s="1">
        <f>IF(E497 + F496 &lt; 0, E497 + F496, 0)</f>
        <v>0</v>
      </c>
      <c r="G497" s="1">
        <v>0</v>
      </c>
      <c r="H497" s="1">
        <f>IF(G497 + H496 &lt; 0, G497 + H496, 0)</f>
        <v>0</v>
      </c>
      <c r="I497" s="1">
        <v>0</v>
      </c>
      <c r="J497" s="1">
        <f>IF(I497 + J496 &lt; 0, I497 + J496, 0)</f>
        <v>0</v>
      </c>
      <c r="K497" s="1">
        <v>0</v>
      </c>
      <c r="L497" s="1">
        <f>IF(K497 + L496 &lt; 0, K497 + L496, 0)</f>
        <v>0</v>
      </c>
      <c r="M497" s="1">
        <v>779.2730618817548</v>
      </c>
      <c r="N497" s="1">
        <f>IF(M497 + N496 &lt; 0, M497 + N496, 0)</f>
        <v>0</v>
      </c>
      <c r="O497" s="1">
        <v>-24525.5348516218</v>
      </c>
      <c r="P497" s="1">
        <f>IF(O497 + P496 &lt; 0, O497 + P496, 0)</f>
        <v>0</v>
      </c>
      <c r="Q497" s="1">
        <v>94306.41821946169</v>
      </c>
      <c r="R497" s="1">
        <f>IF(Q497 + R496 &lt; 0, Q497 + R496, 0)</f>
        <v>0</v>
      </c>
      <c r="S497" s="1">
        <v>93992.9836668967</v>
      </c>
      <c r="T497" s="1">
        <f>IF(S497 + T496 &lt; 0, S497 + T496, 0)</f>
        <v>0</v>
      </c>
    </row>
    <row r="498" spans="1:20" s="1" customFormat="1">
      <c r="A498" s="3">
        <v>45712</v>
      </c>
      <c r="B498" s="2" t="s">
        <v>12</v>
      </c>
      <c r="C498" s="2">
        <v>16</v>
      </c>
      <c r="D498" s="2">
        <v>21</v>
      </c>
      <c r="E498" s="1">
        <v>0</v>
      </c>
      <c r="F498" s="1">
        <f>IF(E498 + F497 &lt; 0, E498 + F497, 0)</f>
        <v>0</v>
      </c>
      <c r="G498" s="1">
        <v>0</v>
      </c>
      <c r="H498" s="1">
        <f>IF(G498 + H497 &lt; 0, G498 + H497, 0)</f>
        <v>0</v>
      </c>
      <c r="I498" s="1">
        <v>0</v>
      </c>
      <c r="J498" s="1">
        <f>IF(I498 + J497 &lt; 0, I498 + J497, 0)</f>
        <v>0</v>
      </c>
      <c r="K498" s="1">
        <v>0</v>
      </c>
      <c r="L498" s="1">
        <f>IF(K498 + L497 &lt; 0, K498 + L497, 0)</f>
        <v>0</v>
      </c>
      <c r="M498" s="1">
        <v>0</v>
      </c>
      <c r="N498" s="1">
        <f>IF(M498 + N497 &lt; 0, M498 + N497, 0)</f>
        <v>0</v>
      </c>
      <c r="O498" s="1">
        <v>0</v>
      </c>
      <c r="P498" s="1">
        <f>IF(O498 + P497 &lt; 0, O498 + P497, 0)</f>
        <v>0</v>
      </c>
      <c r="Q498" s="1">
        <v>0</v>
      </c>
      <c r="R498" s="1">
        <f>IF(Q498 + R497 &lt; 0, Q498 + R497, 0)</f>
        <v>0</v>
      </c>
      <c r="S498" s="1">
        <v>0</v>
      </c>
      <c r="T498" s="1">
        <f>IF(S498 + T497 &lt; 0, S498 + T497, 0)</f>
        <v>0</v>
      </c>
    </row>
    <row r="499" spans="1:20" s="1" customFormat="1">
      <c r="A499" s="3">
        <v>45713</v>
      </c>
      <c r="B499" s="2" t="s">
        <v>13</v>
      </c>
      <c r="C499" s="2">
        <v>15</v>
      </c>
      <c r="D499" s="2">
        <v>20</v>
      </c>
      <c r="E499" s="1">
        <v>0</v>
      </c>
      <c r="F499" s="1">
        <f>IF(E499 + F498 &lt; 0, E499 + F498, 0)</f>
        <v>0</v>
      </c>
      <c r="G499" s="1">
        <v>0</v>
      </c>
      <c r="H499" s="1">
        <f>IF(G499 + H498 &lt; 0, G499 + H498, 0)</f>
        <v>0</v>
      </c>
      <c r="I499" s="1">
        <v>0</v>
      </c>
      <c r="J499" s="1">
        <f>IF(I499 + J498 &lt; 0, I499 + J498, 0)</f>
        <v>0</v>
      </c>
      <c r="K499" s="1">
        <v>0</v>
      </c>
      <c r="L499" s="1">
        <f>IF(K499 + L498 &lt; 0, K499 + L498, 0)</f>
        <v>0</v>
      </c>
      <c r="M499" s="1">
        <v>0</v>
      </c>
      <c r="N499" s="1">
        <f>IF(M499 + N498 &lt; 0, M499 + N498, 0)</f>
        <v>0</v>
      </c>
      <c r="O499" s="1">
        <v>0</v>
      </c>
      <c r="P499" s="1">
        <f>IF(O499 + P498 &lt; 0, O499 + P498, 0)</f>
        <v>0</v>
      </c>
      <c r="Q499" s="1">
        <v>0</v>
      </c>
      <c r="R499" s="1">
        <f>IF(Q499 + R498 &lt; 0, Q499 + R498, 0)</f>
        <v>0</v>
      </c>
      <c r="S499" s="1">
        <v>0</v>
      </c>
      <c r="T499" s="1">
        <f>IF(S499 + T498 &lt; 0, S499 + T498, 0)</f>
        <v>0</v>
      </c>
    </row>
    <row r="500" spans="1:20" s="1" customFormat="1">
      <c r="A500" s="3">
        <v>45714</v>
      </c>
      <c r="B500" s="2" t="s">
        <v>14</v>
      </c>
      <c r="C500" s="2">
        <v>14</v>
      </c>
      <c r="D500" s="2">
        <v>19</v>
      </c>
      <c r="E500" s="1">
        <v>0</v>
      </c>
      <c r="F500" s="1">
        <f>IF(E500 + F499 &lt; 0, E500 + F499, 0)</f>
        <v>0</v>
      </c>
      <c r="G500" s="1">
        <v>0</v>
      </c>
      <c r="H500" s="1">
        <f>IF(G500 + H499 &lt; 0, G500 + H499, 0)</f>
        <v>0</v>
      </c>
      <c r="I500" s="1">
        <v>0</v>
      </c>
      <c r="J500" s="1">
        <f>IF(I500 + J499 &lt; 0, I500 + J499, 0)</f>
        <v>0</v>
      </c>
      <c r="K500" s="1">
        <v>0</v>
      </c>
      <c r="L500" s="1">
        <f>IF(K500 + L499 &lt; 0, K500 + L499, 0)</f>
        <v>0</v>
      </c>
      <c r="M500" s="1">
        <v>0</v>
      </c>
      <c r="N500" s="1">
        <f>IF(M500 + N499 &lt; 0, M500 + N499, 0)</f>
        <v>0</v>
      </c>
      <c r="O500" s="1">
        <v>0</v>
      </c>
      <c r="P500" s="1">
        <f>IF(O500 + P499 &lt; 0, O500 + P499, 0)</f>
        <v>0</v>
      </c>
      <c r="Q500" s="1">
        <v>0</v>
      </c>
      <c r="R500" s="1">
        <f>IF(Q500 + R499 &lt; 0, Q500 + R499, 0)</f>
        <v>0</v>
      </c>
      <c r="S500" s="1">
        <v>0</v>
      </c>
      <c r="T500" s="1">
        <f>IF(S500 + T499 &lt; 0, S500 + T499, 0)</f>
        <v>0</v>
      </c>
    </row>
    <row r="501" spans="1:20" s="1" customFormat="1">
      <c r="A501" s="3">
        <v>45715</v>
      </c>
      <c r="B501" s="2" t="s">
        <v>16</v>
      </c>
      <c r="C501" s="2">
        <v>13</v>
      </c>
      <c r="D501" s="2">
        <v>18</v>
      </c>
      <c r="E501" s="1">
        <v>0</v>
      </c>
      <c r="F501" s="1">
        <f>IF(E501 + F500 &lt; 0, E501 + F500, 0)</f>
        <v>0</v>
      </c>
      <c r="G501" s="1">
        <v>0</v>
      </c>
      <c r="H501" s="1">
        <f>IF(G501 + H500 &lt; 0, G501 + H500, 0)</f>
        <v>0</v>
      </c>
      <c r="I501" s="1">
        <v>0</v>
      </c>
      <c r="J501" s="1">
        <f>IF(I501 + J500 &lt; 0, I501 + J500, 0)</f>
        <v>0</v>
      </c>
      <c r="K501" s="1">
        <v>0</v>
      </c>
      <c r="L501" s="1">
        <f>IF(K501 + L500 &lt; 0, K501 + L500, 0)</f>
        <v>0</v>
      </c>
      <c r="M501" s="1">
        <v>0</v>
      </c>
      <c r="N501" s="1">
        <f>IF(M501 + N500 &lt; 0, M501 + N500, 0)</f>
        <v>0</v>
      </c>
      <c r="O501" s="1">
        <v>0</v>
      </c>
      <c r="P501" s="1">
        <f>IF(O501 + P500 &lt; 0, O501 + P500, 0)</f>
        <v>0</v>
      </c>
      <c r="Q501" s="1">
        <v>0</v>
      </c>
      <c r="R501" s="1">
        <f>IF(Q501 + R500 &lt; 0, Q501 + R500, 0)</f>
        <v>0</v>
      </c>
      <c r="S501" s="1">
        <v>0</v>
      </c>
      <c r="T501" s="1">
        <f>IF(S501 + T500 &lt; 0, S501 + T500, 0)</f>
        <v>0</v>
      </c>
    </row>
    <row r="502" spans="1:20" s="1" customFormat="1">
      <c r="A502" s="3">
        <v>45716</v>
      </c>
      <c r="B502" s="2" t="s">
        <v>15</v>
      </c>
      <c r="C502" s="2">
        <v>12</v>
      </c>
      <c r="D502" s="2">
        <v>17</v>
      </c>
      <c r="E502" s="1">
        <v>0</v>
      </c>
      <c r="F502" s="1">
        <f>IF(E502 + F501 &lt; 0, E502 + F501, 0)</f>
        <v>0</v>
      </c>
      <c r="G502" s="1">
        <v>0</v>
      </c>
      <c r="H502" s="1">
        <f>IF(G502 + H501 &lt; 0, G502 + H501, 0)</f>
        <v>0</v>
      </c>
      <c r="I502" s="1">
        <v>0</v>
      </c>
      <c r="J502" s="1">
        <f>IF(I502 + J501 &lt; 0, I502 + J501, 0)</f>
        <v>0</v>
      </c>
      <c r="K502" s="1">
        <v>0</v>
      </c>
      <c r="L502" s="1">
        <f>IF(K502 + L501 &lt; 0, K502 + L501, 0)</f>
        <v>0</v>
      </c>
      <c r="M502" s="1">
        <v>0</v>
      </c>
      <c r="N502" s="1">
        <f>IF(M502 + N501 &lt; 0, M502 + N501, 0)</f>
        <v>0</v>
      </c>
      <c r="O502" s="1">
        <v>0</v>
      </c>
      <c r="P502" s="1">
        <f>IF(O502 + P501 &lt; 0, O502 + P501, 0)</f>
        <v>0</v>
      </c>
      <c r="Q502" s="1">
        <v>0</v>
      </c>
      <c r="R502" s="1">
        <f>IF(Q502 + R501 &lt; 0, Q502 + R501, 0)</f>
        <v>0</v>
      </c>
      <c r="S502" s="1">
        <v>0</v>
      </c>
      <c r="T502" s="1">
        <f>IF(S502 + T501 &lt; 0, S502 + T501, 0)</f>
        <v>0</v>
      </c>
    </row>
    <row r="503" spans="1:20" s="1" customFormat="1">
      <c r="A503" s="3">
        <v>45719</v>
      </c>
      <c r="B503" s="2" t="s">
        <v>12</v>
      </c>
      <c r="C503" s="2">
        <v>11</v>
      </c>
      <c r="D503" s="2">
        <v>16</v>
      </c>
      <c r="E503" s="1">
        <v>0</v>
      </c>
      <c r="F503" s="1">
        <f>IF(E503 + F502 &lt; 0, E503 + F502, 0)</f>
        <v>0</v>
      </c>
      <c r="G503" s="1">
        <v>0</v>
      </c>
      <c r="H503" s="1">
        <f>IF(G503 + H502 &lt; 0, G503 + H502, 0)</f>
        <v>0</v>
      </c>
      <c r="I503" s="1">
        <v>0</v>
      </c>
      <c r="J503" s="1">
        <f>IF(I503 + J502 &lt; 0, I503 + J502, 0)</f>
        <v>0</v>
      </c>
      <c r="K503" s="1">
        <v>0</v>
      </c>
      <c r="L503" s="1">
        <f>IF(K503 + L502 &lt; 0, K503 + L502, 0)</f>
        <v>0</v>
      </c>
      <c r="M503" s="1">
        <v>0</v>
      </c>
      <c r="N503" s="1">
        <f>IF(M503 + N502 &lt; 0, M503 + N502, 0)</f>
        <v>0</v>
      </c>
      <c r="O503" s="1">
        <v>0</v>
      </c>
      <c r="P503" s="1">
        <f>IF(O503 + P502 &lt; 0, O503 + P502, 0)</f>
        <v>0</v>
      </c>
      <c r="Q503" s="1">
        <v>0</v>
      </c>
      <c r="R503" s="1">
        <f>IF(Q503 + R502 &lt; 0, Q503 + R502, 0)</f>
        <v>0</v>
      </c>
      <c r="S503" s="1">
        <v>0</v>
      </c>
      <c r="T503" s="1">
        <f>IF(S503 + T502 &lt; 0, S503 + T502, 0)</f>
        <v>0</v>
      </c>
    </row>
    <row r="504" spans="1:20" s="1" customFormat="1">
      <c r="A504" s="3">
        <v>45720</v>
      </c>
      <c r="B504" s="2" t="s">
        <v>13</v>
      </c>
      <c r="C504" s="2">
        <v>10</v>
      </c>
      <c r="D504" s="2">
        <v>15</v>
      </c>
      <c r="E504" s="1">
        <v>20268.76324300212</v>
      </c>
      <c r="F504" s="1">
        <f>IF(E504 + F503 &lt; 0, E504 + F503, 0)</f>
        <v>0</v>
      </c>
      <c r="G504" s="1">
        <v>20268.76324300212</v>
      </c>
      <c r="H504" s="1">
        <f>IF(G504 + H503 &lt; 0, G504 + H503, 0)</f>
        <v>0</v>
      </c>
      <c r="I504" s="1">
        <v>20268.76324300212</v>
      </c>
      <c r="J504" s="1">
        <f>IF(I504 + J503 &lt; 0, I504 + J503, 0)</f>
        <v>0</v>
      </c>
      <c r="K504" s="1">
        <v>20268.76324300212</v>
      </c>
      <c r="L504" s="1">
        <f>IF(K504 + L503 &lt; 0, K504 + L503, 0)</f>
        <v>0</v>
      </c>
      <c r="M504" s="1">
        <v>0</v>
      </c>
      <c r="N504" s="1">
        <f>IF(M504 + N503 &lt; 0, M504 + N503, 0)</f>
        <v>0</v>
      </c>
      <c r="O504" s="1">
        <v>0</v>
      </c>
      <c r="P504" s="1">
        <f>IF(O504 + P503 &lt; 0, O504 + P503, 0)</f>
        <v>0</v>
      </c>
      <c r="Q504" s="1">
        <v>0</v>
      </c>
      <c r="R504" s="1">
        <f>IF(Q504 + R503 &lt; 0, Q504 + R503, 0)</f>
        <v>0</v>
      </c>
      <c r="S504" s="1">
        <v>0</v>
      </c>
      <c r="T504" s="1">
        <f>IF(S504 + T503 &lt; 0, S504 + T503, 0)</f>
        <v>0</v>
      </c>
    </row>
    <row r="505" spans="1:20" s="1" customFormat="1">
      <c r="A505" s="3">
        <v>45721</v>
      </c>
      <c r="B505" s="2" t="s">
        <v>14</v>
      </c>
      <c r="C505" s="2">
        <v>9</v>
      </c>
      <c r="D505" s="2">
        <v>14</v>
      </c>
      <c r="E505" s="1">
        <v>-6700.769663975994</v>
      </c>
      <c r="F505" s="1">
        <f>IF(E505 + F504 &lt; 0, E505 + F504, 0)</f>
        <v>0</v>
      </c>
      <c r="G505" s="1">
        <v>-108543.2701332833</v>
      </c>
      <c r="H505" s="1">
        <f>IF(G505 + H504 &lt; 0, G505 + H504, 0)</f>
        <v>0</v>
      </c>
      <c r="I505" s="1">
        <v>-72310.86915712408</v>
      </c>
      <c r="J505" s="1">
        <f>IF(I505 + J504 &lt; 0, I505 + J504, 0)</f>
        <v>0</v>
      </c>
      <c r="K505" s="1">
        <v>-72310.86915712408</v>
      </c>
      <c r="L505" s="1">
        <f>IF(K505 + L504 &lt; 0, K505 + L504, 0)</f>
        <v>0</v>
      </c>
      <c r="M505" s="1">
        <v>0</v>
      </c>
      <c r="N505" s="1">
        <f>IF(M505 + N504 &lt; 0, M505 + N504, 0)</f>
        <v>0</v>
      </c>
      <c r="O505" s="1">
        <v>0</v>
      </c>
      <c r="P505" s="1">
        <f>IF(O505 + P504 &lt; 0, O505 + P504, 0)</f>
        <v>0</v>
      </c>
      <c r="Q505" s="1">
        <v>0</v>
      </c>
      <c r="R505" s="1">
        <f>IF(Q505 + R504 &lt; 0, Q505 + R504, 0)</f>
        <v>0</v>
      </c>
      <c r="S505" s="1">
        <v>0</v>
      </c>
      <c r="T505" s="1">
        <f>IF(S505 + T504 &lt; 0, S505 + T504, 0)</f>
        <v>0</v>
      </c>
    </row>
    <row r="506" spans="1:20" s="1" customFormat="1">
      <c r="A506" s="3">
        <v>45722</v>
      </c>
      <c r="B506" s="2" t="s">
        <v>16</v>
      </c>
      <c r="C506" s="2">
        <v>8</v>
      </c>
      <c r="D506" s="2">
        <v>13</v>
      </c>
      <c r="E506" s="1">
        <v>-99999.04394049481</v>
      </c>
      <c r="F506" s="1">
        <f>IF(E506 + F505 &lt; 0, E506 + F505, 0)</f>
        <v>0</v>
      </c>
      <c r="G506" s="1">
        <v>13298.78771654747</v>
      </c>
      <c r="H506" s="1">
        <f>IF(G506 + H505 &lt; 0, G506 + H505, 0)</f>
        <v>0</v>
      </c>
      <c r="I506" s="1">
        <v>13298.78771654747</v>
      </c>
      <c r="J506" s="1">
        <f>IF(I506 + J505 &lt; 0, I506 + J505, 0)</f>
        <v>0</v>
      </c>
      <c r="K506" s="1">
        <v>13298.78771654747</v>
      </c>
      <c r="L506" s="1">
        <f>IF(K506 + L505 &lt; 0, K506 + L505, 0)</f>
        <v>0</v>
      </c>
      <c r="M506" s="1">
        <v>0</v>
      </c>
      <c r="N506" s="1">
        <f>IF(M506 + N505 &lt; 0, M506 + N505, 0)</f>
        <v>0</v>
      </c>
      <c r="O506" s="1">
        <v>0</v>
      </c>
      <c r="P506" s="1">
        <f>IF(O506 + P505 &lt; 0, O506 + P505, 0)</f>
        <v>0</v>
      </c>
      <c r="Q506" s="1">
        <v>0</v>
      </c>
      <c r="R506" s="1">
        <f>IF(Q506 + R505 &lt; 0, Q506 + R505, 0)</f>
        <v>0</v>
      </c>
      <c r="S506" s="1">
        <v>0</v>
      </c>
      <c r="T506" s="1">
        <f>IF(S506 + T505 &lt; 0, S506 + T505, 0)</f>
        <v>0</v>
      </c>
    </row>
    <row r="507" spans="1:20" s="1" customFormat="1">
      <c r="A507" s="3">
        <v>45723</v>
      </c>
      <c r="B507" s="2" t="s">
        <v>15</v>
      </c>
      <c r="C507" s="2">
        <v>7</v>
      </c>
      <c r="D507" s="2">
        <v>12</v>
      </c>
      <c r="E507" s="1">
        <v>44458.71348616116</v>
      </c>
      <c r="F507" s="1">
        <f>IF(E507 + F506 &lt; 0, E507 + F506, 0)</f>
        <v>0</v>
      </c>
      <c r="G507" s="1">
        <v>44458.71348616116</v>
      </c>
      <c r="H507" s="1">
        <f>IF(G507 + H506 &lt; 0, G507 + H506, 0)</f>
        <v>0</v>
      </c>
      <c r="I507" s="1">
        <v>44458.71348616116</v>
      </c>
      <c r="J507" s="1">
        <f>IF(I507 + J506 &lt; 0, I507 + J506, 0)</f>
        <v>0</v>
      </c>
      <c r="K507" s="1">
        <v>44458.71348616116</v>
      </c>
      <c r="L507" s="1">
        <f>IF(K507 + L506 &lt; 0, K507 + L506, 0)</f>
        <v>0</v>
      </c>
      <c r="M507" s="1">
        <v>0</v>
      </c>
      <c r="N507" s="1">
        <f>IF(M507 + N506 &lt; 0, M507 + N506, 0)</f>
        <v>0</v>
      </c>
      <c r="O507" s="1">
        <v>0</v>
      </c>
      <c r="P507" s="1">
        <f>IF(O507 + P506 &lt; 0, O507 + P506, 0)</f>
        <v>0</v>
      </c>
      <c r="Q507" s="1">
        <v>0</v>
      </c>
      <c r="R507" s="1">
        <f>IF(Q507 + R506 &lt; 0, Q507 + R506, 0)</f>
        <v>0</v>
      </c>
      <c r="S507" s="1">
        <v>0</v>
      </c>
      <c r="T507" s="1">
        <f>IF(S507 + T506 &lt; 0, S507 + T506, 0)</f>
        <v>0</v>
      </c>
    </row>
    <row r="508" spans="1:20" s="1" customFormat="1">
      <c r="A508" s="3">
        <v>45726</v>
      </c>
      <c r="B508" s="2" t="s">
        <v>12</v>
      </c>
      <c r="C508" s="2">
        <v>6</v>
      </c>
      <c r="D508" s="2">
        <v>11</v>
      </c>
      <c r="E508" s="1">
        <v>-4752.594231649634</v>
      </c>
      <c r="F508" s="1">
        <f>IF(E508 + F507 &lt; 0, E508 + F507, 0)</f>
        <v>0</v>
      </c>
      <c r="G508" s="1">
        <v>-113869.6017091409</v>
      </c>
      <c r="H508" s="1">
        <f>IF(G508 + H507 &lt; 0, G508 + H507, 0)</f>
        <v>0</v>
      </c>
      <c r="I508" s="1">
        <v>-113869.6017091409</v>
      </c>
      <c r="J508" s="1">
        <f>IF(I508 + J507 &lt; 0, I508 + J507, 0)</f>
        <v>0</v>
      </c>
      <c r="K508" s="1">
        <v>-113869.6017091409</v>
      </c>
      <c r="L508" s="1">
        <f>IF(K508 + L507 &lt; 0, K508 + L507, 0)</f>
        <v>0</v>
      </c>
      <c r="M508" s="1">
        <v>0</v>
      </c>
      <c r="N508" s="1">
        <f>IF(M508 + N507 &lt; 0, M508 + N507, 0)</f>
        <v>0</v>
      </c>
      <c r="O508" s="1">
        <v>0</v>
      </c>
      <c r="P508" s="1">
        <f>IF(O508 + P507 &lt; 0, O508 + P507, 0)</f>
        <v>0</v>
      </c>
      <c r="Q508" s="1">
        <v>0</v>
      </c>
      <c r="R508" s="1">
        <f>IF(Q508 + R507 &lt; 0, Q508 + R507, 0)</f>
        <v>0</v>
      </c>
      <c r="S508" s="1">
        <v>0</v>
      </c>
      <c r="T508" s="1">
        <f>IF(S508 + T507 &lt; 0, S508 + T507, 0)</f>
        <v>0</v>
      </c>
    </row>
    <row r="509" spans="1:20" s="1" customFormat="1">
      <c r="A509" s="3">
        <v>45727</v>
      </c>
      <c r="B509" s="2" t="s">
        <v>13</v>
      </c>
      <c r="C509" s="2">
        <v>5</v>
      </c>
      <c r="D509" s="2">
        <v>10</v>
      </c>
      <c r="E509" s="1">
        <v>44865.87384058807</v>
      </c>
      <c r="F509" s="1">
        <f>IF(E509 + F508 &lt; 0, E509 + F508, 0)</f>
        <v>0</v>
      </c>
      <c r="G509" s="1">
        <v>44865.87384058807</v>
      </c>
      <c r="H509" s="1">
        <f>IF(G509 + H508 &lt; 0, G509 + H508, 0)</f>
        <v>0</v>
      </c>
      <c r="I509" s="1">
        <v>44865.87384058807</v>
      </c>
      <c r="J509" s="1">
        <f>IF(I509 + J508 &lt; 0, I509 + J508, 0)</f>
        <v>0</v>
      </c>
      <c r="K509" s="1">
        <v>44865.87384058807</v>
      </c>
      <c r="L509" s="1">
        <f>IF(K509 + L508 &lt; 0, K509 + L508, 0)</f>
        <v>0</v>
      </c>
      <c r="M509" s="1">
        <v>0</v>
      </c>
      <c r="N509" s="1">
        <f>IF(M509 + N508 &lt; 0, M509 + N508, 0)</f>
        <v>0</v>
      </c>
      <c r="O509" s="1">
        <v>0</v>
      </c>
      <c r="P509" s="1">
        <f>IF(O509 + P508 &lt; 0, O509 + P508, 0)</f>
        <v>0</v>
      </c>
      <c r="Q509" s="1">
        <v>0</v>
      </c>
      <c r="R509" s="1">
        <f>IF(Q509 + R508 &lt; 0, Q509 + R508, 0)</f>
        <v>0</v>
      </c>
      <c r="S509" s="1">
        <v>0</v>
      </c>
      <c r="T509" s="1">
        <f>IF(S509 + T508 &lt; 0, S509 + T508, 0)</f>
        <v>0</v>
      </c>
    </row>
    <row r="510" spans="1:20" s="1" customFormat="1">
      <c r="A510" s="3">
        <v>45728</v>
      </c>
      <c r="B510" s="2" t="s">
        <v>14</v>
      </c>
      <c r="C510" s="2">
        <v>4</v>
      </c>
      <c r="D510" s="2">
        <v>9</v>
      </c>
      <c r="E510" s="1">
        <v>23065.77140241111</v>
      </c>
      <c r="F510" s="1">
        <f>IF(E510 + F509 &lt; 0, E510 + F509, 0)</f>
        <v>0</v>
      </c>
      <c r="G510" s="1">
        <v>60830.91713718907</v>
      </c>
      <c r="H510" s="1">
        <f>IF(G510 + H509 &lt; 0, G510 + H509, 0)</f>
        <v>0</v>
      </c>
      <c r="I510" s="1">
        <v>60830.91713718907</v>
      </c>
      <c r="J510" s="1">
        <f>IF(I510 + J509 &lt; 0, I510 + J509, 0)</f>
        <v>0</v>
      </c>
      <c r="K510" s="1">
        <v>60830.91713718907</v>
      </c>
      <c r="L510" s="1">
        <f>IF(K510 + L509 &lt; 0, K510 + L509, 0)</f>
        <v>0</v>
      </c>
      <c r="M510" s="1">
        <v>0</v>
      </c>
      <c r="N510" s="1">
        <f>IF(M510 + N509 &lt; 0, M510 + N509, 0)</f>
        <v>0</v>
      </c>
      <c r="O510" s="1">
        <v>0</v>
      </c>
      <c r="P510" s="1">
        <f>IF(O510 + P509 &lt; 0, O510 + P509, 0)</f>
        <v>0</v>
      </c>
      <c r="Q510" s="1">
        <v>0</v>
      </c>
      <c r="R510" s="1">
        <f>IF(Q510 + R509 &lt; 0, Q510 + R509, 0)</f>
        <v>0</v>
      </c>
      <c r="S510" s="1">
        <v>0</v>
      </c>
      <c r="T510" s="1">
        <f>IF(S510 + T509 &lt; 0, S510 + T509, 0)</f>
        <v>0</v>
      </c>
    </row>
    <row r="511" spans="1:20" s="1" customFormat="1">
      <c r="A511" s="3">
        <v>45729</v>
      </c>
      <c r="B511" s="2" t="s">
        <v>16</v>
      </c>
      <c r="C511" s="2">
        <v>3</v>
      </c>
      <c r="D511" s="2">
        <v>8</v>
      </c>
      <c r="E511" s="1">
        <v>58920.16125993746</v>
      </c>
      <c r="F511" s="1">
        <f>IF(E511 + F510 &lt; 0, E511 + F510, 0)</f>
        <v>0</v>
      </c>
      <c r="G511" s="1">
        <v>-79723.82351833013</v>
      </c>
      <c r="H511" s="1">
        <f>IF(G511 + H510 &lt; 0, G511 + H510, 0)</f>
        <v>0</v>
      </c>
      <c r="I511" s="1">
        <v>-53737.6135036359</v>
      </c>
      <c r="J511" s="1">
        <f>IF(I511 + J510 &lt; 0, I511 + J510, 0)</f>
        <v>0</v>
      </c>
      <c r="K511" s="1">
        <v>-53737.6135036359</v>
      </c>
      <c r="L511" s="1">
        <f>IF(K511 + L510 &lt; 0, K511 + L510, 0)</f>
        <v>0</v>
      </c>
      <c r="M511" s="1">
        <v>0</v>
      </c>
      <c r="N511" s="1">
        <f>IF(M511 + N510 &lt; 0, M511 + N510, 0)</f>
        <v>0</v>
      </c>
      <c r="O511" s="1">
        <v>0</v>
      </c>
      <c r="P511" s="1">
        <f>IF(O511 + P510 &lt; 0, O511 + P510, 0)</f>
        <v>0</v>
      </c>
      <c r="Q511" s="1">
        <v>0</v>
      </c>
      <c r="R511" s="1">
        <f>IF(Q511 + R510 &lt; 0, Q511 + R510, 0)</f>
        <v>0</v>
      </c>
      <c r="S511" s="1">
        <v>0</v>
      </c>
      <c r="T511" s="1">
        <f>IF(S511 + T510 &lt; 0, S511 + T510, 0)</f>
        <v>0</v>
      </c>
    </row>
    <row r="512" spans="1:20" s="1" customFormat="1">
      <c r="A512" s="3">
        <v>45730</v>
      </c>
      <c r="B512" s="2" t="s">
        <v>15</v>
      </c>
      <c r="C512" s="2">
        <v>2</v>
      </c>
      <c r="D512" s="2">
        <v>7</v>
      </c>
      <c r="E512" s="1">
        <v>-12781.01106926851</v>
      </c>
      <c r="F512" s="1">
        <f>IF(E512 + F511 &lt; 0, E512 + F511, 0)</f>
        <v>0</v>
      </c>
      <c r="G512" s="1">
        <v>94488.18897637796</v>
      </c>
      <c r="H512" s="1">
        <f>IF(G512 + H511 &lt; 0, G512 + H511, 0)</f>
        <v>0</v>
      </c>
      <c r="I512" s="1">
        <v>94488.18897637796</v>
      </c>
      <c r="J512" s="1">
        <f>IF(I512 + J511 &lt; 0, I512 + J511, 0)</f>
        <v>0</v>
      </c>
      <c r="K512" s="1">
        <v>94488.18897637796</v>
      </c>
      <c r="L512" s="1">
        <f>IF(K512 + L511 &lt; 0, K512 + L511, 0)</f>
        <v>0</v>
      </c>
      <c r="M512" s="1">
        <v>0</v>
      </c>
      <c r="N512" s="1">
        <f>IF(M512 + N511 &lt; 0, M512 + N511, 0)</f>
        <v>0</v>
      </c>
      <c r="O512" s="1">
        <v>0</v>
      </c>
      <c r="P512" s="1">
        <f>IF(O512 + P511 &lt; 0, O512 + P511, 0)</f>
        <v>0</v>
      </c>
      <c r="Q512" s="1">
        <v>0</v>
      </c>
      <c r="R512" s="1">
        <f>IF(Q512 + R511 &lt; 0, Q512 + R511, 0)</f>
        <v>0</v>
      </c>
      <c r="S512" s="1">
        <v>0</v>
      </c>
      <c r="T512" s="1">
        <f>IF(S512 + T511 &lt; 0, S512 + T511, 0)</f>
        <v>0</v>
      </c>
    </row>
    <row r="513" spans="1:20" s="1" customFormat="1">
      <c r="A513" s="3">
        <v>45733</v>
      </c>
      <c r="B513" s="2" t="s">
        <v>12</v>
      </c>
      <c r="C513" s="2">
        <v>1</v>
      </c>
      <c r="D513" s="2">
        <v>6</v>
      </c>
      <c r="E513" s="1">
        <v>134691.4467216214</v>
      </c>
      <c r="F513" s="1">
        <f>IF(E513 + F512 &lt; 0, E513 + F512, 0)</f>
        <v>0</v>
      </c>
      <c r="G513" s="1">
        <v>74389.32163654239</v>
      </c>
      <c r="H513" s="1">
        <f>IF(G513 + H512 &lt; 0, G513 + H512, 0)</f>
        <v>0</v>
      </c>
      <c r="I513" s="1">
        <v>138848.9752703623</v>
      </c>
      <c r="J513" s="1">
        <f>IF(I513 + J512 &lt; 0, I513 + J512, 0)</f>
        <v>0</v>
      </c>
      <c r="K513" s="1">
        <v>170233.6837328897</v>
      </c>
      <c r="L513" s="1">
        <f>IF(K513 + L512 &lt; 0, K513 + L512, 0)</f>
        <v>0</v>
      </c>
      <c r="M513" s="1">
        <v>90656.79925994451</v>
      </c>
      <c r="N513" s="1">
        <f>IF(M513 + N512 &lt; 0, M513 + N512, 0)</f>
        <v>0</v>
      </c>
      <c r="O513" s="1">
        <v>90656.79925994451</v>
      </c>
      <c r="P513" s="1">
        <f>IF(O513 + P512 &lt; 0, O513 + P512, 0)</f>
        <v>0</v>
      </c>
      <c r="Q513" s="1">
        <v>90656.79925994451</v>
      </c>
      <c r="R513" s="1">
        <f>IF(Q513 + R512 &lt; 0, Q513 + R512, 0)</f>
        <v>0</v>
      </c>
      <c r="S513" s="1">
        <v>90656.79925994451</v>
      </c>
      <c r="T513" s="1">
        <f>IF(S513 + T512 &lt; 0, S513 + T512, 0)</f>
        <v>0</v>
      </c>
    </row>
    <row r="514" spans="1:20" s="1" customFormat="1">
      <c r="A514" s="3">
        <v>45734</v>
      </c>
      <c r="B514" s="2" t="s">
        <v>13</v>
      </c>
      <c r="C514" s="2">
        <v>22</v>
      </c>
      <c r="D514" s="2">
        <v>5</v>
      </c>
      <c r="E514" s="1">
        <v>0</v>
      </c>
      <c r="F514" s="1">
        <f>IF(E514 + F513 &lt; 0, E514 + F513, 0)</f>
        <v>0</v>
      </c>
      <c r="G514" s="1">
        <v>0</v>
      </c>
      <c r="H514" s="1">
        <f>IF(G514 + H513 &lt; 0, G514 + H513, 0)</f>
        <v>0</v>
      </c>
      <c r="I514" s="1">
        <v>0</v>
      </c>
      <c r="J514" s="1">
        <f>IF(I514 + J513 &lt; 0, I514 + J513, 0)</f>
        <v>0</v>
      </c>
      <c r="K514" s="1">
        <v>0</v>
      </c>
      <c r="L514" s="1">
        <f>IF(K514 + L513 &lt; 0, K514 + L513, 0)</f>
        <v>0</v>
      </c>
      <c r="M514" s="1">
        <v>5657.45593139592</v>
      </c>
      <c r="N514" s="1">
        <f>IF(M514 + N513 &lt; 0, M514 + N513, 0)</f>
        <v>0</v>
      </c>
      <c r="O514" s="1">
        <v>5657.45593139592</v>
      </c>
      <c r="P514" s="1">
        <f>IF(O514 + P513 &lt; 0, O514 + P513, 0)</f>
        <v>0</v>
      </c>
      <c r="Q514" s="1">
        <v>5657.45593139592</v>
      </c>
      <c r="R514" s="1">
        <f>IF(Q514 + R513 &lt; 0, Q514 + R513, 0)</f>
        <v>0</v>
      </c>
      <c r="S514" s="1">
        <v>5657.45593139592</v>
      </c>
      <c r="T514" s="1">
        <f>IF(S514 + T513 &lt; 0, S514 + T513, 0)</f>
        <v>0</v>
      </c>
    </row>
    <row r="515" spans="1:20" s="1" customFormat="1">
      <c r="A515" s="3">
        <v>45735</v>
      </c>
      <c r="B515" s="2" t="s">
        <v>14</v>
      </c>
      <c r="C515" s="2">
        <v>21</v>
      </c>
      <c r="D515" s="2">
        <v>4</v>
      </c>
      <c r="E515" s="1">
        <v>0</v>
      </c>
      <c r="F515" s="1">
        <f>IF(E515 + F514 &lt; 0, E515 + F514, 0)</f>
        <v>0</v>
      </c>
      <c r="G515" s="1">
        <v>0</v>
      </c>
      <c r="H515" s="1">
        <f>IF(G515 + H514 &lt; 0, G515 + H514, 0)</f>
        <v>0</v>
      </c>
      <c r="I515" s="1">
        <v>0</v>
      </c>
      <c r="J515" s="1">
        <f>IF(I515 + J514 &lt; 0, I515 + J514, 0)</f>
        <v>0</v>
      </c>
      <c r="K515" s="1">
        <v>0</v>
      </c>
      <c r="L515" s="1">
        <f>IF(K515 + L514 &lt; 0, K515 + L514, 0)</f>
        <v>0</v>
      </c>
      <c r="M515" s="1">
        <v>68395.67160668079</v>
      </c>
      <c r="N515" s="1">
        <f>IF(M515 + N514 &lt; 0, M515 + N514, 0)</f>
        <v>0</v>
      </c>
      <c r="O515" s="1">
        <v>68395.67160668079</v>
      </c>
      <c r="P515" s="1">
        <f>IF(O515 + P514 &lt; 0, O515 + P514, 0)</f>
        <v>0</v>
      </c>
      <c r="Q515" s="1">
        <v>68395.67160668079</v>
      </c>
      <c r="R515" s="1">
        <f>IF(Q515 + R514 &lt; 0, Q515 + R514, 0)</f>
        <v>0</v>
      </c>
      <c r="S515" s="1">
        <v>68395.67160668079</v>
      </c>
      <c r="T515" s="1">
        <f>IF(S515 + T514 &lt; 0, S515 + T514, 0)</f>
        <v>0</v>
      </c>
    </row>
    <row r="516" spans="1:20" s="1" customFormat="1">
      <c r="A516" s="3">
        <v>45736</v>
      </c>
      <c r="B516" s="2" t="s">
        <v>16</v>
      </c>
      <c r="C516" s="2">
        <v>20</v>
      </c>
      <c r="D516" s="2">
        <v>3</v>
      </c>
      <c r="E516" s="1">
        <v>0</v>
      </c>
      <c r="F516" s="1">
        <f>IF(E516 + F515 &lt; 0, E516 + F515, 0)</f>
        <v>0</v>
      </c>
      <c r="G516" s="1">
        <v>0</v>
      </c>
      <c r="H516" s="1">
        <f>IF(G516 + H515 &lt; 0, G516 + H515, 0)</f>
        <v>0</v>
      </c>
      <c r="I516" s="1">
        <v>0</v>
      </c>
      <c r="J516" s="1">
        <f>IF(I516 + J515 &lt; 0, I516 + J515, 0)</f>
        <v>0</v>
      </c>
      <c r="K516" s="1">
        <v>0</v>
      </c>
      <c r="L516" s="1">
        <f>IF(K516 + L515 &lt; 0, K516 + L515, 0)</f>
        <v>0</v>
      </c>
      <c r="M516" s="1">
        <v>9089.602024384625</v>
      </c>
      <c r="N516" s="1">
        <f>IF(M516 + N515 &lt; 0, M516 + N515, 0)</f>
        <v>0</v>
      </c>
      <c r="O516" s="1">
        <v>-58198.18265470438</v>
      </c>
      <c r="P516" s="1">
        <f>IF(O516 + P515 &lt; 0, O516 + P515, 0)</f>
        <v>0</v>
      </c>
      <c r="Q516" s="1">
        <v>-127173.9130434782</v>
      </c>
      <c r="R516" s="1">
        <f>IF(Q516 + R515 &lt; 0, Q516 + R515, 0)</f>
        <v>0</v>
      </c>
      <c r="S516" s="1">
        <v>-127173.9130434782</v>
      </c>
      <c r="T516" s="1">
        <f>IF(S516 + T515 &lt; 0, S516 + T515, 0)</f>
        <v>0</v>
      </c>
    </row>
    <row r="517" spans="1:20" s="1" customFormat="1">
      <c r="A517" s="3">
        <v>45737</v>
      </c>
      <c r="B517" s="2" t="s">
        <v>15</v>
      </c>
      <c r="C517" s="2">
        <v>19</v>
      </c>
      <c r="D517" s="2">
        <v>2</v>
      </c>
      <c r="E517" s="1">
        <v>0</v>
      </c>
      <c r="F517" s="1">
        <f>IF(E517 + F516 &lt; 0, E517 + F516, 0)</f>
        <v>0</v>
      </c>
      <c r="G517" s="1">
        <v>0</v>
      </c>
      <c r="H517" s="1">
        <f>IF(G517 + H516 &lt; 0, G517 + H516, 0)</f>
        <v>0</v>
      </c>
      <c r="I517" s="1">
        <v>0</v>
      </c>
      <c r="J517" s="1">
        <f>IF(I517 + J516 &lt; 0, I517 + J516, 0)</f>
        <v>0</v>
      </c>
      <c r="K517" s="1">
        <v>0</v>
      </c>
      <c r="L517" s="1">
        <f>IF(K517 + L516 &lt; 0, K517 + L516, 0)</f>
        <v>0</v>
      </c>
      <c r="M517" s="1">
        <v>-107641.1240406041</v>
      </c>
      <c r="N517" s="1">
        <f>IF(M517 + N516 &lt; 0, M517 + N516, 0)</f>
        <v>0</v>
      </c>
      <c r="O517" s="1">
        <v>-92102.00544689281</v>
      </c>
      <c r="P517" s="1">
        <f>IF(O517 + P516 &lt; 0, O517 + P516, 0)</f>
        <v>0</v>
      </c>
      <c r="Q517" s="1">
        <v>-92102.00544689281</v>
      </c>
      <c r="R517" s="1">
        <f>IF(Q517 + R516 &lt; 0, Q517 + R516, 0)</f>
        <v>0</v>
      </c>
      <c r="S517" s="1">
        <v>-92102.00544689281</v>
      </c>
      <c r="T517" s="1">
        <f>IF(S517 + T516 &lt; 0, S517 + T516, 0)</f>
        <v>0</v>
      </c>
    </row>
    <row r="518" spans="1:20" s="1" customFormat="1">
      <c r="A518" s="3">
        <v>45740</v>
      </c>
      <c r="B518" s="2" t="s">
        <v>12</v>
      </c>
      <c r="C518" s="2">
        <v>18</v>
      </c>
      <c r="D518" s="2">
        <v>1</v>
      </c>
      <c r="E518" s="1">
        <v>0</v>
      </c>
      <c r="F518" s="1">
        <f>IF(E518 + F517 &lt; 0, E518 + F517, 0)</f>
        <v>0</v>
      </c>
      <c r="G518" s="1">
        <v>0</v>
      </c>
      <c r="H518" s="1">
        <f>IF(G518 + H517 &lt; 0, G518 + H517, 0)</f>
        <v>0</v>
      </c>
      <c r="I518" s="1">
        <v>0</v>
      </c>
      <c r="J518" s="1">
        <f>IF(I518 + J517 &lt; 0, I518 + J517, 0)</f>
        <v>0</v>
      </c>
      <c r="K518" s="1">
        <v>0</v>
      </c>
      <c r="L518" s="1">
        <f>IF(K518 + L517 &lt; 0, K518 + L517, 0)</f>
        <v>0</v>
      </c>
      <c r="M518" s="1">
        <v>34948.224852071</v>
      </c>
      <c r="N518" s="1">
        <f>IF(M518 + N517 &lt; 0, M518 + N517, 0)</f>
        <v>0</v>
      </c>
      <c r="O518" s="1">
        <v>73794.99506903352</v>
      </c>
      <c r="P518" s="1">
        <f>IF(O518 + P517 &lt; 0, O518 + P517, 0)</f>
        <v>0</v>
      </c>
      <c r="Q518" s="1">
        <v>89179.61045364891</v>
      </c>
      <c r="R518" s="1">
        <f>IF(Q518 + R517 &lt; 0, Q518 + R517, 0)</f>
        <v>0</v>
      </c>
      <c r="S518" s="1">
        <v>89179.61045364891</v>
      </c>
      <c r="T518" s="1">
        <f>IF(S518 + T517 &lt; 0, S518 + T517, 0)</f>
        <v>0</v>
      </c>
    </row>
    <row r="519" spans="1:20" s="1" customFormat="1">
      <c r="A519" s="3">
        <v>45741</v>
      </c>
      <c r="B519" s="2" t="s">
        <v>13</v>
      </c>
      <c r="C519" s="2">
        <v>17</v>
      </c>
      <c r="D519" s="2">
        <v>21</v>
      </c>
      <c r="E519" s="1">
        <v>0</v>
      </c>
      <c r="F519" s="1">
        <f>IF(E519 + F518 &lt; 0, E519 + F518, 0)</f>
        <v>0</v>
      </c>
      <c r="G519" s="1">
        <v>0</v>
      </c>
      <c r="H519" s="1">
        <f>IF(G519 + H518 &lt; 0, G519 + H518, 0)</f>
        <v>0</v>
      </c>
      <c r="I519" s="1">
        <v>0</v>
      </c>
      <c r="J519" s="1">
        <f>IF(I519 + J518 &lt; 0, I519 + J518, 0)</f>
        <v>0</v>
      </c>
      <c r="K519" s="1">
        <v>0</v>
      </c>
      <c r="L519" s="1">
        <f>IF(K519 + L518 &lt; 0, K519 + L518, 0)</f>
        <v>0</v>
      </c>
      <c r="M519" s="1">
        <v>0</v>
      </c>
      <c r="N519" s="1">
        <f>IF(M519 + N518 &lt; 0, M519 + N518, 0)</f>
        <v>0</v>
      </c>
      <c r="O519" s="1">
        <v>0</v>
      </c>
      <c r="P519" s="1">
        <f>IF(O519 + P518 &lt; 0, O519 + P518, 0)</f>
        <v>0</v>
      </c>
      <c r="Q519" s="1">
        <v>0</v>
      </c>
      <c r="R519" s="1">
        <f>IF(Q519 + R518 &lt; 0, Q519 + R518, 0)</f>
        <v>0</v>
      </c>
      <c r="S519" s="1">
        <v>0</v>
      </c>
      <c r="T519" s="1">
        <f>IF(S519 + T518 &lt; 0, S519 + T518, 0)</f>
        <v>0</v>
      </c>
    </row>
    <row r="520" spans="1:20" s="1" customFormat="1">
      <c r="A520" s="3">
        <v>45742</v>
      </c>
      <c r="B520" s="2" t="s">
        <v>14</v>
      </c>
      <c r="C520" s="2">
        <v>16</v>
      </c>
      <c r="D520" s="2">
        <v>20</v>
      </c>
      <c r="E520" s="1">
        <v>0</v>
      </c>
      <c r="F520" s="1">
        <f>IF(E520 + F519 &lt; 0, E520 + F519, 0)</f>
        <v>0</v>
      </c>
      <c r="G520" s="1">
        <v>0</v>
      </c>
      <c r="H520" s="1">
        <f>IF(G520 + H519 &lt; 0, G520 + H519, 0)</f>
        <v>0</v>
      </c>
      <c r="I520" s="1">
        <v>0</v>
      </c>
      <c r="J520" s="1">
        <f>IF(I520 + J519 &lt; 0, I520 + J519, 0)</f>
        <v>0</v>
      </c>
      <c r="K520" s="1">
        <v>0</v>
      </c>
      <c r="L520" s="1">
        <f>IF(K520 + L519 &lt; 0, K520 + L519, 0)</f>
        <v>0</v>
      </c>
      <c r="M520" s="1">
        <v>0</v>
      </c>
      <c r="N520" s="1">
        <f>IF(M520 + N519 &lt; 0, M520 + N519, 0)</f>
        <v>0</v>
      </c>
      <c r="O520" s="1">
        <v>0</v>
      </c>
      <c r="P520" s="1">
        <f>IF(O520 + P519 &lt; 0, O520 + P519, 0)</f>
        <v>0</v>
      </c>
      <c r="Q520" s="1">
        <v>0</v>
      </c>
      <c r="R520" s="1">
        <f>IF(Q520 + R519 &lt; 0, Q520 + R519, 0)</f>
        <v>0</v>
      </c>
      <c r="S520" s="1">
        <v>0</v>
      </c>
      <c r="T520" s="1">
        <f>IF(S520 + T519 &lt; 0, S520 + T519, 0)</f>
        <v>0</v>
      </c>
    </row>
    <row r="521" spans="1:20" s="1" customFormat="1">
      <c r="A521" s="3">
        <v>45743</v>
      </c>
      <c r="B521" s="2" t="s">
        <v>16</v>
      </c>
      <c r="C521" s="2">
        <v>15</v>
      </c>
      <c r="D521" s="2">
        <v>19</v>
      </c>
      <c r="E521" s="1">
        <v>0</v>
      </c>
      <c r="F521" s="1">
        <f>IF(E521 + F520 &lt; 0, E521 + F520, 0)</f>
        <v>0</v>
      </c>
      <c r="G521" s="1">
        <v>0</v>
      </c>
      <c r="H521" s="1">
        <f>IF(G521 + H520 &lt; 0, G521 + H520, 0)</f>
        <v>0</v>
      </c>
      <c r="I521" s="1">
        <v>0</v>
      </c>
      <c r="J521" s="1">
        <f>IF(I521 + J520 &lt; 0, I521 + J520, 0)</f>
        <v>0</v>
      </c>
      <c r="K521" s="1">
        <v>0</v>
      </c>
      <c r="L521" s="1">
        <f>IF(K521 + L520 &lt; 0, K521 + L520, 0)</f>
        <v>0</v>
      </c>
      <c r="M521" s="1">
        <v>0</v>
      </c>
      <c r="N521" s="1">
        <f>IF(M521 + N520 &lt; 0, M521 + N520, 0)</f>
        <v>0</v>
      </c>
      <c r="O521" s="1">
        <v>0</v>
      </c>
      <c r="P521" s="1">
        <f>IF(O521 + P520 &lt; 0, O521 + P520, 0)</f>
        <v>0</v>
      </c>
      <c r="Q521" s="1">
        <v>0</v>
      </c>
      <c r="R521" s="1">
        <f>IF(Q521 + R520 &lt; 0, Q521 + R520, 0)</f>
        <v>0</v>
      </c>
      <c r="S521" s="1">
        <v>0</v>
      </c>
      <c r="T521" s="1">
        <f>IF(S521 + T520 &lt; 0, S521 + T520, 0)</f>
        <v>0</v>
      </c>
    </row>
    <row r="522" spans="1:20" s="1" customFormat="1">
      <c r="A522" s="3">
        <v>45744</v>
      </c>
      <c r="B522" s="2" t="s">
        <v>15</v>
      </c>
      <c r="C522" s="2">
        <v>14</v>
      </c>
      <c r="D522" s="2">
        <v>18</v>
      </c>
      <c r="E522" s="1">
        <v>0</v>
      </c>
      <c r="F522" s="1">
        <f>IF(E522 + F521 &lt; 0, E522 + F521, 0)</f>
        <v>0</v>
      </c>
      <c r="G522" s="1">
        <v>0</v>
      </c>
      <c r="H522" s="1">
        <f>IF(G522 + H521 &lt; 0, G522 + H521, 0)</f>
        <v>0</v>
      </c>
      <c r="I522" s="1">
        <v>0</v>
      </c>
      <c r="J522" s="1">
        <f>IF(I522 + J521 &lt; 0, I522 + J521, 0)</f>
        <v>0</v>
      </c>
      <c r="K522" s="1">
        <v>0</v>
      </c>
      <c r="L522" s="1">
        <f>IF(K522 + L521 &lt; 0, K522 + L521, 0)</f>
        <v>0</v>
      </c>
      <c r="M522" s="1">
        <v>0</v>
      </c>
      <c r="N522" s="1">
        <f>IF(M522 + N521 &lt; 0, M522 + N521, 0)</f>
        <v>0</v>
      </c>
      <c r="O522" s="1">
        <v>0</v>
      </c>
      <c r="P522" s="1">
        <f>IF(O522 + P521 &lt; 0, O522 + P521, 0)</f>
        <v>0</v>
      </c>
      <c r="Q522" s="1">
        <v>0</v>
      </c>
      <c r="R522" s="1">
        <f>IF(Q522 + R521 &lt; 0, Q522 + R521, 0)</f>
        <v>0</v>
      </c>
      <c r="S522" s="1">
        <v>0</v>
      </c>
      <c r="T522" s="1">
        <f>IF(S522 + T521 &lt; 0, S522 + T521, 0)</f>
        <v>0</v>
      </c>
    </row>
    <row r="523" spans="1:20" s="1" customFormat="1">
      <c r="A523" s="3">
        <v>45747</v>
      </c>
      <c r="B523" s="2" t="s">
        <v>12</v>
      </c>
      <c r="C523" s="2">
        <v>13</v>
      </c>
      <c r="D523" s="2">
        <v>17</v>
      </c>
      <c r="E523" s="1">
        <v>0</v>
      </c>
      <c r="F523" s="1">
        <f>IF(E523 + F522 &lt; 0, E523 + F522, 0)</f>
        <v>0</v>
      </c>
      <c r="G523" s="1">
        <v>0</v>
      </c>
      <c r="H523" s="1">
        <f>IF(G523 + H522 &lt; 0, G523 + H522, 0)</f>
        <v>0</v>
      </c>
      <c r="I523" s="1">
        <v>0</v>
      </c>
      <c r="J523" s="1">
        <f>IF(I523 + J522 &lt; 0, I523 + J522, 0)</f>
        <v>0</v>
      </c>
      <c r="K523" s="1">
        <v>0</v>
      </c>
      <c r="L523" s="1">
        <f>IF(K523 + L522 &lt; 0, K523 + L522, 0)</f>
        <v>0</v>
      </c>
      <c r="M523" s="1">
        <v>0</v>
      </c>
      <c r="N523" s="1">
        <f>IF(M523 + N522 &lt; 0, M523 + N522, 0)</f>
        <v>0</v>
      </c>
      <c r="O523" s="1">
        <v>0</v>
      </c>
      <c r="P523" s="1">
        <f>IF(O523 + P522 &lt; 0, O523 + P522, 0)</f>
        <v>0</v>
      </c>
      <c r="Q523" s="1">
        <v>0</v>
      </c>
      <c r="R523" s="1">
        <f>IF(Q523 + R522 &lt; 0, Q523 + R522, 0)</f>
        <v>0</v>
      </c>
      <c r="S523" s="1">
        <v>0</v>
      </c>
      <c r="T523" s="1">
        <f>IF(S523 + T522 &lt; 0, S523 + T522, 0)</f>
        <v>0</v>
      </c>
    </row>
    <row r="524" spans="1:20" s="1" customFormat="1">
      <c r="A524" s="3">
        <v>45748</v>
      </c>
      <c r="B524" s="2" t="s">
        <v>13</v>
      </c>
      <c r="C524" s="2">
        <v>12</v>
      </c>
      <c r="D524" s="2">
        <v>16</v>
      </c>
      <c r="E524" s="1">
        <v>0</v>
      </c>
      <c r="F524" s="1">
        <f>IF(E524 + F523 &lt; 0, E524 + F523, 0)</f>
        <v>0</v>
      </c>
      <c r="G524" s="1">
        <v>0</v>
      </c>
      <c r="H524" s="1">
        <f>IF(G524 + H523 &lt; 0, G524 + H523, 0)</f>
        <v>0</v>
      </c>
      <c r="I524" s="1">
        <v>0</v>
      </c>
      <c r="J524" s="1">
        <f>IF(I524 + J523 &lt; 0, I524 + J523, 0)</f>
        <v>0</v>
      </c>
      <c r="K524" s="1">
        <v>0</v>
      </c>
      <c r="L524" s="1">
        <f>IF(K524 + L523 &lt; 0, K524 + L523, 0)</f>
        <v>0</v>
      </c>
      <c r="M524" s="1">
        <v>0</v>
      </c>
      <c r="N524" s="1">
        <f>IF(M524 + N523 &lt; 0, M524 + N523, 0)</f>
        <v>0</v>
      </c>
      <c r="O524" s="1">
        <v>0</v>
      </c>
      <c r="P524" s="1">
        <f>IF(O524 + P523 &lt; 0, O524 + P523, 0)</f>
        <v>0</v>
      </c>
      <c r="Q524" s="1">
        <v>0</v>
      </c>
      <c r="R524" s="1">
        <f>IF(Q524 + R523 &lt; 0, Q524 + R523, 0)</f>
        <v>0</v>
      </c>
      <c r="S524" s="1">
        <v>0</v>
      </c>
      <c r="T524" s="1">
        <f>IF(S524 + T523 &lt; 0, S524 + T523, 0)</f>
        <v>0</v>
      </c>
    </row>
    <row r="525" spans="1:20" s="1" customFormat="1">
      <c r="A525" s="3">
        <v>45749</v>
      </c>
      <c r="B525" s="2" t="s">
        <v>14</v>
      </c>
      <c r="C525" s="2">
        <v>11</v>
      </c>
      <c r="D525" s="2">
        <v>15</v>
      </c>
      <c r="E525" s="1">
        <v>0</v>
      </c>
      <c r="F525" s="1">
        <f>IF(E525 + F524 &lt; 0, E525 + F524, 0)</f>
        <v>0</v>
      </c>
      <c r="G525" s="1">
        <v>0</v>
      </c>
      <c r="H525" s="1">
        <f>IF(G525 + H524 &lt; 0, G525 + H524, 0)</f>
        <v>0</v>
      </c>
      <c r="I525" s="1">
        <v>0</v>
      </c>
      <c r="J525" s="1">
        <f>IF(I525 + J524 &lt; 0, I525 + J524, 0)</f>
        <v>0</v>
      </c>
      <c r="K525" s="1">
        <v>0</v>
      </c>
      <c r="L525" s="1">
        <f>IF(K525 + L524 &lt; 0, K525 + L524, 0)</f>
        <v>0</v>
      </c>
      <c r="M525" s="1">
        <v>0</v>
      </c>
      <c r="N525" s="1">
        <f>IF(M525 + N524 &lt; 0, M525 + N524, 0)</f>
        <v>0</v>
      </c>
      <c r="O525" s="1">
        <v>0</v>
      </c>
      <c r="P525" s="1">
        <f>IF(O525 + P524 &lt; 0, O525 + P524, 0)</f>
        <v>0</v>
      </c>
      <c r="Q525" s="1">
        <v>0</v>
      </c>
      <c r="R525" s="1">
        <f>IF(Q525 + R524 &lt; 0, Q525 + R524, 0)</f>
        <v>0</v>
      </c>
      <c r="S525" s="1">
        <v>0</v>
      </c>
      <c r="T525" s="1">
        <f>IF(S525 + T524 &lt; 0, S525 + T524, 0)</f>
        <v>0</v>
      </c>
    </row>
    <row r="526" spans="1:20" s="1" customFormat="1">
      <c r="A526" s="3">
        <v>45750</v>
      </c>
      <c r="B526" s="2" t="s">
        <v>16</v>
      </c>
      <c r="C526" s="2">
        <v>10</v>
      </c>
      <c r="D526" s="2">
        <v>14</v>
      </c>
      <c r="E526" s="1">
        <v>36950.34676110373</v>
      </c>
      <c r="F526" s="1">
        <f>IF(E526 + F525 &lt; 0, E526 + F525, 0)</f>
        <v>0</v>
      </c>
      <c r="G526" s="1">
        <v>-90504.64807436922</v>
      </c>
      <c r="H526" s="1">
        <f>IF(G526 + H525 &lt; 0, G526 + H525, 0)</f>
        <v>0</v>
      </c>
      <c r="I526" s="1">
        <v>74479.85834440019</v>
      </c>
      <c r="J526" s="1">
        <f>IF(I526 + J525 &lt; 0, I526 + J525, 0)</f>
        <v>0</v>
      </c>
      <c r="K526" s="1">
        <v>74479.85834440019</v>
      </c>
      <c r="L526" s="1">
        <f>IF(K526 + L525 &lt; 0, K526 + L525, 0)</f>
        <v>0</v>
      </c>
      <c r="M526" s="1">
        <v>0</v>
      </c>
      <c r="N526" s="1">
        <f>IF(M526 + N525 &lt; 0, M526 + N525, 0)</f>
        <v>0</v>
      </c>
      <c r="O526" s="1">
        <v>0</v>
      </c>
      <c r="P526" s="1">
        <f>IF(O526 + P525 &lt; 0, O526 + P525, 0)</f>
        <v>0</v>
      </c>
      <c r="Q526" s="1">
        <v>0</v>
      </c>
      <c r="R526" s="1">
        <f>IF(Q526 + R525 &lt; 0, Q526 + R525, 0)</f>
        <v>0</v>
      </c>
      <c r="S526" s="1">
        <v>0</v>
      </c>
      <c r="T526" s="1">
        <f>IF(S526 + T525 &lt; 0, S526 + T525, 0)</f>
        <v>0</v>
      </c>
    </row>
    <row r="527" spans="1:20" s="1" customFormat="1">
      <c r="A527" s="3">
        <v>45751</v>
      </c>
      <c r="B527" s="2" t="s">
        <v>15</v>
      </c>
      <c r="C527" s="2">
        <v>9</v>
      </c>
      <c r="D527" s="2">
        <v>13</v>
      </c>
      <c r="E527" s="1">
        <v>-200536.2534802556</v>
      </c>
      <c r="F527" s="1">
        <f>IF(E527 + F526 &lt; 0, E527 + F526, 0)</f>
        <v>0</v>
      </c>
      <c r="G527" s="1">
        <v>141416.0229010627</v>
      </c>
      <c r="H527" s="1">
        <f>IF(G527 + H526 &lt; 0, G527 + H526, 0)</f>
        <v>0</v>
      </c>
      <c r="I527" s="1">
        <v>141416.0229010627</v>
      </c>
      <c r="J527" s="1">
        <f>IF(I527 + J526 &lt; 0, I527 + J526, 0)</f>
        <v>0</v>
      </c>
      <c r="K527" s="1">
        <v>141416.0229010627</v>
      </c>
      <c r="L527" s="1">
        <f>IF(K527 + L526 &lt; 0, K527 + L526, 0)</f>
        <v>0</v>
      </c>
      <c r="M527" s="1">
        <v>0</v>
      </c>
      <c r="N527" s="1">
        <f>IF(M527 + N526 &lt; 0, M527 + N526, 0)</f>
        <v>0</v>
      </c>
      <c r="O527" s="1">
        <v>0</v>
      </c>
      <c r="P527" s="1">
        <f>IF(O527 + P526 &lt; 0, O527 + P526, 0)</f>
        <v>0</v>
      </c>
      <c r="Q527" s="1">
        <v>0</v>
      </c>
      <c r="R527" s="1">
        <f>IF(Q527 + R526 &lt; 0, Q527 + R526, 0)</f>
        <v>0</v>
      </c>
      <c r="S527" s="1">
        <v>0</v>
      </c>
      <c r="T527" s="1">
        <f>IF(S527 + T526 &lt; 0, S527 + T526, 0)</f>
        <v>0</v>
      </c>
    </row>
    <row r="528" spans="1:20" s="1" customFormat="1">
      <c r="A528" s="3">
        <v>45754</v>
      </c>
      <c r="B528" s="2" t="s">
        <v>12</v>
      </c>
      <c r="C528" s="2">
        <v>8</v>
      </c>
      <c r="D528" s="2">
        <v>12</v>
      </c>
      <c r="E528" s="1">
        <v>-319907.0314169694</v>
      </c>
      <c r="F528" s="1">
        <f>IF(E528 + F527 &lt; 0, E528 + F527, 0)</f>
        <v>0</v>
      </c>
      <c r="G528" s="1">
        <v>-265199.8290232956</v>
      </c>
      <c r="H528" s="1">
        <f>IF(G528 + H527 &lt; 0, G528 + H527, 0)</f>
        <v>0</v>
      </c>
      <c r="I528" s="1">
        <v>-168500.7480230819</v>
      </c>
      <c r="J528" s="1">
        <f>IF(I528 + J527 &lt; 0, I528 + J527, 0)</f>
        <v>0</v>
      </c>
      <c r="K528" s="1">
        <v>-168500.7480230819</v>
      </c>
      <c r="L528" s="1">
        <f>IF(K528 + L527 &lt; 0, K528 + L527, 0)</f>
        <v>0</v>
      </c>
      <c r="M528" s="1">
        <v>0</v>
      </c>
      <c r="N528" s="1">
        <f>IF(M528 + N527 &lt; 0, M528 + N527, 0)</f>
        <v>0</v>
      </c>
      <c r="O528" s="1">
        <v>0</v>
      </c>
      <c r="P528" s="1">
        <f>IF(O528 + P527 &lt; 0, O528 + P527, 0)</f>
        <v>0</v>
      </c>
      <c r="Q528" s="1">
        <v>0</v>
      </c>
      <c r="R528" s="1">
        <f>IF(Q528 + R527 &lt; 0, Q528 + R527, 0)</f>
        <v>0</v>
      </c>
      <c r="S528" s="1">
        <v>0</v>
      </c>
      <c r="T528" s="1">
        <f>IF(S528 + T527 &lt; 0, S528 + T527, 0)</f>
        <v>0</v>
      </c>
    </row>
    <row r="529" spans="1:20" s="1" customFormat="1">
      <c r="A529" s="3">
        <v>45755</v>
      </c>
      <c r="B529" s="2" t="s">
        <v>13</v>
      </c>
      <c r="C529" s="2">
        <v>7</v>
      </c>
      <c r="D529" s="2">
        <v>11</v>
      </c>
      <c r="E529" s="1">
        <v>-304435.2131587781</v>
      </c>
      <c r="F529" s="1">
        <f>IF(E529 + F528 &lt; 0, E529 + F528, 0)</f>
        <v>0</v>
      </c>
      <c r="G529" s="1">
        <v>-55712.90701577711</v>
      </c>
      <c r="H529" s="1">
        <f>IF(G529 + H528 &lt; 0, G529 + H528, 0)</f>
        <v>0</v>
      </c>
      <c r="I529" s="1">
        <v>-55712.90701577711</v>
      </c>
      <c r="J529" s="1">
        <f>IF(I529 + J528 &lt; 0, I529 + J528, 0)</f>
        <v>0</v>
      </c>
      <c r="K529" s="1">
        <v>-55712.90701577711</v>
      </c>
      <c r="L529" s="1">
        <f>IF(K529 + L528 &lt; 0, K529 + L528, 0)</f>
        <v>0</v>
      </c>
      <c r="M529" s="1">
        <v>0</v>
      </c>
      <c r="N529" s="1">
        <f>IF(M529 + N528 &lt; 0, M529 + N528, 0)</f>
        <v>0</v>
      </c>
      <c r="O529" s="1">
        <v>0</v>
      </c>
      <c r="P529" s="1">
        <f>IF(O529 + P528 &lt; 0, O529 + P528, 0)</f>
        <v>0</v>
      </c>
      <c r="Q529" s="1">
        <v>0</v>
      </c>
      <c r="R529" s="1">
        <f>IF(Q529 + R528 &lt; 0, Q529 + R528, 0)</f>
        <v>0</v>
      </c>
      <c r="S529" s="1">
        <v>0</v>
      </c>
      <c r="T529" s="1">
        <f>IF(S529 + T528 &lt; 0, S529 + T528, 0)</f>
        <v>0</v>
      </c>
    </row>
    <row r="530" spans="1:20" s="1" customFormat="1">
      <c r="A530" s="3">
        <v>45756</v>
      </c>
      <c r="B530" s="2" t="s">
        <v>14</v>
      </c>
      <c r="C530" s="2">
        <v>6</v>
      </c>
      <c r="D530" s="2">
        <v>10</v>
      </c>
      <c r="E530" s="1">
        <v>352237.5960556123</v>
      </c>
      <c r="F530" s="1">
        <f>IF(E530 + F529 &lt; 0, E530 + F529, 0)</f>
        <v>0</v>
      </c>
      <c r="G530" s="1">
        <v>252408.6083596144</v>
      </c>
      <c r="H530" s="1">
        <f>IF(G530 + H529 &lt; 0, G530 + H529, 0)</f>
        <v>0</v>
      </c>
      <c r="I530" s="1">
        <v>252408.6083596144</v>
      </c>
      <c r="J530" s="1">
        <f>IF(I530 + J529 &lt; 0, I530 + J529, 0)</f>
        <v>0</v>
      </c>
      <c r="K530" s="1">
        <v>252408.6083596144</v>
      </c>
      <c r="L530" s="1">
        <f>IF(K530 + L529 &lt; 0, K530 + L529, 0)</f>
        <v>0</v>
      </c>
      <c r="M530" s="1">
        <v>0</v>
      </c>
      <c r="N530" s="1">
        <f>IF(M530 + N529 &lt; 0, M530 + N529, 0)</f>
        <v>0</v>
      </c>
      <c r="O530" s="1">
        <v>0</v>
      </c>
      <c r="P530" s="1">
        <f>IF(O530 + P529 &lt; 0, O530 + P529, 0)</f>
        <v>0</v>
      </c>
      <c r="Q530" s="1">
        <v>0</v>
      </c>
      <c r="R530" s="1">
        <f>IF(Q530 + R529 &lt; 0, Q530 + R529, 0)</f>
        <v>0</v>
      </c>
      <c r="S530" s="1">
        <v>0</v>
      </c>
      <c r="T530" s="1">
        <f>IF(S530 + T529 &lt; 0, S530 + T529, 0)</f>
        <v>0</v>
      </c>
    </row>
    <row r="531" spans="1:20" s="1" customFormat="1">
      <c r="A531" s="3">
        <v>45757</v>
      </c>
      <c r="B531" s="2" t="s">
        <v>16</v>
      </c>
      <c r="C531" s="2">
        <v>5</v>
      </c>
      <c r="D531" s="2">
        <v>9</v>
      </c>
      <c r="E531" s="1">
        <v>-201353.9016115352</v>
      </c>
      <c r="F531" s="1">
        <f>IF(E531 + F530 &lt; 0, E531 + F530, 0)</f>
        <v>0</v>
      </c>
      <c r="G531" s="1">
        <v>-319995.7591178964</v>
      </c>
      <c r="H531" s="1">
        <f>IF(G531 + H530 &lt; 0, G531 + H530, 0)</f>
        <v>0</v>
      </c>
      <c r="I531" s="1">
        <v>-319995.7591178964</v>
      </c>
      <c r="J531" s="1">
        <f>IF(I531 + J530 &lt; 0, I531 + J530, 0)</f>
        <v>0</v>
      </c>
      <c r="K531" s="1">
        <v>-319995.7591178964</v>
      </c>
      <c r="L531" s="1">
        <f>IF(K531 + L530 &lt; 0, K531 + L530, 0)</f>
        <v>0</v>
      </c>
      <c r="M531" s="1">
        <v>0</v>
      </c>
      <c r="N531" s="1">
        <f>IF(M531 + N530 &lt; 0, M531 + N530, 0)</f>
        <v>0</v>
      </c>
      <c r="O531" s="1">
        <v>0</v>
      </c>
      <c r="P531" s="1">
        <f>IF(O531 + P530 &lt; 0, O531 + P530, 0)</f>
        <v>0</v>
      </c>
      <c r="Q531" s="1">
        <v>0</v>
      </c>
      <c r="R531" s="1">
        <f>IF(Q531 + R530 &lt; 0, Q531 + R530, 0)</f>
        <v>0</v>
      </c>
      <c r="S531" s="1">
        <v>0</v>
      </c>
      <c r="T531" s="1">
        <f>IF(S531 + T530 &lt; 0, S531 + T530, 0)</f>
        <v>0</v>
      </c>
    </row>
    <row r="532" spans="1:20" s="1" customFormat="1">
      <c r="A532" s="3">
        <v>45758</v>
      </c>
      <c r="B532" s="2" t="s">
        <v>15</v>
      </c>
      <c r="C532" s="2">
        <v>4</v>
      </c>
      <c r="D532" s="2">
        <v>8</v>
      </c>
      <c r="E532" s="1">
        <v>246905.8767935389</v>
      </c>
      <c r="F532" s="1">
        <f>IF(E532 + F531 &lt; 0, E532 + F531, 0)</f>
        <v>0</v>
      </c>
      <c r="G532" s="1">
        <v>246905.8767935389</v>
      </c>
      <c r="H532" s="1">
        <f>IF(G532 + H531 &lt; 0, G532 + H531, 0)</f>
        <v>0</v>
      </c>
      <c r="I532" s="1">
        <v>246905.8767935389</v>
      </c>
      <c r="J532" s="1">
        <f>IF(I532 + J531 &lt; 0, I532 + J531, 0)</f>
        <v>0</v>
      </c>
      <c r="K532" s="1">
        <v>246905.8767935389</v>
      </c>
      <c r="L532" s="1">
        <f>IF(K532 + L531 &lt; 0, K532 + L531, 0)</f>
        <v>0</v>
      </c>
      <c r="M532" s="1">
        <v>0</v>
      </c>
      <c r="N532" s="1">
        <f>IF(M532 + N531 &lt; 0, M532 + N531, 0)</f>
        <v>0</v>
      </c>
      <c r="O532" s="1">
        <v>0</v>
      </c>
      <c r="P532" s="1">
        <f>IF(O532 + P531 &lt; 0, O532 + P531, 0)</f>
        <v>0</v>
      </c>
      <c r="Q532" s="1">
        <v>0</v>
      </c>
      <c r="R532" s="1">
        <f>IF(Q532 + R531 &lt; 0, Q532 + R531, 0)</f>
        <v>0</v>
      </c>
      <c r="S532" s="1">
        <v>0</v>
      </c>
      <c r="T532" s="1">
        <f>IF(S532 + T531 &lt; 0, S532 + T531, 0)</f>
        <v>0</v>
      </c>
    </row>
    <row r="533" spans="1:20" s="1" customFormat="1">
      <c r="A533" s="3">
        <v>45761</v>
      </c>
      <c r="B533" s="2" t="s">
        <v>12</v>
      </c>
      <c r="C533" s="2">
        <v>3</v>
      </c>
      <c r="D533" s="2">
        <v>7</v>
      </c>
      <c r="E533" s="1">
        <v>199403.9735099338</v>
      </c>
      <c r="F533" s="1">
        <f>IF(E533 + F532 &lt; 0, E533 + F532, 0)</f>
        <v>0</v>
      </c>
      <c r="G533" s="1">
        <v>-3203.642384106002</v>
      </c>
      <c r="H533" s="1">
        <f>IF(G533 + H532 &lt; 0, G533 + H532, 0)</f>
        <v>0</v>
      </c>
      <c r="I533" s="1">
        <v>166794.2880794703</v>
      </c>
      <c r="J533" s="1">
        <f>IF(I533 + J532 &lt; 0, I533 + J532, 0)</f>
        <v>0</v>
      </c>
      <c r="K533" s="1">
        <v>166794.2880794703</v>
      </c>
      <c r="L533" s="1">
        <f>IF(K533 + L532 &lt; 0, K533 + L532, 0)</f>
        <v>0</v>
      </c>
      <c r="M533" s="1">
        <v>0</v>
      </c>
      <c r="N533" s="1">
        <f>IF(M533 + N532 &lt; 0, M533 + N532, 0)</f>
        <v>0</v>
      </c>
      <c r="O533" s="1">
        <v>0</v>
      </c>
      <c r="P533" s="1">
        <f>IF(O533 + P532 &lt; 0, O533 + P532, 0)</f>
        <v>0</v>
      </c>
      <c r="Q533" s="1">
        <v>0</v>
      </c>
      <c r="R533" s="1">
        <f>IF(Q533 + R532 &lt; 0, Q533 + R532, 0)</f>
        <v>0</v>
      </c>
      <c r="S533" s="1">
        <v>0</v>
      </c>
      <c r="T533" s="1">
        <f>IF(S533 + T532 &lt; 0, S533 + T532, 0)</f>
        <v>0</v>
      </c>
    </row>
    <row r="534" spans="1:20" s="1" customFormat="1">
      <c r="A534" s="3">
        <v>45762</v>
      </c>
      <c r="B534" s="2" t="s">
        <v>13</v>
      </c>
      <c r="C534" s="2">
        <v>2</v>
      </c>
      <c r="D534" s="2">
        <v>6</v>
      </c>
      <c r="E534" s="1">
        <v>246905.9405940594</v>
      </c>
      <c r="F534" s="1">
        <f>IF(E534 + F533 &lt; 0, E534 + F533, 0)</f>
        <v>0</v>
      </c>
      <c r="G534" s="1">
        <v>246905.9405940594</v>
      </c>
      <c r="H534" s="1">
        <f>IF(G534 + H533 &lt; 0, G534 + H533, 0)</f>
        <v>0</v>
      </c>
      <c r="I534" s="1">
        <v>246905.9405940594</v>
      </c>
      <c r="J534" s="1">
        <f>IF(I534 + J533 &lt; 0, I534 + J533, 0)</f>
        <v>0</v>
      </c>
      <c r="K534" s="1">
        <v>246905.9405940594</v>
      </c>
      <c r="L534" s="1">
        <f>IF(K534 + L533 &lt; 0, K534 + L533, 0)</f>
        <v>0</v>
      </c>
      <c r="M534" s="1">
        <v>95247.90401850248</v>
      </c>
      <c r="N534" s="1">
        <f>IF(M534 + N533 &lt; 0, M534 + N533, 0)</f>
        <v>0</v>
      </c>
      <c r="O534" s="1">
        <v>95247.90401850248</v>
      </c>
      <c r="P534" s="1">
        <f>IF(O534 + P533 &lt; 0, O534 + P533, 0)</f>
        <v>0</v>
      </c>
      <c r="Q534" s="1">
        <v>95247.90401850248</v>
      </c>
      <c r="R534" s="1">
        <f>IF(Q534 + R533 &lt; 0, Q534 + R533, 0)</f>
        <v>0</v>
      </c>
      <c r="S534" s="1">
        <v>95247.90401850248</v>
      </c>
      <c r="T534" s="1">
        <f>IF(S534 + T533 &lt; 0, S534 + T533, 0)</f>
        <v>0</v>
      </c>
    </row>
    <row r="535" spans="1:20" s="1" customFormat="1">
      <c r="A535" s="3">
        <v>45763</v>
      </c>
      <c r="B535" s="2" t="s">
        <v>14</v>
      </c>
      <c r="C535" s="2">
        <v>1</v>
      </c>
      <c r="D535" s="2">
        <v>5</v>
      </c>
      <c r="E535" s="1">
        <v>126157.2995637627</v>
      </c>
      <c r="F535" s="1">
        <f>IF(E535 + F534 &lt; 0, E535 + F534, 0)</f>
        <v>0</v>
      </c>
      <c r="G535" s="1">
        <v>28956.84214984542</v>
      </c>
      <c r="H535" s="1">
        <f>IF(G535 + H534 &lt; 0, G535 + H534, 0)</f>
        <v>0</v>
      </c>
      <c r="I535" s="1">
        <v>257342.9757316505</v>
      </c>
      <c r="J535" s="1">
        <f>IF(I535 + J534 &lt; 0, I535 + J534, 0)</f>
        <v>0</v>
      </c>
      <c r="K535" s="1">
        <v>257342.9757316505</v>
      </c>
      <c r="L535" s="1">
        <f>IF(K535 + L534 &lt; 0, K535 + L534, 0)</f>
        <v>0</v>
      </c>
      <c r="M535" s="1">
        <v>84783.24977882628</v>
      </c>
      <c r="N535" s="1">
        <f>IF(M535 + N534 &lt; 0, M535 + N534, 0)</f>
        <v>0</v>
      </c>
      <c r="O535" s="1">
        <v>84783.24977882628</v>
      </c>
      <c r="P535" s="1">
        <f>IF(O535 + P534 &lt; 0, O535 + P534, 0)</f>
        <v>0</v>
      </c>
      <c r="Q535" s="1">
        <v>84783.24977882628</v>
      </c>
      <c r="R535" s="1">
        <f>IF(Q535 + R534 &lt; 0, Q535 + R534, 0)</f>
        <v>0</v>
      </c>
      <c r="S535" s="1">
        <v>84783.24977882628</v>
      </c>
      <c r="T535" s="1">
        <f>IF(S535 + T534 &lt; 0, S535 + T534, 0)</f>
        <v>0</v>
      </c>
    </row>
    <row r="536" spans="1:20" s="1" customFormat="1">
      <c r="A536" s="3">
        <v>45764</v>
      </c>
      <c r="B536" s="2" t="s">
        <v>16</v>
      </c>
      <c r="C536" s="2">
        <v>19</v>
      </c>
      <c r="D536" s="2">
        <v>4</v>
      </c>
      <c r="E536" s="1">
        <v>0</v>
      </c>
      <c r="F536" s="1">
        <f>IF(E536 + F535 &lt; 0, E536 + F535, 0)</f>
        <v>0</v>
      </c>
      <c r="G536" s="1">
        <v>0</v>
      </c>
      <c r="H536" s="1">
        <f>IF(G536 + H535 &lt; 0, G536 + H535, 0)</f>
        <v>0</v>
      </c>
      <c r="I536" s="1">
        <v>0</v>
      </c>
      <c r="J536" s="1">
        <f>IF(I536 + J535 &lt; 0, I536 + J535, 0)</f>
        <v>0</v>
      </c>
      <c r="K536" s="1">
        <v>0</v>
      </c>
      <c r="L536" s="1">
        <f>IF(K536 + L535 &lt; 0, K536 + L535, 0)</f>
        <v>0</v>
      </c>
      <c r="M536" s="1">
        <v>86013.85578069132</v>
      </c>
      <c r="N536" s="1">
        <f>IF(M536 + N535 &lt; 0, M536 + N535, 0)</f>
        <v>0</v>
      </c>
      <c r="O536" s="1">
        <v>86013.85578069132</v>
      </c>
      <c r="P536" s="1">
        <f>IF(O536 + P535 &lt; 0, O536 + P535, 0)</f>
        <v>0</v>
      </c>
      <c r="Q536" s="1">
        <v>86013.85578069132</v>
      </c>
      <c r="R536" s="1">
        <f>IF(Q536 + R535 &lt; 0, Q536 + R535, 0)</f>
        <v>0</v>
      </c>
      <c r="S536" s="1">
        <v>86013.85578069132</v>
      </c>
      <c r="T536" s="1">
        <f>IF(S536 + T535 &lt; 0, S536 + T535, 0)</f>
        <v>0</v>
      </c>
    </row>
    <row r="537" spans="1:20" s="1" customFormat="1">
      <c r="A537" s="3">
        <v>45768</v>
      </c>
      <c r="B537" s="2" t="s">
        <v>12</v>
      </c>
      <c r="C537" s="2">
        <v>18</v>
      </c>
      <c r="D537" s="2">
        <v>3</v>
      </c>
      <c r="E537" s="1">
        <v>0</v>
      </c>
      <c r="F537" s="1">
        <f>IF(E537 + F536 &lt; 0, E537 + F536, 0)</f>
        <v>0</v>
      </c>
      <c r="G537" s="1">
        <v>0</v>
      </c>
      <c r="H537" s="1">
        <f>IF(G537 + H536 &lt; 0, G537 + H536, 0)</f>
        <v>0</v>
      </c>
      <c r="I537" s="1">
        <v>0</v>
      </c>
      <c r="J537" s="1">
        <f>IF(I537 + J536 &lt; 0, I537 + J536, 0)</f>
        <v>0</v>
      </c>
      <c r="K537" s="1">
        <v>0</v>
      </c>
      <c r="L537" s="1">
        <f>IF(K537 + L536 &lt; 0, K537 + L536, 0)</f>
        <v>0</v>
      </c>
      <c r="M537" s="1">
        <v>62730.06134969327</v>
      </c>
      <c r="N537" s="1">
        <f>IF(M537 + N536 &lt; 0, M537 + N536, 0)</f>
        <v>0</v>
      </c>
      <c r="O537" s="1">
        <v>996.9325153374343</v>
      </c>
      <c r="P537" s="1">
        <f>IF(O537 + P536 &lt; 0, O537 + P536, 0)</f>
        <v>0</v>
      </c>
      <c r="Q537" s="1">
        <v>-48466.25766871166</v>
      </c>
      <c r="R537" s="1">
        <f>IF(Q537 + R536 &lt; 0, Q537 + R536, 0)</f>
        <v>0</v>
      </c>
      <c r="S537" s="1">
        <v>-48466.25766871166</v>
      </c>
      <c r="T537" s="1">
        <f>IF(S537 + T536 &lt; 0, S537 + T536, 0)</f>
        <v>0</v>
      </c>
    </row>
    <row r="538" spans="1:20" s="1" customFormat="1">
      <c r="A538" s="3">
        <v>45769</v>
      </c>
      <c r="B538" s="2" t="s">
        <v>13</v>
      </c>
      <c r="C538" s="2">
        <v>17</v>
      </c>
      <c r="D538" s="2">
        <v>2</v>
      </c>
      <c r="E538" s="1">
        <v>0</v>
      </c>
      <c r="F538" s="1">
        <f>IF(E538 + F537 &lt; 0, E538 + F537, 0)</f>
        <v>0</v>
      </c>
      <c r="G538" s="1">
        <v>0</v>
      </c>
      <c r="H538" s="1">
        <f>IF(G538 + H537 &lt; 0, G538 + H537, 0)</f>
        <v>0</v>
      </c>
      <c r="I538" s="1">
        <v>0</v>
      </c>
      <c r="J538" s="1">
        <f>IF(I538 + J537 &lt; 0, I538 + J537, 0)</f>
        <v>0</v>
      </c>
      <c r="K538" s="1">
        <v>0</v>
      </c>
      <c r="L538" s="1">
        <f>IF(K538 + L537 &lt; 0, K538 + L537, 0)</f>
        <v>0</v>
      </c>
      <c r="M538" s="1">
        <v>59150.06426735219</v>
      </c>
      <c r="N538" s="1">
        <f>IF(M538 + N537 &lt; 0, M538 + N537, 0)</f>
        <v>0</v>
      </c>
      <c r="O538" s="1">
        <v>101763.3354755784</v>
      </c>
      <c r="P538" s="1">
        <f>IF(O538 + P537 &lt; 0, O538 + P537, 0)</f>
        <v>0</v>
      </c>
      <c r="Q538" s="1">
        <v>101763.3354755784</v>
      </c>
      <c r="R538" s="1">
        <f>IF(Q538 + R537 &lt; 0, Q538 + R537, 0)</f>
        <v>0</v>
      </c>
      <c r="S538" s="1">
        <v>101763.3354755784</v>
      </c>
      <c r="T538" s="1">
        <f>IF(S538 + T537 &lt; 0, S538 + T537, 0)</f>
        <v>0</v>
      </c>
    </row>
    <row r="539" spans="1:20" s="1" customFormat="1">
      <c r="A539" s="3">
        <v>45770</v>
      </c>
      <c r="B539" s="2" t="s">
        <v>14</v>
      </c>
      <c r="C539" s="2">
        <v>16</v>
      </c>
      <c r="D539" s="2">
        <v>1</v>
      </c>
      <c r="E539" s="1">
        <v>0</v>
      </c>
      <c r="F539" s="1">
        <f>IF(E539 + F538 &lt; 0, E539 + F538, 0)</f>
        <v>0</v>
      </c>
      <c r="G539" s="1">
        <v>0</v>
      </c>
      <c r="H539" s="1">
        <f>IF(G539 + H538 &lt; 0, G539 + H538, 0)</f>
        <v>0</v>
      </c>
      <c r="I539" s="1">
        <v>0</v>
      </c>
      <c r="J539" s="1">
        <f>IF(I539 + J538 &lt; 0, I539 + J538, 0)</f>
        <v>0</v>
      </c>
      <c r="K539" s="1">
        <v>0</v>
      </c>
      <c r="L539" s="1">
        <f>IF(K539 + L538 &lt; 0, K539 + L538, 0)</f>
        <v>0</v>
      </c>
      <c r="M539" s="1">
        <v>54502.42718446601</v>
      </c>
      <c r="N539" s="1">
        <f>IF(M539 + N538 &lt; 0, M539 + N538, 0)</f>
        <v>0</v>
      </c>
      <c r="O539" s="1">
        <v>96557.44336569578</v>
      </c>
      <c r="P539" s="1">
        <f>IF(O539 + P538 &lt; 0, O539 + P538, 0)</f>
        <v>0</v>
      </c>
      <c r="Q539" s="1">
        <v>88903.72168284788</v>
      </c>
      <c r="R539" s="1">
        <f>IF(Q539 + R538 &lt; 0, Q539 + R538, 0)</f>
        <v>0</v>
      </c>
      <c r="S539" s="1">
        <v>91759.70873786409</v>
      </c>
      <c r="T539" s="1">
        <f>IF(S539 + T538 &lt; 0, S539 + T538, 0)</f>
        <v>0</v>
      </c>
    </row>
    <row r="540" spans="1:20" s="1" customFormat="1">
      <c r="A540" s="3">
        <v>45771</v>
      </c>
      <c r="B540" s="2" t="s">
        <v>16</v>
      </c>
      <c r="C540" s="2">
        <v>15</v>
      </c>
      <c r="D540" s="2">
        <v>21</v>
      </c>
      <c r="E540" s="1">
        <v>0</v>
      </c>
      <c r="F540" s="1">
        <f>IF(E540 + F539 &lt; 0, E540 + F539, 0)</f>
        <v>0</v>
      </c>
      <c r="G540" s="1">
        <v>0</v>
      </c>
      <c r="H540" s="1">
        <f>IF(G540 + H539 &lt; 0, G540 + H539, 0)</f>
        <v>0</v>
      </c>
      <c r="I540" s="1">
        <v>0</v>
      </c>
      <c r="J540" s="1">
        <f>IF(I540 + J539 &lt; 0, I540 + J539, 0)</f>
        <v>0</v>
      </c>
      <c r="K540" s="1">
        <v>0</v>
      </c>
      <c r="L540" s="1">
        <f>IF(K540 + L539 &lt; 0, K540 + L539, 0)</f>
        <v>0</v>
      </c>
      <c r="M540" s="1">
        <v>0</v>
      </c>
      <c r="N540" s="1">
        <f>IF(M540 + N539 &lt; 0, M540 + N539, 0)</f>
        <v>0</v>
      </c>
      <c r="O540" s="1">
        <v>0</v>
      </c>
      <c r="P540" s="1">
        <f>IF(O540 + P539 &lt; 0, O540 + P539, 0)</f>
        <v>0</v>
      </c>
      <c r="Q540" s="1">
        <v>0</v>
      </c>
      <c r="R540" s="1">
        <f>IF(Q540 + R539 &lt; 0, Q540 + R539, 0)</f>
        <v>0</v>
      </c>
      <c r="S540" s="1">
        <v>0</v>
      </c>
      <c r="T540" s="1">
        <f>IF(S540 + T539 &lt; 0, S540 + T539, 0)</f>
        <v>0</v>
      </c>
    </row>
    <row r="541" spans="1:20" s="1" customFormat="1">
      <c r="A541" s="3">
        <v>45772</v>
      </c>
      <c r="B541" s="2" t="s">
        <v>15</v>
      </c>
      <c r="C541" s="2">
        <v>14</v>
      </c>
      <c r="D541" s="2">
        <v>20</v>
      </c>
      <c r="E541" s="1">
        <v>0</v>
      </c>
      <c r="F541" s="1">
        <f>IF(E541 + F540 &lt; 0, E541 + F540, 0)</f>
        <v>0</v>
      </c>
      <c r="G541" s="1">
        <v>0</v>
      </c>
      <c r="H541" s="1">
        <f>IF(G541 + H540 &lt; 0, G541 + H540, 0)</f>
        <v>0</v>
      </c>
      <c r="I541" s="1">
        <v>0</v>
      </c>
      <c r="J541" s="1">
        <f>IF(I541 + J540 &lt; 0, I541 + J540, 0)</f>
        <v>0</v>
      </c>
      <c r="K541" s="1">
        <v>0</v>
      </c>
      <c r="L541" s="1">
        <f>IF(K541 + L540 &lt; 0, K541 + L540, 0)</f>
        <v>0</v>
      </c>
      <c r="M541" s="1">
        <v>0</v>
      </c>
      <c r="N541" s="1">
        <f>IF(M541 + N540 &lt; 0, M541 + N540, 0)</f>
        <v>0</v>
      </c>
      <c r="O541" s="1">
        <v>0</v>
      </c>
      <c r="P541" s="1">
        <f>IF(O541 + P540 &lt; 0, O541 + P540, 0)</f>
        <v>0</v>
      </c>
      <c r="Q541" s="1">
        <v>0</v>
      </c>
      <c r="R541" s="1">
        <f>IF(Q541 + R540 &lt; 0, Q541 + R540, 0)</f>
        <v>0</v>
      </c>
      <c r="S541" s="1">
        <v>0</v>
      </c>
      <c r="T541" s="1">
        <f>IF(S541 + T540 &lt; 0, S541 + T540, 0)</f>
        <v>0</v>
      </c>
    </row>
    <row r="542" spans="1:20" s="1" customFormat="1">
      <c r="A542" s="3">
        <v>45775</v>
      </c>
      <c r="B542" s="2" t="s">
        <v>12</v>
      </c>
      <c r="C542" s="2">
        <v>13</v>
      </c>
      <c r="D542" s="2">
        <v>19</v>
      </c>
      <c r="E542" s="1">
        <v>0</v>
      </c>
      <c r="F542" s="1">
        <f>IF(E542 + F541 &lt; 0, E542 + F541, 0)</f>
        <v>0</v>
      </c>
      <c r="G542" s="1">
        <v>0</v>
      </c>
      <c r="H542" s="1">
        <f>IF(G542 + H541 &lt; 0, G542 + H541, 0)</f>
        <v>0</v>
      </c>
      <c r="I542" s="1">
        <v>0</v>
      </c>
      <c r="J542" s="1">
        <f>IF(I542 + J541 &lt; 0, I542 + J541, 0)</f>
        <v>0</v>
      </c>
      <c r="K542" s="1">
        <v>0</v>
      </c>
      <c r="L542" s="1">
        <f>IF(K542 + L541 &lt; 0, K542 + L541, 0)</f>
        <v>0</v>
      </c>
      <c r="M542" s="1">
        <v>0</v>
      </c>
      <c r="N542" s="1">
        <f>IF(M542 + N541 &lt; 0, M542 + N541, 0)</f>
        <v>0</v>
      </c>
      <c r="O542" s="1">
        <v>0</v>
      </c>
      <c r="P542" s="1">
        <f>IF(O542 + P541 &lt; 0, O542 + P541, 0)</f>
        <v>0</v>
      </c>
      <c r="Q542" s="1">
        <v>0</v>
      </c>
      <c r="R542" s="1">
        <f>IF(Q542 + R541 &lt; 0, Q542 + R541, 0)</f>
        <v>0</v>
      </c>
      <c r="S542" s="1">
        <v>0</v>
      </c>
      <c r="T542" s="1">
        <f>IF(S542 + T541 &lt; 0, S542 + T541, 0)</f>
        <v>0</v>
      </c>
    </row>
    <row r="543" spans="1:20" s="1" customFormat="1">
      <c r="A543" s="3">
        <v>45777</v>
      </c>
      <c r="B543" s="2" t="s">
        <v>14</v>
      </c>
      <c r="C543" s="2">
        <v>12</v>
      </c>
      <c r="D543" s="2">
        <v>18</v>
      </c>
      <c r="E543" s="1">
        <v>0</v>
      </c>
      <c r="F543" s="1">
        <f>IF(E543 + F542 &lt; 0, E543 + F542, 0)</f>
        <v>0</v>
      </c>
      <c r="G543" s="1">
        <v>0</v>
      </c>
      <c r="H543" s="1">
        <f>IF(G543 + H542 &lt; 0, G543 + H542, 0)</f>
        <v>0</v>
      </c>
      <c r="I543" s="1">
        <v>0</v>
      </c>
      <c r="J543" s="1">
        <f>IF(I543 + J542 &lt; 0, I543 + J542, 0)</f>
        <v>0</v>
      </c>
      <c r="K543" s="1">
        <v>0</v>
      </c>
      <c r="L543" s="1">
        <f>IF(K543 + L542 &lt; 0, K543 + L542, 0)</f>
        <v>0</v>
      </c>
      <c r="M543" s="1">
        <v>0</v>
      </c>
      <c r="N543" s="1">
        <f>IF(M543 + N542 &lt; 0, M543 + N542, 0)</f>
        <v>0</v>
      </c>
      <c r="O543" s="1">
        <v>0</v>
      </c>
      <c r="P543" s="1">
        <f>IF(O543 + P542 &lt; 0, O543 + P542, 0)</f>
        <v>0</v>
      </c>
      <c r="Q543" s="1">
        <v>0</v>
      </c>
      <c r="R543" s="1">
        <f>IF(Q543 + R542 &lt; 0, Q543 + R542, 0)</f>
        <v>0</v>
      </c>
      <c r="S543" s="1">
        <v>0</v>
      </c>
      <c r="T543" s="1">
        <f>IF(S543 + T542 &lt; 0, S543 + T542, 0)</f>
        <v>0</v>
      </c>
    </row>
    <row r="544" spans="1:20" s="1" customFormat="1">
      <c r="A544" s="3">
        <v>45778</v>
      </c>
      <c r="B544" s="2" t="s">
        <v>16</v>
      </c>
      <c r="C544" s="2">
        <v>11</v>
      </c>
      <c r="D544" s="2">
        <v>17</v>
      </c>
      <c r="E544" s="1">
        <v>0</v>
      </c>
      <c r="F544" s="1">
        <f>IF(E544 + F543 &lt; 0, E544 + F543, 0)</f>
        <v>0</v>
      </c>
      <c r="G544" s="1">
        <v>0</v>
      </c>
      <c r="H544" s="1">
        <f>IF(G544 + H543 &lt; 0, G544 + H543, 0)</f>
        <v>0</v>
      </c>
      <c r="I544" s="1">
        <v>0</v>
      </c>
      <c r="J544" s="1">
        <f>IF(I544 + J543 &lt; 0, I544 + J543, 0)</f>
        <v>0</v>
      </c>
      <c r="K544" s="1">
        <v>0</v>
      </c>
      <c r="L544" s="1">
        <f>IF(K544 + L543 &lt; 0, K544 + L543, 0)</f>
        <v>0</v>
      </c>
      <c r="M544" s="1">
        <v>0</v>
      </c>
      <c r="N544" s="1">
        <f>IF(M544 + N543 &lt; 0, M544 + N543, 0)</f>
        <v>0</v>
      </c>
      <c r="O544" s="1">
        <v>0</v>
      </c>
      <c r="P544" s="1">
        <f>IF(O544 + P543 &lt; 0, O544 + P543, 0)</f>
        <v>0</v>
      </c>
      <c r="Q544" s="1">
        <v>0</v>
      </c>
      <c r="R544" s="1">
        <f>IF(Q544 + R543 &lt; 0, Q544 + R543, 0)</f>
        <v>0</v>
      </c>
      <c r="S544" s="1">
        <v>0</v>
      </c>
      <c r="T544" s="1">
        <f>IF(S544 + T543 &lt; 0, S544 + T543, 0)</f>
        <v>0</v>
      </c>
    </row>
    <row r="545" spans="1:20" s="1" customFormat="1">
      <c r="A545" s="3">
        <v>45779</v>
      </c>
      <c r="B545" s="2" t="s">
        <v>15</v>
      </c>
      <c r="C545" s="2">
        <v>10</v>
      </c>
      <c r="D545" s="2">
        <v>16</v>
      </c>
      <c r="E545" s="1">
        <v>-23576.37510475938</v>
      </c>
      <c r="F545" s="1">
        <f>IF(E545 + F544 &lt; 0, E545 + F544, 0)</f>
        <v>0</v>
      </c>
      <c r="G545" s="1">
        <v>-23576.37510475938</v>
      </c>
      <c r="H545" s="1">
        <f>IF(G545 + H544 &lt; 0, G545 + H544, 0)</f>
        <v>0</v>
      </c>
      <c r="I545" s="1">
        <v>-23576.37510475938</v>
      </c>
      <c r="J545" s="1">
        <f>IF(I545 + J544 &lt; 0, I545 + J544, 0)</f>
        <v>0</v>
      </c>
      <c r="K545" s="1">
        <v>-23576.37510475938</v>
      </c>
      <c r="L545" s="1">
        <f>IF(K545 + L544 &lt; 0, K545 + L544, 0)</f>
        <v>0</v>
      </c>
      <c r="M545" s="1">
        <v>0</v>
      </c>
      <c r="N545" s="1">
        <f>IF(M545 + N544 &lt; 0, M545 + N544, 0)</f>
        <v>0</v>
      </c>
      <c r="O545" s="1">
        <v>0</v>
      </c>
      <c r="P545" s="1">
        <f>IF(O545 + P544 &lt; 0, O545 + P544, 0)</f>
        <v>0</v>
      </c>
      <c r="Q545" s="1">
        <v>0</v>
      </c>
      <c r="R545" s="1">
        <f>IF(Q545 + R544 &lt; 0, Q545 + R544, 0)</f>
        <v>0</v>
      </c>
      <c r="S545" s="1">
        <v>0</v>
      </c>
      <c r="T545" s="1">
        <f>IF(S545 + T544 &lt; 0, S545 + T544, 0)</f>
        <v>0</v>
      </c>
    </row>
    <row r="546" spans="1:20" s="1" customFormat="1">
      <c r="A546" s="3">
        <v>45782</v>
      </c>
      <c r="B546" s="2" t="s">
        <v>12</v>
      </c>
      <c r="C546" s="2">
        <v>9</v>
      </c>
      <c r="D546" s="2">
        <v>15</v>
      </c>
      <c r="E546" s="1">
        <v>248162.5913434513</v>
      </c>
      <c r="F546" s="1">
        <f>IF(E546 + F545 &lt; 0, E546 + F545, 0)</f>
        <v>0</v>
      </c>
      <c r="G546" s="1">
        <v>248162.5913434513</v>
      </c>
      <c r="H546" s="1">
        <f>IF(G546 + H545 &lt; 0, G546 + H545, 0)</f>
        <v>0</v>
      </c>
      <c r="I546" s="1">
        <v>248162.5913434513</v>
      </c>
      <c r="J546" s="1">
        <f>IF(I546 + J545 &lt; 0, I546 + J545, 0)</f>
        <v>0</v>
      </c>
      <c r="K546" s="1">
        <v>248162.5913434513</v>
      </c>
      <c r="L546" s="1">
        <f>IF(K546 + L545 &lt; 0, K546 + L545, 0)</f>
        <v>0</v>
      </c>
      <c r="M546" s="1">
        <v>0</v>
      </c>
      <c r="N546" s="1">
        <f>IF(M546 + N545 &lt; 0, M546 + N545, 0)</f>
        <v>0</v>
      </c>
      <c r="O546" s="1">
        <v>0</v>
      </c>
      <c r="P546" s="1">
        <f>IF(O546 + P545 &lt; 0, O546 + P545, 0)</f>
        <v>0</v>
      </c>
      <c r="Q546" s="1">
        <v>0</v>
      </c>
      <c r="R546" s="1">
        <f>IF(Q546 + R545 &lt; 0, Q546 + R545, 0)</f>
        <v>0</v>
      </c>
      <c r="S546" s="1">
        <v>0</v>
      </c>
      <c r="T546" s="1">
        <f>IF(S546 + T545 &lt; 0, S546 + T545, 0)</f>
        <v>0</v>
      </c>
    </row>
    <row r="547" spans="1:20" s="1" customFormat="1">
      <c r="A547" s="3">
        <v>45783</v>
      </c>
      <c r="B547" s="2" t="s">
        <v>13</v>
      </c>
      <c r="C547" s="2">
        <v>8</v>
      </c>
      <c r="D547" s="2">
        <v>14</v>
      </c>
      <c r="E547" s="1">
        <v>-101821.3120695904</v>
      </c>
      <c r="F547" s="1">
        <f>IF(E547 + F546 &lt; 0, E547 + F546, 0)</f>
        <v>0</v>
      </c>
      <c r="G547" s="1">
        <v>-19017.30699528813</v>
      </c>
      <c r="H547" s="1">
        <f>IF(G547 + H546 &lt; 0, G547 + H546, 0)</f>
        <v>0</v>
      </c>
      <c r="I547" s="1">
        <v>-19017.30699528813</v>
      </c>
      <c r="J547" s="1">
        <f>IF(I547 + J546 &lt; 0, I547 + J546, 0)</f>
        <v>0</v>
      </c>
      <c r="K547" s="1">
        <v>-19017.30699528813</v>
      </c>
      <c r="L547" s="1">
        <f>IF(K547 + L546 &lt; 0, K547 + L546, 0)</f>
        <v>0</v>
      </c>
      <c r="M547" s="1">
        <v>0</v>
      </c>
      <c r="N547" s="1">
        <f>IF(M547 + N546 &lt; 0, M547 + N546, 0)</f>
        <v>0</v>
      </c>
      <c r="O547" s="1">
        <v>0</v>
      </c>
      <c r="P547" s="1">
        <f>IF(O547 + P546 &lt; 0, O547 + P546, 0)</f>
        <v>0</v>
      </c>
      <c r="Q547" s="1">
        <v>0</v>
      </c>
      <c r="R547" s="1">
        <f>IF(Q547 + R546 &lt; 0, Q547 + R546, 0)</f>
        <v>0</v>
      </c>
      <c r="S547" s="1">
        <v>0</v>
      </c>
      <c r="T547" s="1">
        <f>IF(S547 + T546 &lt; 0, S547 + T546, 0)</f>
        <v>0</v>
      </c>
    </row>
    <row r="548" spans="1:20" s="1" customFormat="1">
      <c r="A548" s="3">
        <v>45784</v>
      </c>
      <c r="B548" s="2" t="s">
        <v>14</v>
      </c>
      <c r="C548" s="2">
        <v>7</v>
      </c>
      <c r="D548" s="2">
        <v>13</v>
      </c>
      <c r="E548" s="1">
        <v>6378.415240441705</v>
      </c>
      <c r="F548" s="1">
        <f>IF(E548 + F547 &lt; 0, E548 + F547, 0)</f>
        <v>0</v>
      </c>
      <c r="G548" s="1">
        <v>-34317.39187821726</v>
      </c>
      <c r="H548" s="1">
        <f>IF(G548 + H547 &lt; 0, G548 + H547, 0)</f>
        <v>0</v>
      </c>
      <c r="I548" s="1">
        <v>-34317.39187821726</v>
      </c>
      <c r="J548" s="1">
        <f>IF(I548 + J547 &lt; 0, I548 + J547, 0)</f>
        <v>0</v>
      </c>
      <c r="K548" s="1">
        <v>-34317.39187821726</v>
      </c>
      <c r="L548" s="1">
        <f>IF(K548 + L547 &lt; 0, K548 + L547, 0)</f>
        <v>0</v>
      </c>
      <c r="M548" s="1">
        <v>0</v>
      </c>
      <c r="N548" s="1">
        <f>IF(M548 + N547 &lt; 0, M548 + N547, 0)</f>
        <v>0</v>
      </c>
      <c r="O548" s="1">
        <v>0</v>
      </c>
      <c r="P548" s="1">
        <f>IF(O548 + P547 &lt; 0, O548 + P547, 0)</f>
        <v>0</v>
      </c>
      <c r="Q548" s="1">
        <v>0</v>
      </c>
      <c r="R548" s="1">
        <f>IF(Q548 + R547 &lt; 0, Q548 + R547, 0)</f>
        <v>0</v>
      </c>
      <c r="S548" s="1">
        <v>0</v>
      </c>
      <c r="T548" s="1">
        <f>IF(S548 + T547 &lt; 0, S548 + T547, 0)</f>
        <v>0</v>
      </c>
    </row>
    <row r="549" spans="1:20" s="1" customFormat="1">
      <c r="A549" s="3">
        <v>45785</v>
      </c>
      <c r="B549" s="2" t="s">
        <v>16</v>
      </c>
      <c r="C549" s="2">
        <v>6</v>
      </c>
      <c r="D549" s="2">
        <v>12</v>
      </c>
      <c r="E549" s="1">
        <v>-64585.56986938628</v>
      </c>
      <c r="F549" s="1">
        <f>IF(E549 + F548 &lt; 0, E549 + F548, 0)</f>
        <v>0</v>
      </c>
      <c r="G549" s="1">
        <v>-91530.23796743606</v>
      </c>
      <c r="H549" s="1">
        <f>IF(G549 + H548 &lt; 0, G549 + H548, 0)</f>
        <v>0</v>
      </c>
      <c r="I549" s="1">
        <v>-91530.23796743606</v>
      </c>
      <c r="J549" s="1">
        <f>IF(I549 + J548 &lt; 0, I549 + J548, 0)</f>
        <v>0</v>
      </c>
      <c r="K549" s="1">
        <v>-91530.23796743606</v>
      </c>
      <c r="L549" s="1">
        <f>IF(K549 + L548 &lt; 0, K549 + L548, 0)</f>
        <v>0</v>
      </c>
      <c r="M549" s="1">
        <v>0</v>
      </c>
      <c r="N549" s="1">
        <f>IF(M549 + N548 &lt; 0, M549 + N548, 0)</f>
        <v>0</v>
      </c>
      <c r="O549" s="1">
        <v>0</v>
      </c>
      <c r="P549" s="1">
        <f>IF(O549 + P548 &lt; 0, O549 + P548, 0)</f>
        <v>0</v>
      </c>
      <c r="Q549" s="1">
        <v>0</v>
      </c>
      <c r="R549" s="1">
        <f>IF(Q549 + R548 &lt; 0, Q549 + R548, 0)</f>
        <v>0</v>
      </c>
      <c r="S549" s="1">
        <v>0</v>
      </c>
      <c r="T549" s="1">
        <f>IF(S549 + T548 &lt; 0, S549 + T548, 0)</f>
        <v>0</v>
      </c>
    </row>
    <row r="550" spans="1:20" s="1" customFormat="1">
      <c r="A550" s="3">
        <v>45786</v>
      </c>
      <c r="B550" s="2" t="s">
        <v>15</v>
      </c>
      <c r="C550" s="2">
        <v>5</v>
      </c>
      <c r="D550" s="2">
        <v>11</v>
      </c>
      <c r="E550" s="1">
        <v>187360.0585601102</v>
      </c>
      <c r="F550" s="1">
        <f>IF(E550 + F549 &lt; 0, E550 + F549, 0)</f>
        <v>0</v>
      </c>
      <c r="G550" s="1">
        <v>187360.0585601102</v>
      </c>
      <c r="H550" s="1">
        <f>IF(G550 + H549 &lt; 0, G550 + H549, 0)</f>
        <v>0</v>
      </c>
      <c r="I550" s="1">
        <v>187360.0585601102</v>
      </c>
      <c r="J550" s="1">
        <f>IF(I550 + J549 &lt; 0, I550 + J549, 0)</f>
        <v>0</v>
      </c>
      <c r="K550" s="1">
        <v>187360.0585601102</v>
      </c>
      <c r="L550" s="1">
        <f>IF(K550 + L549 &lt; 0, K550 + L549, 0)</f>
        <v>0</v>
      </c>
      <c r="M550" s="1">
        <v>0</v>
      </c>
      <c r="N550" s="1">
        <f>IF(M550 + N549 &lt; 0, M550 + N549, 0)</f>
        <v>0</v>
      </c>
      <c r="O550" s="1">
        <v>0</v>
      </c>
      <c r="P550" s="1">
        <f>IF(O550 + P549 &lt; 0, O550 + P549, 0)</f>
        <v>0</v>
      </c>
      <c r="Q550" s="1">
        <v>0</v>
      </c>
      <c r="R550" s="1">
        <f>IF(Q550 + R549 &lt; 0, Q550 + R549, 0)</f>
        <v>0</v>
      </c>
      <c r="S550" s="1">
        <v>0</v>
      </c>
      <c r="T550" s="1">
        <f>IF(S550 + T549 &lt; 0, S550 + T549, 0)</f>
        <v>0</v>
      </c>
    </row>
    <row r="551" spans="1:20" s="1" customFormat="1">
      <c r="A551" s="3">
        <v>45789</v>
      </c>
      <c r="B551" s="2" t="s">
        <v>12</v>
      </c>
      <c r="C551" s="2">
        <v>4</v>
      </c>
      <c r="D551" s="2">
        <v>10</v>
      </c>
      <c r="E551" s="1">
        <v>70862.86397404152</v>
      </c>
      <c r="F551" s="1">
        <f>IF(E551 + F550 &lt; 0, E551 + F550, 0)</f>
        <v>0</v>
      </c>
      <c r="G551" s="1">
        <v>30078.55862010076</v>
      </c>
      <c r="H551" s="1">
        <f>IF(G551 + H550 &lt; 0, G551 + H550, 0)</f>
        <v>0</v>
      </c>
      <c r="I551" s="1">
        <v>30078.55862010076</v>
      </c>
      <c r="J551" s="1">
        <f>IF(I551 + J550 &lt; 0, I551 + J550, 0)</f>
        <v>0</v>
      </c>
      <c r="K551" s="1">
        <v>30078.55862010076</v>
      </c>
      <c r="L551" s="1">
        <f>IF(K551 + L550 &lt; 0, K551 + L550, 0)</f>
        <v>0</v>
      </c>
      <c r="M551" s="1">
        <v>0</v>
      </c>
      <c r="N551" s="1">
        <f>IF(M551 + N550 &lt; 0, M551 + N550, 0)</f>
        <v>0</v>
      </c>
      <c r="O551" s="1">
        <v>0</v>
      </c>
      <c r="P551" s="1">
        <f>IF(O551 + P550 &lt; 0, O551 + P550, 0)</f>
        <v>0</v>
      </c>
      <c r="Q551" s="1">
        <v>0</v>
      </c>
      <c r="R551" s="1">
        <f>IF(Q551 + R550 &lt; 0, Q551 + R550, 0)</f>
        <v>0</v>
      </c>
      <c r="S551" s="1">
        <v>0</v>
      </c>
      <c r="T551" s="1">
        <f>IF(S551 + T550 &lt; 0, S551 + T550, 0)</f>
        <v>0</v>
      </c>
    </row>
    <row r="552" spans="1:20" s="1" customFormat="1">
      <c r="A552" s="3">
        <v>45790</v>
      </c>
      <c r="B552" s="2" t="s">
        <v>13</v>
      </c>
      <c r="C552" s="2">
        <v>3</v>
      </c>
      <c r="D552" s="2">
        <v>9</v>
      </c>
      <c r="E552" s="1">
        <v>122446.9032176014</v>
      </c>
      <c r="F552" s="1">
        <f>IF(E552 + F551 &lt; 0, E552 + F551, 0)</f>
        <v>0</v>
      </c>
      <c r="G552" s="1">
        <v>-22753.190046208</v>
      </c>
      <c r="H552" s="1">
        <f>IF(G552 + H551 &lt; 0, G552 + H551, 0)</f>
        <v>0</v>
      </c>
      <c r="I552" s="1">
        <v>16988.85073551231</v>
      </c>
      <c r="J552" s="1">
        <f>IF(I552 + J551 &lt; 0, I552 + J551, 0)</f>
        <v>0</v>
      </c>
      <c r="K552" s="1">
        <v>16988.85073551231</v>
      </c>
      <c r="L552" s="1">
        <f>IF(K552 + L551 &lt; 0, K552 + L551, 0)</f>
        <v>0</v>
      </c>
      <c r="M552" s="1">
        <v>0</v>
      </c>
      <c r="N552" s="1">
        <f>IF(M552 + N551 &lt; 0, M552 + N551, 0)</f>
        <v>0</v>
      </c>
      <c r="O552" s="1">
        <v>0</v>
      </c>
      <c r="P552" s="1">
        <f>IF(O552 + P551 &lt; 0, O552 + P551, 0)</f>
        <v>0</v>
      </c>
      <c r="Q552" s="1">
        <v>0</v>
      </c>
      <c r="R552" s="1">
        <f>IF(Q552 + R551 &lt; 0, Q552 + R551, 0)</f>
        <v>0</v>
      </c>
      <c r="S552" s="1">
        <v>0</v>
      </c>
      <c r="T552" s="1">
        <f>IF(S552 + T551 &lt; 0, S552 + T551, 0)</f>
        <v>0</v>
      </c>
    </row>
    <row r="553" spans="1:20" s="1" customFormat="1">
      <c r="A553" s="3">
        <v>45791</v>
      </c>
      <c r="B553" s="2" t="s">
        <v>14</v>
      </c>
      <c r="C553" s="2">
        <v>2</v>
      </c>
      <c r="D553" s="2">
        <v>8</v>
      </c>
      <c r="E553" s="1">
        <v>57595.34116676974</v>
      </c>
      <c r="F553" s="1">
        <f>IF(E553 + F552 &lt; 0, E553 + F552, 0)</f>
        <v>0</v>
      </c>
      <c r="G553" s="1">
        <v>130766.8521954236</v>
      </c>
      <c r="H553" s="1">
        <f>IF(G553 + H552 &lt; 0, G553 + H552, 0)</f>
        <v>0</v>
      </c>
      <c r="I553" s="1">
        <v>130766.8521954236</v>
      </c>
      <c r="J553" s="1">
        <f>IF(I553 + J552 &lt; 0, I553 + J552, 0)</f>
        <v>0</v>
      </c>
      <c r="K553" s="1">
        <v>130766.8521954236</v>
      </c>
      <c r="L553" s="1">
        <f>IF(K553 + L552 &lt; 0, K553 + L552, 0)</f>
        <v>0</v>
      </c>
      <c r="M553" s="1">
        <v>0</v>
      </c>
      <c r="N553" s="1">
        <f>IF(M553 + N552 &lt; 0, M553 + N552, 0)</f>
        <v>0</v>
      </c>
      <c r="O553" s="1">
        <v>0</v>
      </c>
      <c r="P553" s="1">
        <f>IF(O553 + P552 &lt; 0, O553 + P552, 0)</f>
        <v>0</v>
      </c>
      <c r="Q553" s="1">
        <v>0</v>
      </c>
      <c r="R553" s="1">
        <f>IF(Q553 + R552 &lt; 0, Q553 + R552, 0)</f>
        <v>0</v>
      </c>
      <c r="S553" s="1">
        <v>0</v>
      </c>
      <c r="T553" s="1">
        <f>IF(S553 + T552 &lt; 0, S553 + T552, 0)</f>
        <v>0</v>
      </c>
    </row>
    <row r="554" spans="1:20" s="1" customFormat="1">
      <c r="A554" s="3">
        <v>45792</v>
      </c>
      <c r="B554" s="2" t="s">
        <v>16</v>
      </c>
      <c r="C554" s="2">
        <v>1</v>
      </c>
      <c r="D554" s="2">
        <v>7</v>
      </c>
      <c r="E554" s="1">
        <v>135811.0943269553</v>
      </c>
      <c r="F554" s="1">
        <f>IF(E554 + F553 &lt; 0, E554 + F553, 0)</f>
        <v>0</v>
      </c>
      <c r="G554" s="1">
        <v>28707.20040281974</v>
      </c>
      <c r="H554" s="1">
        <f>IF(G554 + H553 &lt; 0, G554 + H553, 0)</f>
        <v>0</v>
      </c>
      <c r="I554" s="1">
        <v>164138.5532057738</v>
      </c>
      <c r="J554" s="1">
        <f>IF(I554 + J553 &lt; 0, I554 + J553, 0)</f>
        <v>0</v>
      </c>
      <c r="K554" s="1">
        <v>164138.5532057738</v>
      </c>
      <c r="L554" s="1">
        <f>IF(K554 + L553 &lt; 0, K554 + L553, 0)</f>
        <v>0</v>
      </c>
      <c r="M554" s="1">
        <v>0</v>
      </c>
      <c r="N554" s="1">
        <f>IF(M554 + N553 &lt; 0, M554 + N553, 0)</f>
        <v>0</v>
      </c>
      <c r="O554" s="1">
        <v>0</v>
      </c>
      <c r="P554" s="1">
        <f>IF(O554 + P553 &lt; 0, O554 + P553, 0)</f>
        <v>0</v>
      </c>
      <c r="Q554" s="1">
        <v>0</v>
      </c>
      <c r="R554" s="1">
        <f>IF(Q554 + R553 &lt; 0, Q554 + R553, 0)</f>
        <v>0</v>
      </c>
      <c r="S554" s="1">
        <v>0</v>
      </c>
      <c r="T554" s="1">
        <f>IF(S554 + T553 &lt; 0, S554 + T553, 0)</f>
        <v>0</v>
      </c>
    </row>
    <row r="555" spans="1:20" s="1" customFormat="1">
      <c r="A555" s="3">
        <v>45793</v>
      </c>
      <c r="B555" s="2" t="s">
        <v>15</v>
      </c>
      <c r="C555" s="2">
        <v>22</v>
      </c>
      <c r="D555" s="2">
        <v>6</v>
      </c>
      <c r="E555" s="1">
        <v>0</v>
      </c>
      <c r="F555" s="1">
        <f>IF(E555 + F554 &lt; 0, E555 + F554, 0)</f>
        <v>0</v>
      </c>
      <c r="G555" s="1">
        <v>0</v>
      </c>
      <c r="H555" s="1">
        <f>IF(G555 + H554 &lt; 0, G555 + H554, 0)</f>
        <v>0</v>
      </c>
      <c r="I555" s="1">
        <v>0</v>
      </c>
      <c r="J555" s="1">
        <f>IF(I555 + J554 &lt; 0, I555 + J554, 0)</f>
        <v>0</v>
      </c>
      <c r="K555" s="1">
        <v>0</v>
      </c>
      <c r="L555" s="1">
        <f>IF(K555 + L554 &lt; 0, K555 + L554, 0)</f>
        <v>0</v>
      </c>
      <c r="M555" s="1">
        <v>91444.31554524363</v>
      </c>
      <c r="N555" s="1">
        <f>IF(M555 + N554 &lt; 0, M555 + N554, 0)</f>
        <v>0</v>
      </c>
      <c r="O555" s="1">
        <v>91444.31554524363</v>
      </c>
      <c r="P555" s="1">
        <f>IF(O555 + P554 &lt; 0, O555 + P554, 0)</f>
        <v>0</v>
      </c>
      <c r="Q555" s="1">
        <v>91444.31554524363</v>
      </c>
      <c r="R555" s="1">
        <f>IF(Q555 + R554 &lt; 0, Q555 + R554, 0)</f>
        <v>0</v>
      </c>
      <c r="S555" s="1">
        <v>91444.31554524363</v>
      </c>
      <c r="T555" s="1">
        <f>IF(S555 + T554 &lt; 0, S555 + T554, 0)</f>
        <v>0</v>
      </c>
    </row>
    <row r="556" spans="1:20" s="1" customFormat="1">
      <c r="A556" s="3">
        <v>45796</v>
      </c>
      <c r="B556" s="2" t="s">
        <v>12</v>
      </c>
      <c r="C556" s="2">
        <v>21</v>
      </c>
      <c r="D556" s="2">
        <v>5</v>
      </c>
      <c r="E556" s="1">
        <v>0</v>
      </c>
      <c r="F556" s="1">
        <f>IF(E556 + F555 &lt; 0, E556 + F555, 0)</f>
        <v>0</v>
      </c>
      <c r="G556" s="1">
        <v>0</v>
      </c>
      <c r="H556" s="1">
        <f>IF(G556 + H555 &lt; 0, G556 + H555, 0)</f>
        <v>0</v>
      </c>
      <c r="I556" s="1">
        <v>0</v>
      </c>
      <c r="J556" s="1">
        <f>IF(I556 + J555 &lt; 0, I556 + J555, 0)</f>
        <v>0</v>
      </c>
      <c r="K556" s="1">
        <v>0</v>
      </c>
      <c r="L556" s="1">
        <f>IF(K556 + L555 &lt; 0, K556 + L555, 0)</f>
        <v>0</v>
      </c>
      <c r="M556" s="1">
        <v>7269.184652278173</v>
      </c>
      <c r="N556" s="1">
        <f>IF(M556 + N555 &lt; 0, M556 + N555, 0)</f>
        <v>0</v>
      </c>
      <c r="O556" s="1">
        <v>7269.184652278173</v>
      </c>
      <c r="P556" s="1">
        <f>IF(O556 + P555 &lt; 0, O556 + P555, 0)</f>
        <v>0</v>
      </c>
      <c r="Q556" s="1">
        <v>7269.184652278173</v>
      </c>
      <c r="R556" s="1">
        <f>IF(Q556 + R555 &lt; 0, Q556 + R555, 0)</f>
        <v>0</v>
      </c>
      <c r="S556" s="1">
        <v>7269.184652278173</v>
      </c>
      <c r="T556" s="1">
        <f>IF(S556 + T555 &lt; 0, S556 + T555, 0)</f>
        <v>0</v>
      </c>
    </row>
    <row r="557" spans="1:20" s="1" customFormat="1">
      <c r="A557" s="3">
        <v>45797</v>
      </c>
      <c r="B557" s="2" t="s">
        <v>13</v>
      </c>
      <c r="C557" s="2">
        <v>20</v>
      </c>
      <c r="D557" s="2">
        <v>4</v>
      </c>
      <c r="E557" s="1">
        <v>0</v>
      </c>
      <c r="F557" s="1">
        <f>IF(E557 + F556 &lt; 0, E557 + F556, 0)</f>
        <v>0</v>
      </c>
      <c r="G557" s="1">
        <v>0</v>
      </c>
      <c r="H557" s="1">
        <f>IF(G557 + H556 &lt; 0, G557 + H556, 0)</f>
        <v>0</v>
      </c>
      <c r="I557" s="1">
        <v>0</v>
      </c>
      <c r="J557" s="1">
        <f>IF(I557 + J556 &lt; 0, I557 + J556, 0)</f>
        <v>0</v>
      </c>
      <c r="K557" s="1">
        <v>0</v>
      </c>
      <c r="L557" s="1">
        <f>IF(K557 + L556 &lt; 0, K557 + L556, 0)</f>
        <v>0</v>
      </c>
      <c r="M557" s="1">
        <v>-2256.135445790637</v>
      </c>
      <c r="N557" s="1">
        <f>IF(M557 + N556 &lt; 0, M557 + N556, 0)</f>
        <v>0</v>
      </c>
      <c r="O557" s="1">
        <v>-118363.6222429326</v>
      </c>
      <c r="P557" s="1">
        <f>IF(O557 + P556 &lt; 0, O557 + P556, 0)</f>
        <v>0</v>
      </c>
      <c r="Q557" s="1">
        <v>-125291.2395153774</v>
      </c>
      <c r="R557" s="1">
        <f>IF(Q557 + R556 &lt; 0, Q557 + R556, 0)</f>
        <v>0</v>
      </c>
      <c r="S557" s="1">
        <v>-125291.2395153774</v>
      </c>
      <c r="T557" s="1">
        <f>IF(S557 + T556 &lt; 0, S557 + T556, 0)</f>
        <v>0</v>
      </c>
    </row>
    <row r="558" spans="1:20" s="1" customFormat="1">
      <c r="A558" s="3">
        <v>45798</v>
      </c>
      <c r="B558" s="2" t="s">
        <v>14</v>
      </c>
      <c r="C558" s="2">
        <v>19</v>
      </c>
      <c r="D558" s="2">
        <v>3</v>
      </c>
      <c r="E558" s="1">
        <v>0</v>
      </c>
      <c r="F558" s="1">
        <f>IF(E558 + F557 &lt; 0, E558 + F557, 0)</f>
        <v>0</v>
      </c>
      <c r="G558" s="1">
        <v>0</v>
      </c>
      <c r="H558" s="1">
        <f>IF(G558 + H557 &lt; 0, G558 + H557, 0)</f>
        <v>0</v>
      </c>
      <c r="I558" s="1">
        <v>0</v>
      </c>
      <c r="J558" s="1">
        <f>IF(I558 + J557 &lt; 0, I558 + J557, 0)</f>
        <v>0</v>
      </c>
      <c r="K558" s="1">
        <v>0</v>
      </c>
      <c r="L558" s="1">
        <f>IF(K558 + L557 &lt; 0, K558 + L557, 0)</f>
        <v>0</v>
      </c>
      <c r="M558" s="1">
        <v>46446.42857142857</v>
      </c>
      <c r="N558" s="1">
        <f>IF(M558 + N557 &lt; 0, M558 + N557, 0)</f>
        <v>0</v>
      </c>
      <c r="O558" s="1">
        <v>92542.85714285714</v>
      </c>
      <c r="P558" s="1">
        <f>IF(O558 + P557 &lt; 0, O558 + P557, 0)</f>
        <v>0</v>
      </c>
      <c r="Q558" s="1">
        <v>92542.85714285714</v>
      </c>
      <c r="R558" s="1">
        <f>IF(Q558 + R557 &lt; 0, Q558 + R557, 0)</f>
        <v>0</v>
      </c>
      <c r="S558" s="1">
        <v>92542.85714285714</v>
      </c>
      <c r="T558" s="1">
        <f>IF(S558 + T557 &lt; 0, S558 + T557, 0)</f>
        <v>0</v>
      </c>
    </row>
    <row r="559" spans="1:20" s="1" customFormat="1">
      <c r="A559" s="3">
        <v>45799</v>
      </c>
      <c r="B559" s="2" t="s">
        <v>16</v>
      </c>
      <c r="C559" s="2">
        <v>18</v>
      </c>
      <c r="D559" s="2">
        <v>2</v>
      </c>
      <c r="E559" s="1">
        <v>0</v>
      </c>
      <c r="F559" s="1">
        <f>IF(E559 + F558 &lt; 0, E559 + F558, 0)</f>
        <v>0</v>
      </c>
      <c r="G559" s="1">
        <v>0</v>
      </c>
      <c r="H559" s="1">
        <f>IF(G559 + H558 &lt; 0, G559 + H558, 0)</f>
        <v>0</v>
      </c>
      <c r="I559" s="1">
        <v>0</v>
      </c>
      <c r="J559" s="1">
        <f>IF(I559 + J558 &lt; 0, I559 + J558, 0)</f>
        <v>0</v>
      </c>
      <c r="K559" s="1">
        <v>0</v>
      </c>
      <c r="L559" s="1">
        <f>IF(K559 + L558 &lt; 0, K559 + L558, 0)</f>
        <v>0</v>
      </c>
      <c r="M559" s="1">
        <v>79511.98382904998</v>
      </c>
      <c r="N559" s="1">
        <f>IF(M559 + N558 &lt; 0, M559 + N558, 0)</f>
        <v>0</v>
      </c>
      <c r="O559" s="1">
        <v>79511.98382904998</v>
      </c>
      <c r="P559" s="1">
        <f>IF(O559 + P558 &lt; 0, O559 + P558, 0)</f>
        <v>0</v>
      </c>
      <c r="Q559" s="1">
        <v>79511.98382904998</v>
      </c>
      <c r="R559" s="1">
        <f>IF(Q559 + R558 &lt; 0, Q559 + R558, 0)</f>
        <v>0</v>
      </c>
      <c r="S559" s="1">
        <v>79511.98382904998</v>
      </c>
      <c r="T559" s="1">
        <f>IF(S559 + T558 &lt; 0, S559 + T558, 0)</f>
        <v>0</v>
      </c>
    </row>
    <row r="560" spans="1:20" s="1" customFormat="1">
      <c r="A560" s="3">
        <v>45800</v>
      </c>
      <c r="B560" s="2" t="s">
        <v>15</v>
      </c>
      <c r="C560" s="2">
        <v>17</v>
      </c>
      <c r="D560" s="2">
        <v>1</v>
      </c>
      <c r="E560" s="1">
        <v>0</v>
      </c>
      <c r="F560" s="1">
        <f>IF(E560 + F559 &lt; 0, E560 + F559, 0)</f>
        <v>0</v>
      </c>
      <c r="G560" s="1">
        <v>0</v>
      </c>
      <c r="H560" s="1">
        <f>IF(G560 + H559 &lt; 0, G560 + H559, 0)</f>
        <v>0</v>
      </c>
      <c r="I560" s="1">
        <v>0</v>
      </c>
      <c r="J560" s="1">
        <f>IF(I560 + J559 &lt; 0, I560 + J559, 0)</f>
        <v>0</v>
      </c>
      <c r="K560" s="1">
        <v>0</v>
      </c>
      <c r="L560" s="1">
        <f>IF(K560 + L559 &lt; 0, K560 + L559, 0)</f>
        <v>0</v>
      </c>
      <c r="M560" s="1">
        <v>-39351.71496156121</v>
      </c>
      <c r="N560" s="1">
        <f>IF(M560 + N559 &lt; 0, M560 + N559, 0)</f>
        <v>0</v>
      </c>
      <c r="O560" s="1">
        <v>-16358.66351271439</v>
      </c>
      <c r="P560" s="1">
        <f>IF(O560 + P559 &lt; 0, O560 + P559, 0)</f>
        <v>0</v>
      </c>
      <c r="Q560" s="1">
        <v>108231.0762862211</v>
      </c>
      <c r="R560" s="1">
        <f>IF(Q560 + R559 &lt; 0, Q560 + R559, 0)</f>
        <v>0</v>
      </c>
      <c r="S560" s="1">
        <v>108231.0762862211</v>
      </c>
      <c r="T560" s="1">
        <f>IF(S560 + T559 &lt; 0, S560 + T559, 0)</f>
        <v>0</v>
      </c>
    </row>
    <row r="561" spans="1:20" s="1" customFormat="1">
      <c r="A561" s="3">
        <v>45803</v>
      </c>
      <c r="B561" s="2" t="s">
        <v>12</v>
      </c>
      <c r="C561" s="2">
        <v>16</v>
      </c>
      <c r="D561" s="2">
        <v>21</v>
      </c>
      <c r="E561" s="1">
        <v>0</v>
      </c>
      <c r="F561" s="1">
        <f>IF(E561 + F560 &lt; 0, E561 + F560, 0)</f>
        <v>0</v>
      </c>
      <c r="G561" s="1">
        <v>0</v>
      </c>
      <c r="H561" s="1">
        <f>IF(G561 + H560 &lt; 0, G561 + H560, 0)</f>
        <v>0</v>
      </c>
      <c r="I561" s="1">
        <v>0</v>
      </c>
      <c r="J561" s="1">
        <f>IF(I561 + J560 &lt; 0, I561 + J560, 0)</f>
        <v>0</v>
      </c>
      <c r="K561" s="1">
        <v>0</v>
      </c>
      <c r="L561" s="1">
        <f>IF(K561 + L560 &lt; 0, K561 + L560, 0)</f>
        <v>0</v>
      </c>
      <c r="M561" s="1">
        <v>0</v>
      </c>
      <c r="N561" s="1">
        <f>IF(M561 + N560 &lt; 0, M561 + N560, 0)</f>
        <v>0</v>
      </c>
      <c r="O561" s="1">
        <v>0</v>
      </c>
      <c r="P561" s="1">
        <f>IF(O561 + P560 &lt; 0, O561 + P560, 0)</f>
        <v>0</v>
      </c>
      <c r="Q561" s="1">
        <v>0</v>
      </c>
      <c r="R561" s="1">
        <f>IF(Q561 + R560 &lt; 0, Q561 + R560, 0)</f>
        <v>0</v>
      </c>
      <c r="S561" s="1">
        <v>0</v>
      </c>
      <c r="T561" s="1">
        <f>IF(S561 + T560 &lt; 0, S561 + T560, 0)</f>
        <v>0</v>
      </c>
    </row>
    <row r="562" spans="1:20" s="1" customFormat="1">
      <c r="A562" s="3">
        <v>45804</v>
      </c>
      <c r="B562" s="2" t="s">
        <v>13</v>
      </c>
      <c r="C562" s="2">
        <v>15</v>
      </c>
      <c r="D562" s="2">
        <v>20</v>
      </c>
      <c r="E562" s="1">
        <v>0</v>
      </c>
      <c r="F562" s="1">
        <f>IF(E562 + F561 &lt; 0, E562 + F561, 0)</f>
        <v>0</v>
      </c>
      <c r="G562" s="1">
        <v>0</v>
      </c>
      <c r="H562" s="1">
        <f>IF(G562 + H561 &lt; 0, G562 + H561, 0)</f>
        <v>0</v>
      </c>
      <c r="I562" s="1">
        <v>0</v>
      </c>
      <c r="J562" s="1">
        <f>IF(I562 + J561 &lt; 0, I562 + J561, 0)</f>
        <v>0</v>
      </c>
      <c r="K562" s="1">
        <v>0</v>
      </c>
      <c r="L562" s="1">
        <f>IF(K562 + L561 &lt; 0, K562 + L561, 0)</f>
        <v>0</v>
      </c>
      <c r="M562" s="1">
        <v>0</v>
      </c>
      <c r="N562" s="1">
        <f>IF(M562 + N561 &lt; 0, M562 + N561, 0)</f>
        <v>0</v>
      </c>
      <c r="O562" s="1">
        <v>0</v>
      </c>
      <c r="P562" s="1">
        <f>IF(O562 + P561 &lt; 0, O562 + P561, 0)</f>
        <v>0</v>
      </c>
      <c r="Q562" s="1">
        <v>0</v>
      </c>
      <c r="R562" s="1">
        <f>IF(Q562 + R561 &lt; 0, Q562 + R561, 0)</f>
        <v>0</v>
      </c>
      <c r="S562" s="1">
        <v>0</v>
      </c>
      <c r="T562" s="1">
        <f>IF(S562 + T561 &lt; 0, S562 + T561, 0)</f>
        <v>0</v>
      </c>
    </row>
    <row r="563" spans="1:20" s="1" customFormat="1">
      <c r="A563" s="3">
        <v>45805</v>
      </c>
      <c r="B563" s="2" t="s">
        <v>14</v>
      </c>
      <c r="C563" s="2">
        <v>14</v>
      </c>
      <c r="D563" s="2">
        <v>19</v>
      </c>
      <c r="E563" s="1">
        <v>0</v>
      </c>
      <c r="F563" s="1">
        <f>IF(E563 + F562 &lt; 0, E563 + F562, 0)</f>
        <v>0</v>
      </c>
      <c r="G563" s="1">
        <v>0</v>
      </c>
      <c r="H563" s="1">
        <f>IF(G563 + H562 &lt; 0, G563 + H562, 0)</f>
        <v>0</v>
      </c>
      <c r="I563" s="1">
        <v>0</v>
      </c>
      <c r="J563" s="1">
        <f>IF(I563 + J562 &lt; 0, I563 + J562, 0)</f>
        <v>0</v>
      </c>
      <c r="K563" s="1">
        <v>0</v>
      </c>
      <c r="L563" s="1">
        <f>IF(K563 + L562 &lt; 0, K563 + L562, 0)</f>
        <v>0</v>
      </c>
      <c r="M563" s="1">
        <v>0</v>
      </c>
      <c r="N563" s="1">
        <f>IF(M563 + N562 &lt; 0, M563 + N562, 0)</f>
        <v>0</v>
      </c>
      <c r="O563" s="1">
        <v>0</v>
      </c>
      <c r="P563" s="1">
        <f>IF(O563 + P562 &lt; 0, O563 + P562, 0)</f>
        <v>0</v>
      </c>
      <c r="Q563" s="1">
        <v>0</v>
      </c>
      <c r="R563" s="1">
        <f>IF(Q563 + R562 &lt; 0, Q563 + R562, 0)</f>
        <v>0</v>
      </c>
      <c r="S563" s="1">
        <v>0</v>
      </c>
      <c r="T563" s="1">
        <f>IF(S563 + T562 &lt; 0, S563 + T562, 0)</f>
        <v>0</v>
      </c>
    </row>
    <row r="564" spans="1:20" s="1" customFormat="1">
      <c r="A564" s="3">
        <v>45806</v>
      </c>
      <c r="B564" s="2" t="s">
        <v>16</v>
      </c>
      <c r="C564" s="2">
        <v>13</v>
      </c>
      <c r="D564" s="2">
        <v>18</v>
      </c>
      <c r="E564" s="1">
        <v>0</v>
      </c>
      <c r="F564" s="1">
        <f>IF(E564 + F563 &lt; 0, E564 + F563, 0)</f>
        <v>0</v>
      </c>
      <c r="G564" s="1">
        <v>0</v>
      </c>
      <c r="H564" s="1">
        <f>IF(G564 + H563 &lt; 0, G564 + H563, 0)</f>
        <v>0</v>
      </c>
      <c r="I564" s="1">
        <v>0</v>
      </c>
      <c r="J564" s="1">
        <f>IF(I564 + J563 &lt; 0, I564 + J563, 0)</f>
        <v>0</v>
      </c>
      <c r="K564" s="1">
        <v>0</v>
      </c>
      <c r="L564" s="1">
        <f>IF(K564 + L563 &lt; 0, K564 + L563, 0)</f>
        <v>0</v>
      </c>
      <c r="M564" s="1">
        <v>0</v>
      </c>
      <c r="N564" s="1">
        <f>IF(M564 + N563 &lt; 0, M564 + N563, 0)</f>
        <v>0</v>
      </c>
      <c r="O564" s="1">
        <v>0</v>
      </c>
      <c r="P564" s="1">
        <f>IF(O564 + P563 &lt; 0, O564 + P563, 0)</f>
        <v>0</v>
      </c>
      <c r="Q564" s="1">
        <v>0</v>
      </c>
      <c r="R564" s="1">
        <f>IF(Q564 + R563 &lt; 0, Q564 + R563, 0)</f>
        <v>0</v>
      </c>
      <c r="S564" s="1">
        <v>0</v>
      </c>
      <c r="T564" s="1">
        <f>IF(S564 + T563 &lt; 0, S564 + T563, 0)</f>
        <v>0</v>
      </c>
    </row>
    <row r="565" spans="1:20" s="1" customFormat="1">
      <c r="A565" s="3">
        <v>45807</v>
      </c>
      <c r="B565" s="2" t="s">
        <v>15</v>
      </c>
      <c r="C565" s="2">
        <v>12</v>
      </c>
      <c r="D565" s="2">
        <v>17</v>
      </c>
      <c r="E565" s="1">
        <v>0</v>
      </c>
      <c r="F565" s="1">
        <f>IF(E565 + F564 &lt; 0, E565 + F564, 0)</f>
        <v>0</v>
      </c>
      <c r="G565" s="1">
        <v>0</v>
      </c>
      <c r="H565" s="1">
        <f>IF(G565 + H564 &lt; 0, G565 + H564, 0)</f>
        <v>0</v>
      </c>
      <c r="I565" s="1">
        <v>0</v>
      </c>
      <c r="J565" s="1">
        <f>IF(I565 + J564 &lt; 0, I565 + J564, 0)</f>
        <v>0</v>
      </c>
      <c r="K565" s="1">
        <v>0</v>
      </c>
      <c r="L565" s="1">
        <f>IF(K565 + L564 &lt; 0, K565 + L564, 0)</f>
        <v>0</v>
      </c>
      <c r="M565" s="1">
        <v>0</v>
      </c>
      <c r="N565" s="1">
        <f>IF(M565 + N564 &lt; 0, M565 + N564, 0)</f>
        <v>0</v>
      </c>
      <c r="O565" s="1">
        <v>0</v>
      </c>
      <c r="P565" s="1">
        <f>IF(O565 + P564 &lt; 0, O565 + P564, 0)</f>
        <v>0</v>
      </c>
      <c r="Q565" s="1">
        <v>0</v>
      </c>
      <c r="R565" s="1">
        <f>IF(Q565 + R564 &lt; 0, Q565 + R564, 0)</f>
        <v>0</v>
      </c>
      <c r="S565" s="1">
        <v>0</v>
      </c>
      <c r="T565" s="1">
        <f>IF(S565 + T564 &lt; 0, S565 + T564, 0)</f>
        <v>0</v>
      </c>
    </row>
    <row r="566" spans="1:20" s="1" customFormat="1">
      <c r="A566" s="3">
        <v>45810</v>
      </c>
      <c r="B566" s="2" t="s">
        <v>12</v>
      </c>
      <c r="C566" s="2">
        <v>11</v>
      </c>
      <c r="D566" s="2">
        <v>16</v>
      </c>
      <c r="E566" s="1">
        <v>0</v>
      </c>
      <c r="F566" s="1">
        <f>IF(E566 + F565 &lt; 0, E566 + F565, 0)</f>
        <v>0</v>
      </c>
      <c r="G566" s="1">
        <v>0</v>
      </c>
      <c r="H566" s="1">
        <f>IF(G566 + H565 &lt; 0, G566 + H565, 0)</f>
        <v>0</v>
      </c>
      <c r="I566" s="1">
        <v>0</v>
      </c>
      <c r="J566" s="1">
        <f>IF(I566 + J565 &lt; 0, I566 + J565, 0)</f>
        <v>0</v>
      </c>
      <c r="K566" s="1">
        <v>0</v>
      </c>
      <c r="L566" s="1">
        <f>IF(K566 + L565 &lt; 0, K566 + L565, 0)</f>
        <v>0</v>
      </c>
      <c r="M566" s="1">
        <v>0</v>
      </c>
      <c r="N566" s="1">
        <f>IF(M566 + N565 &lt; 0, M566 + N565, 0)</f>
        <v>0</v>
      </c>
      <c r="O566" s="1">
        <v>0</v>
      </c>
      <c r="P566" s="1">
        <f>IF(O566 + P565 &lt; 0, O566 + P565, 0)</f>
        <v>0</v>
      </c>
      <c r="Q566" s="1">
        <v>0</v>
      </c>
      <c r="R566" s="1">
        <f>IF(Q566 + R565 &lt; 0, Q566 + R565, 0)</f>
        <v>0</v>
      </c>
      <c r="S566" s="1">
        <v>0</v>
      </c>
      <c r="T566" s="1">
        <f>IF(S566 + T565 &lt; 0, S566 + T565, 0)</f>
        <v>0</v>
      </c>
    </row>
    <row r="567" spans="1:20" s="1" customFormat="1">
      <c r="A567" s="3">
        <v>45811</v>
      </c>
      <c r="B567" s="2" t="s">
        <v>13</v>
      </c>
      <c r="C567" s="2">
        <v>10</v>
      </c>
      <c r="D567" s="2">
        <v>15</v>
      </c>
      <c r="E567" s="1">
        <v>17745.19508372515</v>
      </c>
      <c r="F567" s="1">
        <f>IF(E567 + F566 &lt; 0, E567 + F566, 0)</f>
        <v>0</v>
      </c>
      <c r="G567" s="1">
        <v>17745.19508372515</v>
      </c>
      <c r="H567" s="1">
        <f>IF(G567 + H566 &lt; 0, G567 + H566, 0)</f>
        <v>0</v>
      </c>
      <c r="I567" s="1">
        <v>17745.19508372515</v>
      </c>
      <c r="J567" s="1">
        <f>IF(I567 + J566 &lt; 0, I567 + J566, 0)</f>
        <v>0</v>
      </c>
      <c r="K567" s="1">
        <v>17745.19508372515</v>
      </c>
      <c r="L567" s="1">
        <f>IF(K567 + L566 &lt; 0, K567 + L566, 0)</f>
        <v>0</v>
      </c>
      <c r="M567" s="1">
        <v>0</v>
      </c>
      <c r="N567" s="1">
        <f>IF(M567 + N566 &lt; 0, M567 + N566, 0)</f>
        <v>0</v>
      </c>
      <c r="O567" s="1">
        <v>0</v>
      </c>
      <c r="P567" s="1">
        <f>IF(O567 + P566 &lt; 0, O567 + P566, 0)</f>
        <v>0</v>
      </c>
      <c r="Q567" s="1">
        <v>0</v>
      </c>
      <c r="R567" s="1">
        <f>IF(Q567 + R566 &lt; 0, Q567 + R566, 0)</f>
        <v>0</v>
      </c>
      <c r="S567" s="1">
        <v>0</v>
      </c>
      <c r="T567" s="1">
        <f>IF(S567 + T566 &lt; 0, S567 + T566, 0)</f>
        <v>0</v>
      </c>
    </row>
    <row r="568" spans="1:20" s="1" customFormat="1">
      <c r="A568" s="3">
        <v>45812</v>
      </c>
      <c r="B568" s="2" t="s">
        <v>14</v>
      </c>
      <c r="C568" s="2">
        <v>9</v>
      </c>
      <c r="D568" s="2">
        <v>14</v>
      </c>
      <c r="E568" s="1">
        <v>67801.12216898063</v>
      </c>
      <c r="F568" s="1">
        <f>IF(E568 + F567 &lt; 0, E568 + F567, 0)</f>
        <v>0</v>
      </c>
      <c r="G568" s="1">
        <v>67801.12216898063</v>
      </c>
      <c r="H568" s="1">
        <f>IF(G568 + H567 &lt; 0, G568 + H567, 0)</f>
        <v>0</v>
      </c>
      <c r="I568" s="1">
        <v>67801.12216898063</v>
      </c>
      <c r="J568" s="1">
        <f>IF(I568 + J567 &lt; 0, I568 + J567, 0)</f>
        <v>0</v>
      </c>
      <c r="K568" s="1">
        <v>67801.12216898063</v>
      </c>
      <c r="L568" s="1">
        <f>IF(K568 + L567 &lt; 0, K568 + L567, 0)</f>
        <v>0</v>
      </c>
      <c r="M568" s="1">
        <v>0</v>
      </c>
      <c r="N568" s="1">
        <f>IF(M568 + N567 &lt; 0, M568 + N567, 0)</f>
        <v>0</v>
      </c>
      <c r="O568" s="1">
        <v>0</v>
      </c>
      <c r="P568" s="1">
        <f>IF(O568 + P567 &lt; 0, O568 + P567, 0)</f>
        <v>0</v>
      </c>
      <c r="Q568" s="1">
        <v>0</v>
      </c>
      <c r="R568" s="1">
        <f>IF(Q568 + R567 &lt; 0, Q568 + R567, 0)</f>
        <v>0</v>
      </c>
      <c r="S568" s="1">
        <v>0</v>
      </c>
      <c r="T568" s="1">
        <f>IF(S568 + T567 &lt; 0, S568 + T567, 0)</f>
        <v>0</v>
      </c>
    </row>
    <row r="569" spans="1:20" s="1" customFormat="1">
      <c r="A569" s="3">
        <v>45813</v>
      </c>
      <c r="B569" s="2" t="s">
        <v>16</v>
      </c>
      <c r="C569" s="2">
        <v>8</v>
      </c>
      <c r="D569" s="2">
        <v>13</v>
      </c>
      <c r="E569" s="1">
        <v>45622.39551099559</v>
      </c>
      <c r="F569" s="1">
        <f>IF(E569 + F568 &lt; 0, E569 + F568, 0)</f>
        <v>0</v>
      </c>
      <c r="G569" s="1">
        <v>45622.39551099559</v>
      </c>
      <c r="H569" s="1">
        <f>IF(G569 + H568 &lt; 0, G569 + H568, 0)</f>
        <v>0</v>
      </c>
      <c r="I569" s="1">
        <v>45622.39551099559</v>
      </c>
      <c r="J569" s="1">
        <f>IF(I569 + J568 &lt; 0, I569 + J568, 0)</f>
        <v>0</v>
      </c>
      <c r="K569" s="1">
        <v>45622.39551099559</v>
      </c>
      <c r="L569" s="1">
        <f>IF(K569 + L568 &lt; 0, K569 + L568, 0)</f>
        <v>0</v>
      </c>
      <c r="M569" s="1">
        <v>0</v>
      </c>
      <c r="N569" s="1">
        <f>IF(M569 + N568 &lt; 0, M569 + N568, 0)</f>
        <v>0</v>
      </c>
      <c r="O569" s="1">
        <v>0</v>
      </c>
      <c r="P569" s="1">
        <f>IF(O569 + P568 &lt; 0, O569 + P568, 0)</f>
        <v>0</v>
      </c>
      <c r="Q569" s="1">
        <v>0</v>
      </c>
      <c r="R569" s="1">
        <f>IF(Q569 + R568 &lt; 0, Q569 + R568, 0)</f>
        <v>0</v>
      </c>
      <c r="S569" s="1">
        <v>0</v>
      </c>
      <c r="T569" s="1">
        <f>IF(S569 + T568 &lt; 0, S569 + T568, 0)</f>
        <v>0</v>
      </c>
    </row>
    <row r="570" spans="1:20" s="1" customFormat="1">
      <c r="A570" s="3">
        <v>45814</v>
      </c>
      <c r="B570" s="2" t="s">
        <v>15</v>
      </c>
      <c r="C570" s="2">
        <v>7</v>
      </c>
      <c r="D570" s="2">
        <v>12</v>
      </c>
      <c r="E570" s="1">
        <v>29572.99598788178</v>
      </c>
      <c r="F570" s="1">
        <f>IF(E570 + F569 &lt; 0, E570 + F569, 0)</f>
        <v>0</v>
      </c>
      <c r="G570" s="1">
        <v>-1954.884139850975</v>
      </c>
      <c r="H570" s="1">
        <f>IF(G570 + H569 &lt; 0, G570 + H569, 0)</f>
        <v>0</v>
      </c>
      <c r="I570" s="1">
        <v>-1954.884139850975</v>
      </c>
      <c r="J570" s="1">
        <f>IF(I570 + J569 &lt; 0, I570 + J569, 0)</f>
        <v>0</v>
      </c>
      <c r="K570" s="1">
        <v>-1954.884139850975</v>
      </c>
      <c r="L570" s="1">
        <f>IF(K570 + L569 &lt; 0, K570 + L569, 0)</f>
        <v>0</v>
      </c>
      <c r="M570" s="1">
        <v>0</v>
      </c>
      <c r="N570" s="1">
        <f>IF(M570 + N569 &lt; 0, M570 + N569, 0)</f>
        <v>0</v>
      </c>
      <c r="O570" s="1">
        <v>0</v>
      </c>
      <c r="P570" s="1">
        <f>IF(O570 + P569 &lt; 0, O570 + P569, 0)</f>
        <v>0</v>
      </c>
      <c r="Q570" s="1">
        <v>0</v>
      </c>
      <c r="R570" s="1">
        <f>IF(Q570 + R569 &lt; 0, Q570 + R569, 0)</f>
        <v>0</v>
      </c>
      <c r="S570" s="1">
        <v>0</v>
      </c>
      <c r="T570" s="1">
        <f>IF(S570 + T569 &lt; 0, S570 + T569, 0)</f>
        <v>0</v>
      </c>
    </row>
    <row r="571" spans="1:20" s="1" customFormat="1">
      <c r="A571" s="3">
        <v>45817</v>
      </c>
      <c r="B571" s="2" t="s">
        <v>12</v>
      </c>
      <c r="C571" s="2">
        <v>6</v>
      </c>
      <c r="D571" s="2">
        <v>11</v>
      </c>
      <c r="E571" s="1">
        <v>97830.0217198938</v>
      </c>
      <c r="F571" s="1">
        <f>IF(E571 + F570 &lt; 0, E571 + F570, 0)</f>
        <v>0</v>
      </c>
      <c r="G571" s="1">
        <v>97830.0217198938</v>
      </c>
      <c r="H571" s="1">
        <f>IF(G571 + H570 &lt; 0, G571 + H570, 0)</f>
        <v>0</v>
      </c>
      <c r="I571" s="1">
        <v>97830.0217198938</v>
      </c>
      <c r="J571" s="1">
        <f>IF(I571 + J570 &lt; 0, I571 + J570, 0)</f>
        <v>0</v>
      </c>
      <c r="K571" s="1">
        <v>97830.0217198938</v>
      </c>
      <c r="L571" s="1">
        <f>IF(K571 + L570 &lt; 0, K571 + L570, 0)</f>
        <v>0</v>
      </c>
      <c r="M571" s="1">
        <v>0</v>
      </c>
      <c r="N571" s="1">
        <f>IF(M571 + N570 &lt; 0, M571 + N570, 0)</f>
        <v>0</v>
      </c>
      <c r="O571" s="1">
        <v>0</v>
      </c>
      <c r="P571" s="1">
        <f>IF(O571 + P570 &lt; 0, O571 + P570, 0)</f>
        <v>0</v>
      </c>
      <c r="Q571" s="1">
        <v>0</v>
      </c>
      <c r="R571" s="1">
        <f>IF(Q571 + R570 &lt; 0, Q571 + R570, 0)</f>
        <v>0</v>
      </c>
      <c r="S571" s="1">
        <v>0</v>
      </c>
      <c r="T571" s="1">
        <f>IF(S571 + T570 &lt; 0, S571 + T570, 0)</f>
        <v>0</v>
      </c>
    </row>
    <row r="572" spans="1:20" s="1" customFormat="1">
      <c r="A572" s="3">
        <v>45818</v>
      </c>
      <c r="B572" s="2" t="s">
        <v>13</v>
      </c>
      <c r="C572" s="2">
        <v>5</v>
      </c>
      <c r="D572" s="2">
        <v>10</v>
      </c>
      <c r="E572" s="1">
        <v>37159.21699159931</v>
      </c>
      <c r="F572" s="1">
        <f>IF(E572 + F571 &lt; 0, E572 + F571, 0)</f>
        <v>0</v>
      </c>
      <c r="G572" s="1">
        <v>37159.21699159931</v>
      </c>
      <c r="H572" s="1">
        <f>IF(G572 + H571 &lt; 0, G572 + H571, 0)</f>
        <v>0</v>
      </c>
      <c r="I572" s="1">
        <v>37159.21699159931</v>
      </c>
      <c r="J572" s="1">
        <f>IF(I572 + J571 &lt; 0, I572 + J571, 0)</f>
        <v>0</v>
      </c>
      <c r="K572" s="1">
        <v>37159.21699159931</v>
      </c>
      <c r="L572" s="1">
        <f>IF(K572 + L571 &lt; 0, K572 + L571, 0)</f>
        <v>0</v>
      </c>
      <c r="M572" s="1">
        <v>0</v>
      </c>
      <c r="N572" s="1">
        <f>IF(M572 + N571 &lt; 0, M572 + N571, 0)</f>
        <v>0</v>
      </c>
      <c r="O572" s="1">
        <v>0</v>
      </c>
      <c r="P572" s="1">
        <f>IF(O572 + P571 &lt; 0, O572 + P571, 0)</f>
        <v>0</v>
      </c>
      <c r="Q572" s="1">
        <v>0</v>
      </c>
      <c r="R572" s="1">
        <f>IF(Q572 + R571 &lt; 0, Q572 + R571, 0)</f>
        <v>0</v>
      </c>
      <c r="S572" s="1">
        <v>0</v>
      </c>
      <c r="T572" s="1">
        <f>IF(S572 + T571 &lt; 0, S572 + T571, 0)</f>
        <v>0</v>
      </c>
    </row>
    <row r="573" spans="1:20" s="1" customFormat="1">
      <c r="A573" s="3">
        <v>45819</v>
      </c>
      <c r="B573" s="2" t="s">
        <v>14</v>
      </c>
      <c r="C573" s="2">
        <v>4</v>
      </c>
      <c r="D573" s="2">
        <v>9</v>
      </c>
      <c r="E573" s="1">
        <v>30849.4903058165</v>
      </c>
      <c r="F573" s="1">
        <f>IF(E573 + F572 &lt; 0, E573 + F572, 0)</f>
        <v>0</v>
      </c>
      <c r="G573" s="1">
        <v>-105466.7199680192</v>
      </c>
      <c r="H573" s="1">
        <f>IF(G573 + H572 &lt; 0, G573 + H572, 0)</f>
        <v>0</v>
      </c>
      <c r="I573" s="1">
        <v>-105466.7199680192</v>
      </c>
      <c r="J573" s="1">
        <f>IF(I573 + J572 &lt; 0, I573 + J572, 0)</f>
        <v>0</v>
      </c>
      <c r="K573" s="1">
        <v>-105466.7199680192</v>
      </c>
      <c r="L573" s="1">
        <f>IF(K573 + L572 &lt; 0, K573 + L572, 0)</f>
        <v>0</v>
      </c>
      <c r="M573" s="1">
        <v>0</v>
      </c>
      <c r="N573" s="1">
        <f>IF(M573 + N572 &lt; 0, M573 + N572, 0)</f>
        <v>0</v>
      </c>
      <c r="O573" s="1">
        <v>0</v>
      </c>
      <c r="P573" s="1">
        <f>IF(O573 + P572 &lt; 0, O573 + P572, 0)</f>
        <v>0</v>
      </c>
      <c r="Q573" s="1">
        <v>0</v>
      </c>
      <c r="R573" s="1">
        <f>IF(Q573 + R572 &lt; 0, Q573 + R572, 0)</f>
        <v>0</v>
      </c>
      <c r="S573" s="1">
        <v>0</v>
      </c>
      <c r="T573" s="1">
        <f>IF(S573 + T572 &lt; 0, S573 + T572, 0)</f>
        <v>0</v>
      </c>
    </row>
    <row r="574" spans="1:20" s="1" customFormat="1">
      <c r="A574" s="3">
        <v>45820</v>
      </c>
      <c r="B574" s="2" t="s">
        <v>16</v>
      </c>
      <c r="C574" s="2">
        <v>3</v>
      </c>
      <c r="D574" s="2">
        <v>8</v>
      </c>
      <c r="E574" s="1">
        <v>24472.16890595011</v>
      </c>
      <c r="F574" s="1">
        <f>IF(E574 + F573 &lt; 0, E574 + F573, 0)</f>
        <v>0</v>
      </c>
      <c r="G574" s="1">
        <v>-159313.8195777351</v>
      </c>
      <c r="H574" s="1">
        <f>IF(G574 + H573 &lt; 0, G574 + H573, 0)</f>
        <v>0</v>
      </c>
      <c r="I574" s="1">
        <v>-144721.689059501</v>
      </c>
      <c r="J574" s="1">
        <f>IF(I574 + J573 &lt; 0, I574 + J573, 0)</f>
        <v>0</v>
      </c>
      <c r="K574" s="1">
        <v>-144721.689059501</v>
      </c>
      <c r="L574" s="1">
        <f>IF(K574 + L573 &lt; 0, K574 + L573, 0)</f>
        <v>0</v>
      </c>
      <c r="M574" s="1">
        <v>0</v>
      </c>
      <c r="N574" s="1">
        <f>IF(M574 + N573 &lt; 0, M574 + N573, 0)</f>
        <v>0</v>
      </c>
      <c r="O574" s="1">
        <v>0</v>
      </c>
      <c r="P574" s="1">
        <f>IF(O574 + P573 &lt; 0, O574 + P573, 0)</f>
        <v>0</v>
      </c>
      <c r="Q574" s="1">
        <v>0</v>
      </c>
      <c r="R574" s="1">
        <f>IF(Q574 + R573 &lt; 0, Q574 + R573, 0)</f>
        <v>0</v>
      </c>
      <c r="S574" s="1">
        <v>0</v>
      </c>
      <c r="T574" s="1">
        <f>IF(S574 + T573 &lt; 0, S574 + T573, 0)</f>
        <v>0</v>
      </c>
    </row>
    <row r="575" spans="1:20" s="1" customFormat="1">
      <c r="A575" s="3">
        <v>45821</v>
      </c>
      <c r="B575" s="2" t="s">
        <v>15</v>
      </c>
      <c r="C575" s="2">
        <v>2</v>
      </c>
      <c r="D575" s="2">
        <v>7</v>
      </c>
      <c r="E575" s="1">
        <v>254292.6846769276</v>
      </c>
      <c r="F575" s="1">
        <f>IF(E575 + F574 &lt; 0, E575 + F574, 0)</f>
        <v>0</v>
      </c>
      <c r="G575" s="1">
        <v>254292.6846769276</v>
      </c>
      <c r="H575" s="1">
        <f>IF(G575 + H574 &lt; 0, G575 + H574, 0)</f>
        <v>0</v>
      </c>
      <c r="I575" s="1">
        <v>254292.6846769276</v>
      </c>
      <c r="J575" s="1">
        <f>IF(I575 + J574 &lt; 0, I575 + J574, 0)</f>
        <v>0</v>
      </c>
      <c r="K575" s="1">
        <v>254292.6846769276</v>
      </c>
      <c r="L575" s="1">
        <f>IF(K575 + L574 &lt; 0, K575 + L574, 0)</f>
        <v>0</v>
      </c>
      <c r="M575" s="1">
        <v>0</v>
      </c>
      <c r="N575" s="1">
        <f>IF(M575 + N574 &lt; 0, M575 + N574, 0)</f>
        <v>0</v>
      </c>
      <c r="O575" s="1">
        <v>0</v>
      </c>
      <c r="P575" s="1">
        <f>IF(O575 + P574 &lt; 0, O575 + P574, 0)</f>
        <v>0</v>
      </c>
      <c r="Q575" s="1">
        <v>0</v>
      </c>
      <c r="R575" s="1">
        <f>IF(Q575 + R574 &lt; 0, Q575 + R574, 0)</f>
        <v>0</v>
      </c>
      <c r="S575" s="1">
        <v>0</v>
      </c>
      <c r="T575" s="1">
        <f>IF(S575 + T574 &lt; 0, S575 + T574, 0)</f>
        <v>0</v>
      </c>
    </row>
    <row r="576" spans="1:20" s="1" customFormat="1">
      <c r="A576" s="3">
        <v>45824</v>
      </c>
      <c r="B576" s="2" t="s">
        <v>12</v>
      </c>
      <c r="C576" s="2">
        <v>1</v>
      </c>
      <c r="D576" s="2">
        <v>6</v>
      </c>
      <c r="E576" s="1">
        <v>36968.1130950293</v>
      </c>
      <c r="F576" s="1">
        <f>IF(E576 + F575 &lt; 0, E576 + F575, 0)</f>
        <v>0</v>
      </c>
      <c r="G576" s="1">
        <v>-117562.3531062546</v>
      </c>
      <c r="H576" s="1">
        <f>IF(G576 + H575 &lt; 0, G576 + H575, 0)</f>
        <v>0</v>
      </c>
      <c r="I576" s="1">
        <v>-284710.7727926475</v>
      </c>
      <c r="J576" s="1">
        <f>IF(I576 + J575 &lt; 0, I576 + J575, 0)</f>
        <v>0</v>
      </c>
      <c r="K576" s="1">
        <v>-435901.7083523346</v>
      </c>
      <c r="L576" s="1">
        <f>IF(K576 + L575 &lt; 0, K576 + L575, 0)</f>
        <v>0</v>
      </c>
      <c r="M576" s="1">
        <v>67381.51972464919</v>
      </c>
      <c r="N576" s="1">
        <f>IF(M576 + N575 &lt; 0, M576 + N575, 0)</f>
        <v>0</v>
      </c>
      <c r="O576" s="1">
        <v>67381.51972464919</v>
      </c>
      <c r="P576" s="1">
        <f>IF(O576 + P575 &lt; 0, O576 + P575, 0)</f>
        <v>0</v>
      </c>
      <c r="Q576" s="1">
        <v>67381.51972464919</v>
      </c>
      <c r="R576" s="1">
        <f>IF(Q576 + R575 &lt; 0, Q576 + R575, 0)</f>
        <v>0</v>
      </c>
      <c r="S576" s="1">
        <v>67381.51972464919</v>
      </c>
      <c r="T576" s="1">
        <f>IF(S576 + T575 &lt; 0, S576 + T575, 0)</f>
        <v>0</v>
      </c>
    </row>
    <row r="577" spans="1:20" s="1" customFormat="1">
      <c r="A577" s="3">
        <v>45825</v>
      </c>
      <c r="B577" s="2" t="s">
        <v>13</v>
      </c>
      <c r="C577" s="2">
        <v>23</v>
      </c>
      <c r="D577" s="2">
        <v>5</v>
      </c>
      <c r="E577" s="1">
        <v>0</v>
      </c>
      <c r="F577" s="1">
        <f>IF(E577 + F576 &lt; 0, E577 + F576, 0)</f>
        <v>0</v>
      </c>
      <c r="G577" s="1">
        <v>0</v>
      </c>
      <c r="H577" s="1">
        <f>IF(G577 + H576 &lt; 0, G577 + H576, 0)</f>
        <v>0</v>
      </c>
      <c r="I577" s="1">
        <v>0</v>
      </c>
      <c r="J577" s="1">
        <f>IF(I577 + J576 &lt; 0, I577 + J576, 0)</f>
        <v>0</v>
      </c>
      <c r="K577" s="1">
        <v>0</v>
      </c>
      <c r="L577" s="1">
        <f>IF(K577 + L576 &lt; 0, K577 + L576, 0)</f>
        <v>0</v>
      </c>
      <c r="M577" s="1">
        <v>47487.11340206186</v>
      </c>
      <c r="N577" s="1">
        <f>IF(M577 + N576 &lt; 0, M577 + N576, 0)</f>
        <v>0</v>
      </c>
      <c r="O577" s="1">
        <v>47487.11340206186</v>
      </c>
      <c r="P577" s="1">
        <f>IF(O577 + P576 &lt; 0, O577 + P576, 0)</f>
        <v>0</v>
      </c>
      <c r="Q577" s="1">
        <v>47487.11340206186</v>
      </c>
      <c r="R577" s="1">
        <f>IF(Q577 + R576 &lt; 0, Q577 + R576, 0)</f>
        <v>0</v>
      </c>
      <c r="S577" s="1">
        <v>47487.11340206186</v>
      </c>
      <c r="T577" s="1">
        <f>IF(S577 + T576 &lt; 0, S577 + T576, 0)</f>
        <v>0</v>
      </c>
    </row>
    <row r="578" spans="1:20" s="1" customFormat="1">
      <c r="A578" s="3">
        <v>45826</v>
      </c>
      <c r="B578" s="2" t="s">
        <v>14</v>
      </c>
      <c r="C578" s="2">
        <v>22</v>
      </c>
      <c r="D578" s="2">
        <v>4</v>
      </c>
      <c r="E578" s="1">
        <v>0</v>
      </c>
      <c r="F578" s="1">
        <f>IF(E578 + F577 &lt; 0, E578 + F577, 0)</f>
        <v>0</v>
      </c>
      <c r="G578" s="1">
        <v>0</v>
      </c>
      <c r="H578" s="1">
        <f>IF(G578 + H577 &lt; 0, G578 + H577, 0)</f>
        <v>0</v>
      </c>
      <c r="I578" s="1">
        <v>0</v>
      </c>
      <c r="J578" s="1">
        <f>IF(I578 + J577 &lt; 0, I578 + J577, 0)</f>
        <v>0</v>
      </c>
      <c r="K578" s="1">
        <v>0</v>
      </c>
      <c r="L578" s="1">
        <f>IF(K578 + L577 &lt; 0, K578 + L577, 0)</f>
        <v>0</v>
      </c>
      <c r="M578" s="1">
        <v>50049.86287708801</v>
      </c>
      <c r="N578" s="1">
        <f>IF(M578 + N577 &lt; 0, M578 + N577, 0)</f>
        <v>0</v>
      </c>
      <c r="O578" s="1">
        <v>50049.86287708801</v>
      </c>
      <c r="P578" s="1">
        <f>IF(O578 + P577 &lt; 0, O578 + P577, 0)</f>
        <v>0</v>
      </c>
      <c r="Q578" s="1">
        <v>50049.86287708801</v>
      </c>
      <c r="R578" s="1">
        <f>IF(Q578 + R577 &lt; 0, Q578 + R577, 0)</f>
        <v>0</v>
      </c>
      <c r="S578" s="1">
        <v>50049.86287708801</v>
      </c>
      <c r="T578" s="1">
        <f>IF(S578 + T577 &lt; 0, S578 + T577, 0)</f>
        <v>0</v>
      </c>
    </row>
    <row r="579" spans="1:20" s="1" customFormat="1">
      <c r="A579" s="3">
        <v>45827</v>
      </c>
      <c r="B579" s="2" t="s">
        <v>16</v>
      </c>
      <c r="C579" s="2">
        <v>21</v>
      </c>
      <c r="D579" s="2">
        <v>3</v>
      </c>
      <c r="E579" s="1">
        <v>0</v>
      </c>
      <c r="F579" s="1">
        <f>IF(E579 + F578 &lt; 0, E579 + F578, 0)</f>
        <v>0</v>
      </c>
      <c r="G579" s="1">
        <v>0</v>
      </c>
      <c r="H579" s="1">
        <f>IF(G579 + H578 &lt; 0, G579 + H578, 0)</f>
        <v>0</v>
      </c>
      <c r="I579" s="1">
        <v>0</v>
      </c>
      <c r="J579" s="1">
        <f>IF(I579 + J578 &lt; 0, I579 + J578, 0)</f>
        <v>0</v>
      </c>
      <c r="K579" s="1">
        <v>0</v>
      </c>
      <c r="L579" s="1">
        <f>IF(K579 + L578 &lt; 0, K579 + L578, 0)</f>
        <v>0</v>
      </c>
      <c r="M579" s="1">
        <v>53329.29782082324</v>
      </c>
      <c r="N579" s="1">
        <f>IF(M579 + N578 &lt; 0, M579 + N578, 0)</f>
        <v>0</v>
      </c>
      <c r="O579" s="1">
        <v>53329.29782082324</v>
      </c>
      <c r="P579" s="1">
        <f>IF(O579 + P578 &lt; 0, O579 + P578, 0)</f>
        <v>0</v>
      </c>
      <c r="Q579" s="1">
        <v>53329.29782082324</v>
      </c>
      <c r="R579" s="1">
        <f>IF(Q579 + R578 &lt; 0, Q579 + R578, 0)</f>
        <v>0</v>
      </c>
      <c r="S579" s="1">
        <v>53329.29782082324</v>
      </c>
      <c r="T579" s="1">
        <f>IF(S579 + T578 &lt; 0, S579 + T578, 0)</f>
        <v>0</v>
      </c>
    </row>
    <row r="580" spans="1:20" s="1" customFormat="1">
      <c r="A580" s="3">
        <v>45828</v>
      </c>
      <c r="B580" s="2" t="s">
        <v>15</v>
      </c>
      <c r="C580" s="2">
        <v>20</v>
      </c>
      <c r="D580" s="2">
        <v>2</v>
      </c>
      <c r="E580" s="1">
        <v>0</v>
      </c>
      <c r="F580" s="1">
        <f>IF(E580 + F579 &lt; 0, E580 + F579, 0)</f>
        <v>0</v>
      </c>
      <c r="G580" s="1">
        <v>0</v>
      </c>
      <c r="H580" s="1">
        <f>IF(G580 + H579 &lt; 0, G580 + H579, 0)</f>
        <v>0</v>
      </c>
      <c r="I580" s="1">
        <v>0</v>
      </c>
      <c r="J580" s="1">
        <f>IF(I580 + J579 &lt; 0, I580 + J579, 0)</f>
        <v>0</v>
      </c>
      <c r="K580" s="1">
        <v>0</v>
      </c>
      <c r="L580" s="1">
        <f>IF(K580 + L579 &lt; 0, K580 + L579, 0)</f>
        <v>0</v>
      </c>
      <c r="M580" s="1">
        <v>42668.6647860837</v>
      </c>
      <c r="N580" s="1">
        <f>IF(M580 + N579 &lt; 0, M580 + N579, 0)</f>
        <v>0</v>
      </c>
      <c r="O580" s="1">
        <v>-15511.87118006581</v>
      </c>
      <c r="P580" s="1">
        <f>IF(O580 + P579 &lt; 0, O580 + P579, 0)</f>
        <v>0</v>
      </c>
      <c r="Q580" s="1">
        <v>-121923.4837799718</v>
      </c>
      <c r="R580" s="1">
        <f>IF(Q580 + R579 &lt; 0, Q580 + R579, 0)</f>
        <v>0</v>
      </c>
      <c r="S580" s="1">
        <v>-121923.4837799718</v>
      </c>
      <c r="T580" s="1">
        <f>IF(S580 + T579 &lt; 0, S580 + T579, 0)</f>
        <v>0</v>
      </c>
    </row>
    <row r="581" spans="1:20" s="1" customFormat="1">
      <c r="A581" s="3">
        <v>45831</v>
      </c>
      <c r="B581" s="2" t="s">
        <v>12</v>
      </c>
      <c r="C581" s="2">
        <v>19</v>
      </c>
      <c r="D581" s="2">
        <v>1</v>
      </c>
      <c r="E581" s="1">
        <v>0</v>
      </c>
      <c r="F581" s="1">
        <f>IF(E581 + F580 &lt; 0, E581 + F580, 0)</f>
        <v>0</v>
      </c>
      <c r="G581" s="1">
        <v>0</v>
      </c>
      <c r="H581" s="1">
        <f>IF(G581 + H580 &lt; 0, G581 + H580, 0)</f>
        <v>0</v>
      </c>
      <c r="I581" s="1">
        <v>0</v>
      </c>
      <c r="J581" s="1">
        <f>IF(I581 + J580 &lt; 0, I581 + J580, 0)</f>
        <v>0</v>
      </c>
      <c r="K581" s="1">
        <v>0</v>
      </c>
      <c r="L581" s="1">
        <f>IF(K581 + L580 &lt; 0, K581 + L580, 0)</f>
        <v>0</v>
      </c>
      <c r="M581" s="1">
        <v>33804.50849963046</v>
      </c>
      <c r="N581" s="1">
        <f>IF(M581 + N580 &lt; 0, M581 + N580, 0)</f>
        <v>0</v>
      </c>
      <c r="O581" s="1">
        <v>2392.830746489281</v>
      </c>
      <c r="P581" s="1">
        <f>IF(O581 + P580 &lt; 0, O581 + P580, 0)</f>
        <v>0</v>
      </c>
      <c r="Q581" s="1">
        <v>-82594.23503325945</v>
      </c>
      <c r="R581" s="1">
        <f>IF(Q581 + R580 &lt; 0, Q581 + R580, 0)</f>
        <v>0</v>
      </c>
      <c r="S581" s="1">
        <v>-110254.9889135255</v>
      </c>
      <c r="T581" s="1">
        <f>IF(S581 + T580 &lt; 0, S581 + T580, 0)</f>
        <v>0</v>
      </c>
    </row>
    <row r="582" spans="1:20" s="1" customFormat="1">
      <c r="A582" s="3">
        <v>45832</v>
      </c>
      <c r="B582" s="2" t="s">
        <v>13</v>
      </c>
      <c r="C582" s="2">
        <v>18</v>
      </c>
      <c r="D582" s="2">
        <v>23</v>
      </c>
      <c r="E582" s="1">
        <v>0</v>
      </c>
      <c r="F582" s="1">
        <f>IF(E582 + F581 &lt; 0, E582 + F581, 0)</f>
        <v>0</v>
      </c>
      <c r="G582" s="1">
        <v>0</v>
      </c>
      <c r="H582" s="1">
        <f>IF(G582 + H581 &lt; 0, G582 + H581, 0)</f>
        <v>0</v>
      </c>
      <c r="I582" s="1">
        <v>0</v>
      </c>
      <c r="J582" s="1">
        <f>IF(I582 + J581 &lt; 0, I582 + J581, 0)</f>
        <v>0</v>
      </c>
      <c r="K582" s="1">
        <v>0</v>
      </c>
      <c r="L582" s="1">
        <f>IF(K582 + L581 &lt; 0, K582 + L581, 0)</f>
        <v>0</v>
      </c>
      <c r="M582" s="1">
        <v>0</v>
      </c>
      <c r="N582" s="1">
        <f>IF(M582 + N581 &lt; 0, M582 + N581, 0)</f>
        <v>0</v>
      </c>
      <c r="O582" s="1">
        <v>0</v>
      </c>
      <c r="P582" s="1">
        <f>IF(O582 + P581 &lt; 0, O582 + P581, 0)</f>
        <v>0</v>
      </c>
      <c r="Q582" s="1">
        <v>0</v>
      </c>
      <c r="R582" s="1">
        <f>IF(Q582 + R581 &lt; 0, Q582 + R581, 0)</f>
        <v>0</v>
      </c>
      <c r="S582" s="1">
        <v>0</v>
      </c>
      <c r="T582" s="1">
        <f>IF(S582 + T581 &lt; 0, S582 + T581, 0)</f>
        <v>0</v>
      </c>
    </row>
    <row r="583" spans="1:20" s="1" customFormat="1">
      <c r="A583" s="3">
        <v>45833</v>
      </c>
      <c r="B583" s="2" t="s">
        <v>14</v>
      </c>
      <c r="C583" s="2">
        <v>17</v>
      </c>
      <c r="D583" s="2">
        <v>22</v>
      </c>
      <c r="E583" s="1">
        <v>0</v>
      </c>
      <c r="F583" s="1">
        <f>IF(E583 + F582 &lt; 0, E583 + F582, 0)</f>
        <v>0</v>
      </c>
      <c r="G583" s="1">
        <v>0</v>
      </c>
      <c r="H583" s="1">
        <f>IF(G583 + H582 &lt; 0, G583 + H582, 0)</f>
        <v>0</v>
      </c>
      <c r="I583" s="1">
        <v>0</v>
      </c>
      <c r="J583" s="1">
        <f>IF(I583 + J582 &lt; 0, I583 + J582, 0)</f>
        <v>0</v>
      </c>
      <c r="K583" s="1">
        <v>0</v>
      </c>
      <c r="L583" s="1">
        <f>IF(K583 + L582 &lt; 0, K583 + L582, 0)</f>
        <v>0</v>
      </c>
      <c r="M583" s="1">
        <v>0</v>
      </c>
      <c r="N583" s="1">
        <f>IF(M583 + N582 &lt; 0, M583 + N582, 0)</f>
        <v>0</v>
      </c>
      <c r="O583" s="1">
        <v>0</v>
      </c>
      <c r="P583" s="1">
        <f>IF(O583 + P582 &lt; 0, O583 + P582, 0)</f>
        <v>0</v>
      </c>
      <c r="Q583" s="1">
        <v>0</v>
      </c>
      <c r="R583" s="1">
        <f>IF(Q583 + R582 &lt; 0, Q583 + R582, 0)</f>
        <v>0</v>
      </c>
      <c r="S583" s="1">
        <v>0</v>
      </c>
      <c r="T583" s="1">
        <f>IF(S583 + T582 &lt; 0, S583 + T582, 0)</f>
        <v>0</v>
      </c>
    </row>
    <row r="584" spans="1:20" s="1" customFormat="1">
      <c r="A584" s="3">
        <v>45834</v>
      </c>
      <c r="B584" s="2" t="s">
        <v>16</v>
      </c>
      <c r="C584" s="2">
        <v>16</v>
      </c>
      <c r="D584" s="2">
        <v>21</v>
      </c>
      <c r="E584" s="1">
        <v>0</v>
      </c>
      <c r="F584" s="1">
        <f>IF(E584 + F583 &lt; 0, E584 + F583, 0)</f>
        <v>0</v>
      </c>
      <c r="G584" s="1">
        <v>0</v>
      </c>
      <c r="H584" s="1">
        <f>IF(G584 + H583 &lt; 0, G584 + H583, 0)</f>
        <v>0</v>
      </c>
      <c r="I584" s="1">
        <v>0</v>
      </c>
      <c r="J584" s="1">
        <f>IF(I584 + J583 &lt; 0, I584 + J583, 0)</f>
        <v>0</v>
      </c>
      <c r="K584" s="1">
        <v>0</v>
      </c>
      <c r="L584" s="1">
        <f>IF(K584 + L583 &lt; 0, K584 + L583, 0)</f>
        <v>0</v>
      </c>
      <c r="M584" s="1">
        <v>0</v>
      </c>
      <c r="N584" s="1">
        <f>IF(M584 + N583 &lt; 0, M584 + N583, 0)</f>
        <v>0</v>
      </c>
      <c r="O584" s="1">
        <v>0</v>
      </c>
      <c r="P584" s="1">
        <f>IF(O584 + P583 &lt; 0, O584 + P583, 0)</f>
        <v>0</v>
      </c>
      <c r="Q584" s="1">
        <v>0</v>
      </c>
      <c r="R584" s="1">
        <f>IF(Q584 + R583 &lt; 0, Q584 + R583, 0)</f>
        <v>0</v>
      </c>
      <c r="S584" s="1">
        <v>0</v>
      </c>
      <c r="T584" s="1">
        <f>IF(S584 + T583 &lt; 0, S584 + T583, 0)</f>
        <v>0</v>
      </c>
    </row>
    <row r="585" spans="1:20" s="1" customFormat="1">
      <c r="A585" s="3">
        <v>45835</v>
      </c>
      <c r="B585" s="2" t="s">
        <v>15</v>
      </c>
      <c r="C585" s="2">
        <v>15</v>
      </c>
      <c r="D585" s="2">
        <v>20</v>
      </c>
      <c r="E585" s="1">
        <v>0</v>
      </c>
      <c r="F585" s="1">
        <f>IF(E585 + F584 &lt; 0, E585 + F584, 0)</f>
        <v>0</v>
      </c>
      <c r="G585" s="1">
        <v>0</v>
      </c>
      <c r="H585" s="1">
        <f>IF(G585 + H584 &lt; 0, G585 + H584, 0)</f>
        <v>0</v>
      </c>
      <c r="I585" s="1">
        <v>0</v>
      </c>
      <c r="J585" s="1">
        <f>IF(I585 + J584 &lt; 0, I585 + J584, 0)</f>
        <v>0</v>
      </c>
      <c r="K585" s="1">
        <v>0</v>
      </c>
      <c r="L585" s="1">
        <f>IF(K585 + L584 &lt; 0, K585 + L584, 0)</f>
        <v>0</v>
      </c>
      <c r="M585" s="1">
        <v>0</v>
      </c>
      <c r="N585" s="1">
        <f>IF(M585 + N584 &lt; 0, M585 + N584, 0)</f>
        <v>0</v>
      </c>
      <c r="O585" s="1">
        <v>0</v>
      </c>
      <c r="P585" s="1">
        <f>IF(O585 + P584 &lt; 0, O585 + P584, 0)</f>
        <v>0</v>
      </c>
      <c r="Q585" s="1">
        <v>0</v>
      </c>
      <c r="R585" s="1">
        <f>IF(Q585 + R584 &lt; 0, Q585 + R584, 0)</f>
        <v>0</v>
      </c>
      <c r="S585" s="1">
        <v>0</v>
      </c>
      <c r="T585" s="1">
        <f>IF(S585 + T584 &lt; 0, S585 + T584, 0)</f>
        <v>0</v>
      </c>
    </row>
    <row r="586" spans="1:20" s="1" customFormat="1">
      <c r="A586" s="3">
        <v>45838</v>
      </c>
      <c r="B586" s="2" t="s">
        <v>12</v>
      </c>
      <c r="C586" s="2">
        <v>14</v>
      </c>
      <c r="D586" s="2">
        <v>19</v>
      </c>
      <c r="E586" s="1">
        <v>0</v>
      </c>
      <c r="F586" s="1">
        <f>IF(E586 + F585 &lt; 0, E586 + F585, 0)</f>
        <v>0</v>
      </c>
      <c r="G586" s="1">
        <v>0</v>
      </c>
      <c r="H586" s="1">
        <f>IF(G586 + H585 &lt; 0, G586 + H585, 0)</f>
        <v>0</v>
      </c>
      <c r="I586" s="1">
        <v>0</v>
      </c>
      <c r="J586" s="1">
        <f>IF(I586 + J585 &lt; 0, I586 + J585, 0)</f>
        <v>0</v>
      </c>
      <c r="K586" s="1">
        <v>0</v>
      </c>
      <c r="L586" s="1">
        <f>IF(K586 + L585 &lt; 0, K586 + L585, 0)</f>
        <v>0</v>
      </c>
      <c r="M586" s="1">
        <v>0</v>
      </c>
      <c r="N586" s="1">
        <f>IF(M586 + N585 &lt; 0, M586 + N585, 0)</f>
        <v>0</v>
      </c>
      <c r="O586" s="1">
        <v>0</v>
      </c>
      <c r="P586" s="1">
        <f>IF(O586 + P585 &lt; 0, O586 + P585, 0)</f>
        <v>0</v>
      </c>
      <c r="Q586" s="1">
        <v>0</v>
      </c>
      <c r="R586" s="1">
        <f>IF(Q586 + R585 &lt; 0, Q586 + R585, 0)</f>
        <v>0</v>
      </c>
      <c r="S586" s="1">
        <v>0</v>
      </c>
      <c r="T586" s="1">
        <f>IF(S586 + T585 &lt; 0, S586 + T585, 0)</f>
        <v>0</v>
      </c>
    </row>
    <row r="587" spans="1:20" s="1" customFormat="1">
      <c r="A587" s="3">
        <v>45839</v>
      </c>
      <c r="B587" s="2" t="s">
        <v>13</v>
      </c>
      <c r="C587" s="2">
        <v>13</v>
      </c>
      <c r="D587" s="2">
        <v>18</v>
      </c>
      <c r="E587" s="1">
        <v>0</v>
      </c>
      <c r="F587" s="1">
        <f>IF(E587 + F586 &lt; 0, E587 + F586, 0)</f>
        <v>0</v>
      </c>
      <c r="G587" s="1">
        <v>0</v>
      </c>
      <c r="H587" s="1">
        <f>IF(G587 + H586 &lt; 0, G587 + H586, 0)</f>
        <v>0</v>
      </c>
      <c r="I587" s="1">
        <v>0</v>
      </c>
      <c r="J587" s="1">
        <f>IF(I587 + J586 &lt; 0, I587 + J586, 0)</f>
        <v>0</v>
      </c>
      <c r="K587" s="1">
        <v>0</v>
      </c>
      <c r="L587" s="1">
        <f>IF(K587 + L586 &lt; 0, K587 + L586, 0)</f>
        <v>0</v>
      </c>
      <c r="M587" s="1">
        <v>0</v>
      </c>
      <c r="N587" s="1">
        <f>IF(M587 + N586 &lt; 0, M587 + N586, 0)</f>
        <v>0</v>
      </c>
      <c r="O587" s="1">
        <v>0</v>
      </c>
      <c r="P587" s="1">
        <f>IF(O587 + P586 &lt; 0, O587 + P586, 0)</f>
        <v>0</v>
      </c>
      <c r="Q587" s="1">
        <v>0</v>
      </c>
      <c r="R587" s="1">
        <f>IF(Q587 + R586 &lt; 0, Q587 + R586, 0)</f>
        <v>0</v>
      </c>
      <c r="S587" s="1">
        <v>0</v>
      </c>
      <c r="T587" s="1">
        <f>IF(S587 + T586 &lt; 0, S587 + T586, 0)</f>
        <v>0</v>
      </c>
    </row>
    <row r="588" spans="1:20" s="1" customFormat="1">
      <c r="A588" s="3">
        <v>45840</v>
      </c>
      <c r="B588" s="2" t="s">
        <v>14</v>
      </c>
      <c r="C588" s="2">
        <v>12</v>
      </c>
      <c r="D588" s="2">
        <v>17</v>
      </c>
      <c r="E588" s="1">
        <v>0</v>
      </c>
      <c r="F588" s="1">
        <f>IF(E588 + F587 &lt; 0, E588 + F587, 0)</f>
        <v>0</v>
      </c>
      <c r="G588" s="1">
        <v>0</v>
      </c>
      <c r="H588" s="1">
        <f>IF(G588 + H587 &lt; 0, G588 + H587, 0)</f>
        <v>0</v>
      </c>
      <c r="I588" s="1">
        <v>0</v>
      </c>
      <c r="J588" s="1">
        <f>IF(I588 + J587 &lt; 0, I588 + J587, 0)</f>
        <v>0</v>
      </c>
      <c r="K588" s="1">
        <v>0</v>
      </c>
      <c r="L588" s="1">
        <f>IF(K588 + L587 &lt; 0, K588 + L587, 0)</f>
        <v>0</v>
      </c>
      <c r="M588" s="1">
        <v>0</v>
      </c>
      <c r="N588" s="1">
        <f>IF(M588 + N587 &lt; 0, M588 + N587, 0)</f>
        <v>0</v>
      </c>
      <c r="O588" s="1">
        <v>0</v>
      </c>
      <c r="P588" s="1">
        <f>IF(O588 + P587 &lt; 0, O588 + P587, 0)</f>
        <v>0</v>
      </c>
      <c r="Q588" s="1">
        <v>0</v>
      </c>
      <c r="R588" s="1">
        <f>IF(Q588 + R587 &lt; 0, Q588 + R587, 0)</f>
        <v>0</v>
      </c>
      <c r="S588" s="1">
        <v>0</v>
      </c>
      <c r="T588" s="1">
        <f>IF(S588 + T587 &lt; 0, S588 + T587, 0)</f>
        <v>0</v>
      </c>
    </row>
    <row r="589" spans="1:20" s="1" customFormat="1">
      <c r="A589" s="3">
        <v>45841</v>
      </c>
      <c r="B589" s="2" t="s">
        <v>16</v>
      </c>
      <c r="C589" s="2">
        <v>11</v>
      </c>
      <c r="D589" s="2">
        <v>16</v>
      </c>
      <c r="E589" s="1">
        <v>0</v>
      </c>
      <c r="F589" s="1">
        <f>IF(E589 + F588 &lt; 0, E589 + F588, 0)</f>
        <v>0</v>
      </c>
      <c r="G589" s="1">
        <v>0</v>
      </c>
      <c r="H589" s="1">
        <f>IF(G589 + H588 &lt; 0, G589 + H588, 0)</f>
        <v>0</v>
      </c>
      <c r="I589" s="1">
        <v>0</v>
      </c>
      <c r="J589" s="1">
        <f>IF(I589 + J588 &lt; 0, I589 + J588, 0)</f>
        <v>0</v>
      </c>
      <c r="K589" s="1">
        <v>0</v>
      </c>
      <c r="L589" s="1">
        <f>IF(K589 + L588 &lt; 0, K589 + L588, 0)</f>
        <v>0</v>
      </c>
      <c r="M589" s="1">
        <v>0</v>
      </c>
      <c r="N589" s="1">
        <f>IF(M589 + N588 &lt; 0, M589 + N588, 0)</f>
        <v>0</v>
      </c>
      <c r="O589" s="1">
        <v>0</v>
      </c>
      <c r="P589" s="1">
        <f>IF(O589 + P588 &lt; 0, O589 + P588, 0)</f>
        <v>0</v>
      </c>
      <c r="Q589" s="1">
        <v>0</v>
      </c>
      <c r="R589" s="1">
        <f>IF(Q589 + R588 &lt; 0, Q589 + R588, 0)</f>
        <v>0</v>
      </c>
      <c r="S589" s="1">
        <v>0</v>
      </c>
      <c r="T589" s="1">
        <f>IF(S589 + T588 &lt; 0, S589 + T588, 0)</f>
        <v>0</v>
      </c>
    </row>
    <row r="590" spans="1:20" s="1" customFormat="1">
      <c r="A590" s="3">
        <v>45842</v>
      </c>
      <c r="B590" s="2" t="s">
        <v>15</v>
      </c>
      <c r="C590" s="2">
        <v>10</v>
      </c>
      <c r="D590" s="2">
        <v>15</v>
      </c>
      <c r="E590" s="1">
        <v>142553.0674131094</v>
      </c>
      <c r="F590" s="1">
        <f>IF(E590 + F589 &lt; 0, E590 + F589, 0)</f>
        <v>0</v>
      </c>
      <c r="G590" s="1">
        <v>142553.0674131094</v>
      </c>
      <c r="H590" s="1">
        <f>IF(G590 + H589 &lt; 0, G590 + H589, 0)</f>
        <v>0</v>
      </c>
      <c r="I590" s="1">
        <v>142553.0674131094</v>
      </c>
      <c r="J590" s="1">
        <f>IF(I590 + J589 &lt; 0, I590 + J589, 0)</f>
        <v>0</v>
      </c>
      <c r="K590" s="1">
        <v>142553.0674131094</v>
      </c>
      <c r="L590" s="1">
        <f>IF(K590 + L589 &lt; 0, K590 + L589, 0)</f>
        <v>0</v>
      </c>
      <c r="M590" s="1">
        <v>0</v>
      </c>
      <c r="N590" s="1">
        <f>IF(M590 + N589 &lt; 0, M590 + N589, 0)</f>
        <v>0</v>
      </c>
      <c r="O590" s="1">
        <v>0</v>
      </c>
      <c r="P590" s="1">
        <f>IF(O590 + P589 &lt; 0, O590 + P589, 0)</f>
        <v>0</v>
      </c>
      <c r="Q590" s="1">
        <v>0</v>
      </c>
      <c r="R590" s="1">
        <f>IF(Q590 + R589 &lt; 0, Q590 + R589, 0)</f>
        <v>0</v>
      </c>
      <c r="S590" s="1">
        <v>0</v>
      </c>
      <c r="T590" s="1">
        <f>IF(S590 + T589 &lt; 0, S590 + T589, 0)</f>
        <v>0</v>
      </c>
    </row>
    <row r="591" spans="1:20" s="1" customFormat="1">
      <c r="A591" s="3">
        <v>45845</v>
      </c>
      <c r="B591" s="2" t="s">
        <v>12</v>
      </c>
      <c r="C591" s="2">
        <v>9</v>
      </c>
      <c r="D591" s="2">
        <v>14</v>
      </c>
      <c r="E591" s="1">
        <v>24678.27997489014</v>
      </c>
      <c r="F591" s="1">
        <f>IF(E591 + F590 &lt; 0, E591 + F590, 0)</f>
        <v>0</v>
      </c>
      <c r="G591" s="1">
        <v>24678.27997489014</v>
      </c>
      <c r="H591" s="1">
        <f>IF(G591 + H590 &lt; 0, G591 + H590, 0)</f>
        <v>0</v>
      </c>
      <c r="I591" s="1">
        <v>24678.27997489014</v>
      </c>
      <c r="J591" s="1">
        <f>IF(I591 + J590 &lt; 0, I591 + J590, 0)</f>
        <v>0</v>
      </c>
      <c r="K591" s="1">
        <v>24678.27997489014</v>
      </c>
      <c r="L591" s="1">
        <f>IF(K591 + L590 &lt; 0, K591 + L590, 0)</f>
        <v>0</v>
      </c>
      <c r="M591" s="1">
        <v>0</v>
      </c>
      <c r="N591" s="1">
        <f>IF(M591 + N590 &lt; 0, M591 + N590, 0)</f>
        <v>0</v>
      </c>
      <c r="O591" s="1">
        <v>0</v>
      </c>
      <c r="P591" s="1">
        <f>IF(O591 + P590 &lt; 0, O591 + P590, 0)</f>
        <v>0</v>
      </c>
      <c r="Q591" s="1">
        <v>0</v>
      </c>
      <c r="R591" s="1">
        <f>IF(Q591 + R590 &lt; 0, Q591 + R590, 0)</f>
        <v>0</v>
      </c>
      <c r="S591" s="1">
        <v>0</v>
      </c>
      <c r="T591" s="1">
        <f>IF(S591 + T590 &lt; 0, S591 + T590, 0)</f>
        <v>0</v>
      </c>
    </row>
    <row r="592" spans="1:20" s="1" customFormat="1">
      <c r="A592" s="3">
        <v>45846</v>
      </c>
      <c r="B592" s="2" t="s">
        <v>13</v>
      </c>
      <c r="C592" s="2">
        <v>8</v>
      </c>
      <c r="D592" s="2">
        <v>13</v>
      </c>
      <c r="E592" s="1">
        <v>-102980.316317543</v>
      </c>
      <c r="F592" s="1">
        <f>IF(E592 + F591 &lt; 0, E592 + F591, 0)</f>
        <v>0</v>
      </c>
      <c r="G592" s="1">
        <v>-3599.739593306014</v>
      </c>
      <c r="H592" s="1">
        <f>IF(G592 + H591 &lt; 0, G592 + H591, 0)</f>
        <v>0</v>
      </c>
      <c r="I592" s="1">
        <v>-3599.739593306014</v>
      </c>
      <c r="J592" s="1">
        <f>IF(I592 + J591 &lt; 0, I592 + J591, 0)</f>
        <v>0</v>
      </c>
      <c r="K592" s="1">
        <v>-3599.739593306014</v>
      </c>
      <c r="L592" s="1">
        <f>IF(K592 + L591 &lt; 0, K592 + L591, 0)</f>
        <v>0</v>
      </c>
      <c r="M592" s="1">
        <v>0</v>
      </c>
      <c r="N592" s="1">
        <f>IF(M592 + N591 &lt; 0, M592 + N591, 0)</f>
        <v>0</v>
      </c>
      <c r="O592" s="1">
        <v>0</v>
      </c>
      <c r="P592" s="1">
        <f>IF(O592 + P591 &lt; 0, O592 + P591, 0)</f>
        <v>0</v>
      </c>
      <c r="Q592" s="1">
        <v>0</v>
      </c>
      <c r="R592" s="1">
        <f>IF(Q592 + R591 &lt; 0, Q592 + R591, 0)</f>
        <v>0</v>
      </c>
      <c r="S592" s="1">
        <v>0</v>
      </c>
      <c r="T592" s="1">
        <f>IF(S592 + T591 &lt; 0, S592 + T591, 0)</f>
        <v>0</v>
      </c>
    </row>
    <row r="593" spans="1:20" s="1" customFormat="1">
      <c r="A593" s="3">
        <v>45847</v>
      </c>
      <c r="B593" s="2" t="s">
        <v>14</v>
      </c>
      <c r="C593" s="2">
        <v>7</v>
      </c>
      <c r="D593" s="2">
        <v>12</v>
      </c>
      <c r="E593" s="1">
        <v>59687.6303119906</v>
      </c>
      <c r="F593" s="1">
        <f>IF(E593 + F592 &lt; 0, E593 + F592, 0)</f>
        <v>0</v>
      </c>
      <c r="G593" s="1">
        <v>59687.6303119906</v>
      </c>
      <c r="H593" s="1">
        <f>IF(G593 + H592 &lt; 0, G593 + H592, 0)</f>
        <v>0</v>
      </c>
      <c r="I593" s="1">
        <v>59687.6303119906</v>
      </c>
      <c r="J593" s="1">
        <f>IF(I593 + J592 &lt; 0, I593 + J592, 0)</f>
        <v>0</v>
      </c>
      <c r="K593" s="1">
        <v>59687.6303119906</v>
      </c>
      <c r="L593" s="1">
        <f>IF(K593 + L592 &lt; 0, K593 + L592, 0)</f>
        <v>0</v>
      </c>
      <c r="M593" s="1">
        <v>0</v>
      </c>
      <c r="N593" s="1">
        <f>IF(M593 + N592 &lt; 0, M593 + N592, 0)</f>
        <v>0</v>
      </c>
      <c r="O593" s="1">
        <v>0</v>
      </c>
      <c r="P593" s="1">
        <f>IF(O593 + P592 &lt; 0, O593 + P592, 0)</f>
        <v>0</v>
      </c>
      <c r="Q593" s="1">
        <v>0</v>
      </c>
      <c r="R593" s="1">
        <f>IF(Q593 + R592 &lt; 0, Q593 + R592, 0)</f>
        <v>0</v>
      </c>
      <c r="S593" s="1">
        <v>0</v>
      </c>
      <c r="T593" s="1">
        <f>IF(S593 + T592 &lt; 0, S593 + T592, 0)</f>
        <v>0</v>
      </c>
    </row>
    <row r="594" spans="1:20" s="1" customFormat="1">
      <c r="A594" s="3">
        <v>45848</v>
      </c>
      <c r="B594" s="2" t="s">
        <v>16</v>
      </c>
      <c r="C594" s="2">
        <v>6</v>
      </c>
      <c r="D594" s="2">
        <v>11</v>
      </c>
      <c r="E594" s="1">
        <v>-3084.3108226094</v>
      </c>
      <c r="F594" s="1">
        <f>IF(E594 + F593 &lt; 0, E594 + F593, 0)</f>
        <v>0</v>
      </c>
      <c r="G594" s="1">
        <v>-94180.61724177201</v>
      </c>
      <c r="H594" s="1">
        <f>IF(G594 + H593 &lt; 0, G594 + H593, 0)</f>
        <v>0</v>
      </c>
      <c r="I594" s="1">
        <v>-94180.61724177201</v>
      </c>
      <c r="J594" s="1">
        <f>IF(I594 + J593 &lt; 0, I594 + J593, 0)</f>
        <v>0</v>
      </c>
      <c r="K594" s="1">
        <v>-94180.61724177201</v>
      </c>
      <c r="L594" s="1">
        <f>IF(K594 + L593 &lt; 0, K594 + L593, 0)</f>
        <v>0</v>
      </c>
      <c r="M594" s="1">
        <v>0</v>
      </c>
      <c r="N594" s="1">
        <f>IF(M594 + N593 &lt; 0, M594 + N593, 0)</f>
        <v>0</v>
      </c>
      <c r="O594" s="1">
        <v>0</v>
      </c>
      <c r="P594" s="1">
        <f>IF(O594 + P593 &lt; 0, O594 + P593, 0)</f>
        <v>0</v>
      </c>
      <c r="Q594" s="1">
        <v>0</v>
      </c>
      <c r="R594" s="1">
        <f>IF(Q594 + R593 &lt; 0, Q594 + R593, 0)</f>
        <v>0</v>
      </c>
      <c r="S594" s="1">
        <v>0</v>
      </c>
      <c r="T594" s="1">
        <f>IF(S594 + T593 &lt; 0, S594 + T593, 0)</f>
        <v>0</v>
      </c>
    </row>
    <row r="595" spans="1:20" s="1" customFormat="1">
      <c r="A595" s="3">
        <v>45849</v>
      </c>
      <c r="B595" s="2" t="s">
        <v>15</v>
      </c>
      <c r="C595" s="2">
        <v>5</v>
      </c>
      <c r="D595" s="2">
        <v>10</v>
      </c>
      <c r="E595" s="1">
        <v>-33359.13013195062</v>
      </c>
      <c r="F595" s="1">
        <f>IF(E595 + F594 &lt; 0, E595 + F594, 0)</f>
        <v>0</v>
      </c>
      <c r="G595" s="1">
        <v>-195195.0237975467</v>
      </c>
      <c r="H595" s="1">
        <f>IF(G595 + H594 &lt; 0, G595 + H594, 0)</f>
        <v>0</v>
      </c>
      <c r="I595" s="1">
        <v>-179526.3707773865</v>
      </c>
      <c r="J595" s="1">
        <f>IF(I595 + J594 &lt; 0, I595 + J594, 0)</f>
        <v>0</v>
      </c>
      <c r="K595" s="1">
        <v>-179526.3707773865</v>
      </c>
      <c r="L595" s="1">
        <f>IF(K595 + L594 &lt; 0, K595 + L594, 0)</f>
        <v>0</v>
      </c>
      <c r="M595" s="1">
        <v>0</v>
      </c>
      <c r="N595" s="1">
        <f>IF(M595 + N594 &lt; 0, M595 + N594, 0)</f>
        <v>0</v>
      </c>
      <c r="O595" s="1">
        <v>0</v>
      </c>
      <c r="P595" s="1">
        <f>IF(O595 + P594 &lt; 0, O595 + P594, 0)</f>
        <v>0</v>
      </c>
      <c r="Q595" s="1">
        <v>0</v>
      </c>
      <c r="R595" s="1">
        <f>IF(Q595 + R594 &lt; 0, Q595 + R594, 0)</f>
        <v>0</v>
      </c>
      <c r="S595" s="1">
        <v>0</v>
      </c>
      <c r="T595" s="1">
        <f>IF(S595 + T594 &lt; 0, S595 + T594, 0)</f>
        <v>0</v>
      </c>
    </row>
    <row r="596" spans="1:20" s="1" customFormat="1">
      <c r="A596" s="3">
        <v>45852</v>
      </c>
      <c r="B596" s="2" t="s">
        <v>12</v>
      </c>
      <c r="C596" s="2">
        <v>4</v>
      </c>
      <c r="D596" s="2">
        <v>9</v>
      </c>
      <c r="E596" s="1">
        <v>254927.4952919021</v>
      </c>
      <c r="F596" s="1">
        <f>IF(E596 + F595 &lt; 0, E596 + F595, 0)</f>
        <v>0</v>
      </c>
      <c r="G596" s="1">
        <v>-31889.83050847463</v>
      </c>
      <c r="H596" s="1">
        <f>IF(G596 + H595 &lt; 0, G596 + H595, 0)</f>
        <v>0</v>
      </c>
      <c r="I596" s="1">
        <v>-62956.68549905842</v>
      </c>
      <c r="J596" s="1">
        <f>IF(I596 + J595 &lt; 0, I596 + J595, 0)</f>
        <v>0</v>
      </c>
      <c r="K596" s="1">
        <v>-62956.68549905842</v>
      </c>
      <c r="L596" s="1">
        <f>IF(K596 + L595 &lt; 0, K596 + L595, 0)</f>
        <v>0</v>
      </c>
      <c r="M596" s="1">
        <v>0</v>
      </c>
      <c r="N596" s="1">
        <f>IF(M596 + N595 &lt; 0, M596 + N595, 0)</f>
        <v>0</v>
      </c>
      <c r="O596" s="1">
        <v>0</v>
      </c>
      <c r="P596" s="1">
        <f>IF(O596 + P595 &lt; 0, O596 + P595, 0)</f>
        <v>0</v>
      </c>
      <c r="Q596" s="1">
        <v>0</v>
      </c>
      <c r="R596" s="1">
        <f>IF(Q596 + R595 &lt; 0, Q596 + R595, 0)</f>
        <v>0</v>
      </c>
      <c r="S596" s="1">
        <v>0</v>
      </c>
      <c r="T596" s="1">
        <f>IF(S596 + T595 &lt; 0, S596 + T595, 0)</f>
        <v>0</v>
      </c>
    </row>
    <row r="597" spans="1:20" s="1" customFormat="1">
      <c r="A597" s="3">
        <v>45853</v>
      </c>
      <c r="B597" s="2" t="s">
        <v>13</v>
      </c>
      <c r="C597" s="2">
        <v>3</v>
      </c>
      <c r="D597" s="2">
        <v>8</v>
      </c>
      <c r="E597" s="1">
        <v>145270.6629984113</v>
      </c>
      <c r="F597" s="1">
        <f>IF(E597 + F596 &lt; 0, E597 + F596, 0)</f>
        <v>0</v>
      </c>
      <c r="G597" s="1">
        <v>145270.6629984113</v>
      </c>
      <c r="H597" s="1">
        <f>IF(G597 + H596 &lt; 0, G597 + H596, 0)</f>
        <v>0</v>
      </c>
      <c r="I597" s="1">
        <v>145270.6629984113</v>
      </c>
      <c r="J597" s="1">
        <f>IF(I597 + J596 &lt; 0, I597 + J596, 0)</f>
        <v>0</v>
      </c>
      <c r="K597" s="1">
        <v>145270.6629984113</v>
      </c>
      <c r="L597" s="1">
        <f>IF(K597 + L596 &lt; 0, K597 + L596, 0)</f>
        <v>0</v>
      </c>
      <c r="M597" s="1">
        <v>0</v>
      </c>
      <c r="N597" s="1">
        <f>IF(M597 + N596 &lt; 0, M597 + N596, 0)</f>
        <v>0</v>
      </c>
      <c r="O597" s="1">
        <v>0</v>
      </c>
      <c r="P597" s="1">
        <f>IF(O597 + P596 &lt; 0, O597 + P596, 0)</f>
        <v>0</v>
      </c>
      <c r="Q597" s="1">
        <v>0</v>
      </c>
      <c r="R597" s="1">
        <f>IF(Q597 + R596 &lt; 0, Q597 + R596, 0)</f>
        <v>0</v>
      </c>
      <c r="S597" s="1">
        <v>0</v>
      </c>
      <c r="T597" s="1">
        <f>IF(S597 + T596 &lt; 0, S597 + T596, 0)</f>
        <v>0</v>
      </c>
    </row>
    <row r="598" spans="1:20" s="1" customFormat="1">
      <c r="A598" s="3">
        <v>45854</v>
      </c>
      <c r="B598" s="2" t="s">
        <v>14</v>
      </c>
      <c r="C598" s="2">
        <v>2</v>
      </c>
      <c r="D598" s="2">
        <v>7</v>
      </c>
      <c r="E598" s="1">
        <v>-7034.456058846306</v>
      </c>
      <c r="F598" s="1">
        <f>IF(E598 + F597 &lt; 0, E598 + F597, 0)</f>
        <v>0</v>
      </c>
      <c r="G598" s="1">
        <v>94676.73248161054</v>
      </c>
      <c r="H598" s="1">
        <f>IF(G598 + H597 &lt; 0, G598 + H597, 0)</f>
        <v>0</v>
      </c>
      <c r="I598" s="1">
        <v>94676.73248161054</v>
      </c>
      <c r="J598" s="1">
        <f>IF(I598 + J597 &lt; 0, I598 + J597, 0)</f>
        <v>0</v>
      </c>
      <c r="K598" s="1">
        <v>94676.73248161054</v>
      </c>
      <c r="L598" s="1">
        <f>IF(K598 + L597 &lt; 0, K598 + L597, 0)</f>
        <v>0</v>
      </c>
      <c r="M598" s="1">
        <v>0</v>
      </c>
      <c r="N598" s="1">
        <f>IF(M598 + N597 &lt; 0, M598 + N597, 0)</f>
        <v>0</v>
      </c>
      <c r="O598" s="1">
        <v>0</v>
      </c>
      <c r="P598" s="1">
        <f>IF(O598 + P597 &lt; 0, O598 + P597, 0)</f>
        <v>0</v>
      </c>
      <c r="Q598" s="1">
        <v>0</v>
      </c>
      <c r="R598" s="1">
        <f>IF(Q598 + R597 &lt; 0, Q598 + R597, 0)</f>
        <v>0</v>
      </c>
      <c r="S598" s="1">
        <v>0</v>
      </c>
      <c r="T598" s="1">
        <f>IF(S598 + T597 &lt; 0, S598 + T597, 0)</f>
        <v>0</v>
      </c>
    </row>
    <row r="599" spans="1:20" s="1" customFormat="1">
      <c r="A599" s="3">
        <v>45855</v>
      </c>
      <c r="B599" s="2" t="s">
        <v>16</v>
      </c>
      <c r="C599" s="2">
        <v>1</v>
      </c>
      <c r="D599" s="2">
        <v>6</v>
      </c>
      <c r="E599" s="1">
        <v>-60515.11281396338</v>
      </c>
      <c r="F599" s="1">
        <f>IF(E599 + F598 &lt; 0, E599 + F598, 0)</f>
        <v>0</v>
      </c>
      <c r="G599" s="1">
        <v>150027.0908316885</v>
      </c>
      <c r="H599" s="1">
        <f>IF(G599 + H598 &lt; 0, G599 + H598, 0)</f>
        <v>0</v>
      </c>
      <c r="I599" s="1">
        <v>161635.5122102248</v>
      </c>
      <c r="J599" s="1">
        <f>IF(I599 + J598 &lt; 0, I599 + J598, 0)</f>
        <v>0</v>
      </c>
      <c r="K599" s="1">
        <v>161635.5122102248</v>
      </c>
      <c r="L599" s="1">
        <f>IF(K599 + L598 &lt; 0, K599 + L598, 0)</f>
        <v>0</v>
      </c>
      <c r="M599" s="1">
        <v>37963.46782988004</v>
      </c>
      <c r="N599" s="1">
        <f>IF(M599 + N598 &lt; 0, M599 + N598, 0)</f>
        <v>0</v>
      </c>
      <c r="O599" s="1">
        <v>37963.46782988004</v>
      </c>
      <c r="P599" s="1">
        <f>IF(O599 + P598 &lt; 0, O599 + P598, 0)</f>
        <v>0</v>
      </c>
      <c r="Q599" s="1">
        <v>37963.46782988004</v>
      </c>
      <c r="R599" s="1">
        <f>IF(Q599 + R598 &lt; 0, Q599 + R598, 0)</f>
        <v>0</v>
      </c>
      <c r="S599" s="1">
        <v>37963.46782988004</v>
      </c>
      <c r="T599" s="1">
        <f>IF(S599 + T598 &lt; 0, S599 + T598, 0)</f>
        <v>0</v>
      </c>
    </row>
    <row r="600" spans="1:20" s="1" customFormat="1">
      <c r="A600" s="3">
        <v>45856</v>
      </c>
      <c r="B600" s="2" t="s">
        <v>15</v>
      </c>
      <c r="C600" s="2">
        <v>20</v>
      </c>
      <c r="D600" s="2">
        <v>5</v>
      </c>
      <c r="E600" s="1">
        <v>0</v>
      </c>
      <c r="F600" s="1">
        <f>IF(E600 + F599 &lt; 0, E600 + F599, 0)</f>
        <v>0</v>
      </c>
      <c r="G600" s="1">
        <v>0</v>
      </c>
      <c r="H600" s="1">
        <f>IF(G600 + H599 &lt; 0, G600 + H599, 0)</f>
        <v>0</v>
      </c>
      <c r="I600" s="1">
        <v>0</v>
      </c>
      <c r="J600" s="1">
        <f>IF(I600 + J599 &lt; 0, I600 + J599, 0)</f>
        <v>0</v>
      </c>
      <c r="K600" s="1">
        <v>0</v>
      </c>
      <c r="L600" s="1">
        <f>IF(K600 + L599 &lt; 0, K600 + L599, 0)</f>
        <v>0</v>
      </c>
      <c r="M600" s="1">
        <v>65154.83694162785</v>
      </c>
      <c r="N600" s="1">
        <f>IF(M600 + N599 &lt; 0, M600 + N599, 0)</f>
        <v>0</v>
      </c>
      <c r="O600" s="1">
        <v>65154.83694162785</v>
      </c>
      <c r="P600" s="1">
        <f>IF(O600 + P599 &lt; 0, O600 + P599, 0)</f>
        <v>0</v>
      </c>
      <c r="Q600" s="1">
        <v>65154.83694162785</v>
      </c>
      <c r="R600" s="1">
        <f>IF(Q600 + R599 &lt; 0, Q600 + R599, 0)</f>
        <v>0</v>
      </c>
      <c r="S600" s="1">
        <v>65154.83694162785</v>
      </c>
      <c r="T600" s="1">
        <f>IF(S600 + T599 &lt; 0, S600 + T599, 0)</f>
        <v>0</v>
      </c>
    </row>
    <row r="601" spans="1:20" s="1" customFormat="1">
      <c r="A601" s="3">
        <v>45859</v>
      </c>
      <c r="B601" s="2" t="s">
        <v>12</v>
      </c>
      <c r="C601" s="2">
        <v>19</v>
      </c>
      <c r="D601" s="2">
        <v>4</v>
      </c>
      <c r="E601" s="1">
        <v>0</v>
      </c>
      <c r="F601" s="1">
        <f>IF(E601 + F600 &lt; 0, E601 + F600, 0)</f>
        <v>0</v>
      </c>
      <c r="G601" s="1">
        <v>0</v>
      </c>
      <c r="H601" s="1">
        <f>IF(G601 + H600 &lt; 0, G601 + H600, 0)</f>
        <v>0</v>
      </c>
      <c r="I601" s="1">
        <v>0</v>
      </c>
      <c r="J601" s="1">
        <f>IF(I601 + J600 &lt; 0, I601 + J600, 0)</f>
        <v>0</v>
      </c>
      <c r="K601" s="1">
        <v>0</v>
      </c>
      <c r="L601" s="1">
        <f>IF(K601 + L600 &lt; 0, K601 + L600, 0)</f>
        <v>0</v>
      </c>
      <c r="M601" s="1">
        <v>24715.09971509971</v>
      </c>
      <c r="N601" s="1">
        <f>IF(M601 + N600 &lt; 0, M601 + N600, 0)</f>
        <v>0</v>
      </c>
      <c r="O601" s="1">
        <v>24715.09971509971</v>
      </c>
      <c r="P601" s="1">
        <f>IF(O601 + P600 &lt; 0, O601 + P600, 0)</f>
        <v>0</v>
      </c>
      <c r="Q601" s="1">
        <v>24715.09971509971</v>
      </c>
      <c r="R601" s="1">
        <f>IF(Q601 + R600 &lt; 0, Q601 + R600, 0)</f>
        <v>0</v>
      </c>
      <c r="S601" s="1">
        <v>24715.09971509971</v>
      </c>
      <c r="T601" s="1">
        <f>IF(S601 + T600 &lt; 0, S601 + T600, 0)</f>
        <v>0</v>
      </c>
    </row>
    <row r="602" spans="1:20" s="1" customFormat="1">
      <c r="A602" s="3">
        <v>45860</v>
      </c>
      <c r="B602" s="2" t="s">
        <v>13</v>
      </c>
      <c r="C602" s="2">
        <v>18</v>
      </c>
      <c r="D602" s="2">
        <v>3</v>
      </c>
      <c r="E602" s="1">
        <v>0</v>
      </c>
      <c r="F602" s="1">
        <f>IF(E602 + F601 &lt; 0, E602 + F601, 0)</f>
        <v>0</v>
      </c>
      <c r="G602" s="1">
        <v>0</v>
      </c>
      <c r="H602" s="1">
        <f>IF(G602 + H601 &lt; 0, G602 + H601, 0)</f>
        <v>0</v>
      </c>
      <c r="I602" s="1">
        <v>0</v>
      </c>
      <c r="J602" s="1">
        <f>IF(I602 + J601 &lt; 0, I602 + J601, 0)</f>
        <v>0</v>
      </c>
      <c r="K602" s="1">
        <v>0</v>
      </c>
      <c r="L602" s="1">
        <f>IF(K602 + L601 &lt; 0, K602 + L601, 0)</f>
        <v>0</v>
      </c>
      <c r="M602" s="1">
        <v>77136.19130941966</v>
      </c>
      <c r="N602" s="1">
        <f>IF(M602 + N601 &lt; 0, M602 + N601, 0)</f>
        <v>0</v>
      </c>
      <c r="O602" s="1">
        <v>77136.19130941966</v>
      </c>
      <c r="P602" s="1">
        <f>IF(O602 + P601 &lt; 0, O602 + P601, 0)</f>
        <v>0</v>
      </c>
      <c r="Q602" s="1">
        <v>77136.19130941966</v>
      </c>
      <c r="R602" s="1">
        <f>IF(Q602 + R601 &lt; 0, Q602 + R601, 0)</f>
        <v>0</v>
      </c>
      <c r="S602" s="1">
        <v>77136.19130941966</v>
      </c>
      <c r="T602" s="1">
        <f>IF(S602 + T601 &lt; 0, S602 + T601, 0)</f>
        <v>0</v>
      </c>
    </row>
    <row r="603" spans="1:20" s="1" customFormat="1">
      <c r="A603" s="3">
        <v>45861</v>
      </c>
      <c r="B603" s="2" t="s">
        <v>14</v>
      </c>
      <c r="C603" s="2">
        <v>17</v>
      </c>
      <c r="D603" s="2">
        <v>2</v>
      </c>
      <c r="E603" s="1">
        <v>0</v>
      </c>
      <c r="F603" s="1">
        <f>IF(E603 + F602 &lt; 0, E603 + F602, 0)</f>
        <v>0</v>
      </c>
      <c r="G603" s="1">
        <v>0</v>
      </c>
      <c r="H603" s="1">
        <f>IF(G603 + H602 &lt; 0, G603 + H602, 0)</f>
        <v>0</v>
      </c>
      <c r="I603" s="1">
        <v>0</v>
      </c>
      <c r="J603" s="1">
        <f>IF(I603 + J602 &lt; 0, I603 + J602, 0)</f>
        <v>0</v>
      </c>
      <c r="K603" s="1">
        <v>0</v>
      </c>
      <c r="L603" s="1">
        <f>IF(K603 + L602 &lt; 0, K603 + L602, 0)</f>
        <v>0</v>
      </c>
      <c r="M603" s="1">
        <v>-19517.80415430267</v>
      </c>
      <c r="N603" s="1">
        <f>IF(M603 + N602 &lt; 0, M603 + N602, 0)</f>
        <v>0</v>
      </c>
      <c r="O603" s="1">
        <v>-75155.78635014837</v>
      </c>
      <c r="P603" s="1">
        <f>IF(O603 + P602 &lt; 0, O603 + P602, 0)</f>
        <v>0</v>
      </c>
      <c r="Q603" s="1">
        <v>-134543.7685459941</v>
      </c>
      <c r="R603" s="1">
        <f>IF(Q603 + R602 &lt; 0, Q603 + R602, 0)</f>
        <v>0</v>
      </c>
      <c r="S603" s="1">
        <v>-134543.7685459941</v>
      </c>
      <c r="T603" s="1">
        <f>IF(S603 + T602 &lt; 0, S603 + T602, 0)</f>
        <v>0</v>
      </c>
    </row>
    <row r="604" spans="1:20" s="1" customFormat="1">
      <c r="A604" s="3">
        <v>45862</v>
      </c>
      <c r="B604" s="2" t="s">
        <v>16</v>
      </c>
      <c r="C604" s="2">
        <v>16</v>
      </c>
      <c r="D604" s="2">
        <v>1</v>
      </c>
      <c r="E604" s="1">
        <v>0</v>
      </c>
      <c r="F604" s="1">
        <f>IF(E604 + F603 &lt; 0, E604 + F603, 0)</f>
        <v>0</v>
      </c>
      <c r="G604" s="1">
        <v>0</v>
      </c>
      <c r="H604" s="1">
        <f>IF(G604 + H603 &lt; 0, G604 + H603, 0)</f>
        <v>0</v>
      </c>
      <c r="I604" s="1">
        <v>0</v>
      </c>
      <c r="J604" s="1">
        <f>IF(I604 + J603 &lt; 0, I604 + J603, 0)</f>
        <v>0</v>
      </c>
      <c r="K604" s="1">
        <v>0</v>
      </c>
      <c r="L604" s="1">
        <f>IF(K604 + L603 &lt; 0, K604 + L603, 0)</f>
        <v>0</v>
      </c>
      <c r="M604" s="1">
        <v>22129.80318650421</v>
      </c>
      <c r="N604" s="1">
        <f>IF(M604 + N603 &lt; 0, M604 + N603, 0)</f>
        <v>0</v>
      </c>
      <c r="O604" s="1">
        <v>-42303.18650421743</v>
      </c>
      <c r="P604" s="1">
        <f>IF(O604 + P603 &lt; 0, O604 + P603, 0)</f>
        <v>0</v>
      </c>
      <c r="Q604" s="1">
        <v>101366.7603873789</v>
      </c>
      <c r="R604" s="1">
        <f>IF(Q604 + R603 &lt; 0, Q604 + R603, 0)</f>
        <v>0</v>
      </c>
      <c r="S604" s="1">
        <v>101366.7603873789</v>
      </c>
      <c r="T604" s="1">
        <f>IF(S604 + T603 &lt; 0, S604 + T603, 0)</f>
        <v>0</v>
      </c>
    </row>
    <row r="605" spans="1:20" s="1" customFormat="1">
      <c r="A605" s="3">
        <v>45863</v>
      </c>
      <c r="B605" s="2" t="s">
        <v>15</v>
      </c>
      <c r="C605" s="2">
        <v>15</v>
      </c>
      <c r="D605" s="2">
        <v>20</v>
      </c>
      <c r="E605" s="1">
        <v>0</v>
      </c>
      <c r="F605" s="1">
        <f>IF(E605 + F604 &lt; 0, E605 + F604, 0)</f>
        <v>0</v>
      </c>
      <c r="G605" s="1">
        <v>0</v>
      </c>
      <c r="H605" s="1">
        <f>IF(G605 + H604 &lt; 0, G605 + H604, 0)</f>
        <v>0</v>
      </c>
      <c r="I605" s="1">
        <v>0</v>
      </c>
      <c r="J605" s="1">
        <f>IF(I605 + J604 &lt; 0, I605 + J604, 0)</f>
        <v>0</v>
      </c>
      <c r="K605" s="1">
        <v>0</v>
      </c>
      <c r="L605" s="1">
        <f>IF(K605 + L604 &lt; 0, K605 + L604, 0)</f>
        <v>0</v>
      </c>
      <c r="M605" s="1">
        <v>0</v>
      </c>
      <c r="N605" s="1">
        <f>IF(M605 + N604 &lt; 0, M605 + N604, 0)</f>
        <v>0</v>
      </c>
      <c r="O605" s="1">
        <v>0</v>
      </c>
      <c r="P605" s="1">
        <f>IF(O605 + P604 &lt; 0, O605 + P604, 0)</f>
        <v>0</v>
      </c>
      <c r="Q605" s="1">
        <v>0</v>
      </c>
      <c r="R605" s="1">
        <f>IF(Q605 + R604 &lt; 0, Q605 + R604, 0)</f>
        <v>0</v>
      </c>
      <c r="S605" s="1">
        <v>0</v>
      </c>
      <c r="T605" s="1">
        <f>IF(S605 + T604 &lt; 0, S605 + T604, 0)</f>
        <v>0</v>
      </c>
    </row>
    <row r="606" spans="1:20" s="1" customFormat="1">
      <c r="A606" s="3">
        <v>45866</v>
      </c>
      <c r="B606" s="2" t="s">
        <v>12</v>
      </c>
      <c r="C606" s="2">
        <v>14</v>
      </c>
      <c r="D606" s="2">
        <v>19</v>
      </c>
      <c r="E606" s="1">
        <v>0</v>
      </c>
      <c r="F606" s="1">
        <f>IF(E606 + F605 &lt; 0, E606 + F605, 0)</f>
        <v>0</v>
      </c>
      <c r="G606" s="1">
        <v>0</v>
      </c>
      <c r="H606" s="1">
        <f>IF(G606 + H605 &lt; 0, G606 + H605, 0)</f>
        <v>0</v>
      </c>
      <c r="I606" s="1">
        <v>0</v>
      </c>
      <c r="J606" s="1">
        <f>IF(I606 + J605 &lt; 0, I606 + J605, 0)</f>
        <v>0</v>
      </c>
      <c r="K606" s="1">
        <v>0</v>
      </c>
      <c r="L606" s="1">
        <f>IF(K606 + L605 &lt; 0, K606 + L605, 0)</f>
        <v>0</v>
      </c>
      <c r="M606" s="1">
        <v>0</v>
      </c>
      <c r="N606" s="1">
        <f>IF(M606 + N605 &lt; 0, M606 + N605, 0)</f>
        <v>0</v>
      </c>
      <c r="O606" s="1">
        <v>0</v>
      </c>
      <c r="P606" s="1">
        <f>IF(O606 + P605 &lt; 0, O606 + P605, 0)</f>
        <v>0</v>
      </c>
      <c r="Q606" s="1">
        <v>0</v>
      </c>
      <c r="R606" s="1">
        <f>IF(Q606 + R605 &lt; 0, Q606 + R605, 0)</f>
        <v>0</v>
      </c>
      <c r="S606" s="1">
        <v>0</v>
      </c>
      <c r="T606" s="1">
        <f>IF(S606 + T605 &lt; 0, S606 + T605, 0)</f>
        <v>0</v>
      </c>
    </row>
    <row r="607" spans="1:20" s="1" customFormat="1">
      <c r="A607" s="3">
        <v>45867</v>
      </c>
      <c r="B607" s="2" t="s">
        <v>13</v>
      </c>
      <c r="C607" s="2">
        <v>13</v>
      </c>
      <c r="D607" s="2">
        <v>18</v>
      </c>
      <c r="E607" s="1">
        <v>0</v>
      </c>
      <c r="F607" s="1">
        <f>IF(E607 + F606 &lt; 0, E607 + F606, 0)</f>
        <v>0</v>
      </c>
      <c r="G607" s="1">
        <v>0</v>
      </c>
      <c r="H607" s="1">
        <f>IF(G607 + H606 &lt; 0, G607 + H606, 0)</f>
        <v>0</v>
      </c>
      <c r="I607" s="1">
        <v>0</v>
      </c>
      <c r="J607" s="1">
        <f>IF(I607 + J606 &lt; 0, I607 + J606, 0)</f>
        <v>0</v>
      </c>
      <c r="K607" s="1">
        <v>0</v>
      </c>
      <c r="L607" s="1">
        <f>IF(K607 + L606 &lt; 0, K607 + L606, 0)</f>
        <v>0</v>
      </c>
      <c r="M607" s="1">
        <v>0</v>
      </c>
      <c r="N607" s="1">
        <f>IF(M607 + N606 &lt; 0, M607 + N606, 0)</f>
        <v>0</v>
      </c>
      <c r="O607" s="1">
        <v>0</v>
      </c>
      <c r="P607" s="1">
        <f>IF(O607 + P606 &lt; 0, O607 + P606, 0)</f>
        <v>0</v>
      </c>
      <c r="Q607" s="1">
        <v>0</v>
      </c>
      <c r="R607" s="1">
        <f>IF(Q607 + R606 &lt; 0, Q607 + R606, 0)</f>
        <v>0</v>
      </c>
      <c r="S607" s="1">
        <v>0</v>
      </c>
      <c r="T607" s="1">
        <f>IF(S607 + T606 &lt; 0, S607 + T606, 0)</f>
        <v>0</v>
      </c>
    </row>
    <row r="608" spans="1:20" s="1" customFormat="1">
      <c r="A608" s="3">
        <v>45868</v>
      </c>
      <c r="B608" s="2" t="s">
        <v>14</v>
      </c>
      <c r="C608" s="2">
        <v>12</v>
      </c>
      <c r="D608" s="2">
        <v>17</v>
      </c>
      <c r="E608" s="1">
        <v>0</v>
      </c>
      <c r="F608" s="1">
        <f>IF(E608 + F607 &lt; 0, E608 + F607, 0)</f>
        <v>0</v>
      </c>
      <c r="G608" s="1">
        <v>0</v>
      </c>
      <c r="H608" s="1">
        <f>IF(G608 + H607 &lt; 0, G608 + H607, 0)</f>
        <v>0</v>
      </c>
      <c r="I608" s="1">
        <v>0</v>
      </c>
      <c r="J608" s="1">
        <f>IF(I608 + J607 &lt; 0, I608 + J607, 0)</f>
        <v>0</v>
      </c>
      <c r="K608" s="1">
        <v>0</v>
      </c>
      <c r="L608" s="1">
        <f>IF(K608 + L607 &lt; 0, K608 + L607, 0)</f>
        <v>0</v>
      </c>
      <c r="M608" s="1">
        <v>0</v>
      </c>
      <c r="N608" s="1">
        <f>IF(M608 + N607 &lt; 0, M608 + N607, 0)</f>
        <v>0</v>
      </c>
      <c r="O608" s="1">
        <v>0</v>
      </c>
      <c r="P608" s="1">
        <f>IF(O608 + P607 &lt; 0, O608 + P607, 0)</f>
        <v>0</v>
      </c>
      <c r="Q608" s="1">
        <v>0</v>
      </c>
      <c r="R608" s="1">
        <f>IF(Q608 + R607 &lt; 0, Q608 + R607, 0)</f>
        <v>0</v>
      </c>
      <c r="S608" s="1">
        <v>0</v>
      </c>
      <c r="T608" s="1">
        <f>IF(S608 + T607 &lt; 0, S608 + T607, 0)</f>
        <v>0</v>
      </c>
    </row>
    <row r="609" spans="1:20" s="1" customFormat="1">
      <c r="A609" s="3">
        <v>45869</v>
      </c>
      <c r="B609" s="2" t="s">
        <v>16</v>
      </c>
      <c r="C609" s="2">
        <v>11</v>
      </c>
      <c r="D609" s="2">
        <v>16</v>
      </c>
      <c r="E609" s="1">
        <v>0</v>
      </c>
      <c r="F609" s="1">
        <f>IF(E609 + F608 &lt; 0, E609 + F608, 0)</f>
        <v>0</v>
      </c>
      <c r="G609" s="1">
        <v>0</v>
      </c>
      <c r="H609" s="1">
        <f>IF(G609 + H608 &lt; 0, G609 + H608, 0)</f>
        <v>0</v>
      </c>
      <c r="I609" s="1">
        <v>0</v>
      </c>
      <c r="J609" s="1">
        <f>IF(I609 + J608 &lt; 0, I609 + J608, 0)</f>
        <v>0</v>
      </c>
      <c r="K609" s="1">
        <v>0</v>
      </c>
      <c r="L609" s="1">
        <f>IF(K609 + L608 &lt; 0, K609 + L608, 0)</f>
        <v>0</v>
      </c>
      <c r="M609" s="1">
        <v>0</v>
      </c>
      <c r="N609" s="1">
        <f>IF(M609 + N608 &lt; 0, M609 + N608, 0)</f>
        <v>0</v>
      </c>
      <c r="O609" s="1">
        <v>0</v>
      </c>
      <c r="P609" s="1">
        <f>IF(O609 + P608 &lt; 0, O609 + P608, 0)</f>
        <v>0</v>
      </c>
      <c r="Q609" s="1">
        <v>0</v>
      </c>
      <c r="R609" s="1">
        <f>IF(Q609 + R608 &lt; 0, Q609 + R608, 0)</f>
        <v>0</v>
      </c>
      <c r="S609" s="1">
        <v>0</v>
      </c>
      <c r="T609" s="1">
        <f>IF(S609 + T608 &lt; 0, S609 + T608, 0)</f>
        <v>0</v>
      </c>
    </row>
    <row r="610" spans="1:20" s="1" customFormat="1">
      <c r="A610" s="3">
        <v>45870</v>
      </c>
      <c r="B610" s="2" t="s">
        <v>15</v>
      </c>
      <c r="C610" s="2">
        <v>10</v>
      </c>
      <c r="D610" s="2">
        <v>15</v>
      </c>
      <c r="E610" s="1">
        <v>-46471.12573099413</v>
      </c>
      <c r="F610" s="1">
        <f>IF(E610 + F609 &lt; 0, E610 + F609, 0)</f>
        <v>0</v>
      </c>
      <c r="G610" s="1">
        <v>35398.39181286548</v>
      </c>
      <c r="H610" s="1">
        <f>IF(G610 + H609 &lt; 0, G610 + H609, 0)</f>
        <v>0</v>
      </c>
      <c r="I610" s="1">
        <v>35398.39181286548</v>
      </c>
      <c r="J610" s="1">
        <f>IF(I610 + J609 &lt; 0, I610 + J609, 0)</f>
        <v>0</v>
      </c>
      <c r="K610" s="1">
        <v>35398.39181286548</v>
      </c>
      <c r="L610" s="1">
        <f>IF(K610 + L609 &lt; 0, K610 + L609, 0)</f>
        <v>0</v>
      </c>
      <c r="M610" s="1">
        <v>0</v>
      </c>
      <c r="N610" s="1">
        <f>IF(M610 + N609 &lt; 0, M610 + N609, 0)</f>
        <v>0</v>
      </c>
      <c r="O610" s="1">
        <v>0</v>
      </c>
      <c r="P610" s="1">
        <f>IF(O610 + P609 &lt; 0, O610 + P609, 0)</f>
        <v>0</v>
      </c>
      <c r="Q610" s="1">
        <v>0</v>
      </c>
      <c r="R610" s="1">
        <f>IF(Q610 + R609 &lt; 0, Q610 + R609, 0)</f>
        <v>0</v>
      </c>
      <c r="S610" s="1">
        <v>0</v>
      </c>
      <c r="T610" s="1">
        <f>IF(S610 + T609 &lt; 0, S610 + T609, 0)</f>
        <v>0</v>
      </c>
    </row>
    <row r="611" spans="1:20" s="1" customFormat="1">
      <c r="A611" s="3">
        <v>45873</v>
      </c>
      <c r="B611" s="2" t="s">
        <v>12</v>
      </c>
      <c r="C611" s="2">
        <v>9</v>
      </c>
      <c r="D611" s="2">
        <v>14</v>
      </c>
      <c r="E611" s="1">
        <v>131522.1507004922</v>
      </c>
      <c r="F611" s="1">
        <f>IF(E611 + F610 &lt; 0, E611 + F610, 0)</f>
        <v>0</v>
      </c>
      <c r="G611" s="1">
        <v>131522.1507004922</v>
      </c>
      <c r="H611" s="1">
        <f>IF(G611 + H610 &lt; 0, G611 + H610, 0)</f>
        <v>0</v>
      </c>
      <c r="I611" s="1">
        <v>131522.1507004922</v>
      </c>
      <c r="J611" s="1">
        <f>IF(I611 + J610 &lt; 0, I611 + J610, 0)</f>
        <v>0</v>
      </c>
      <c r="K611" s="1">
        <v>131522.1507004922</v>
      </c>
      <c r="L611" s="1">
        <f>IF(K611 + L610 &lt; 0, K611 + L610, 0)</f>
        <v>0</v>
      </c>
      <c r="M611" s="1">
        <v>0</v>
      </c>
      <c r="N611" s="1">
        <f>IF(M611 + N610 &lt; 0, M611 + N610, 0)</f>
        <v>0</v>
      </c>
      <c r="O611" s="1">
        <v>0</v>
      </c>
      <c r="P611" s="1">
        <f>IF(O611 + P610 &lt; 0, O611 + P610, 0)</f>
        <v>0</v>
      </c>
      <c r="Q611" s="1">
        <v>0</v>
      </c>
      <c r="R611" s="1">
        <f>IF(Q611 + R610 &lt; 0, Q611 + R610, 0)</f>
        <v>0</v>
      </c>
      <c r="S611" s="1">
        <v>0</v>
      </c>
      <c r="T611" s="1">
        <f>IF(S611 + T610 &lt; 0, S611 + T610, 0)</f>
        <v>0</v>
      </c>
    </row>
    <row r="612" spans="1:20" s="1" customFormat="1">
      <c r="A612" s="3">
        <v>45874</v>
      </c>
      <c r="B612" s="2" t="s">
        <v>13</v>
      </c>
      <c r="C612" s="2">
        <v>8</v>
      </c>
      <c r="D612" s="2">
        <v>13</v>
      </c>
      <c r="E612" s="1">
        <v>110711.6906956289</v>
      </c>
      <c r="F612" s="1">
        <f>IF(E612 + F611 &lt; 0, E612 + F611, 0)</f>
        <v>0</v>
      </c>
      <c r="G612" s="1">
        <v>110711.6906956289</v>
      </c>
      <c r="H612" s="1">
        <f>IF(G612 + H611 &lt; 0, G612 + H611, 0)</f>
        <v>0</v>
      </c>
      <c r="I612" s="1">
        <v>110711.6906956289</v>
      </c>
      <c r="J612" s="1">
        <f>IF(I612 + J611 &lt; 0, I612 + J611, 0)</f>
        <v>0</v>
      </c>
      <c r="K612" s="1">
        <v>110711.6906956289</v>
      </c>
      <c r="L612" s="1">
        <f>IF(K612 + L611 &lt; 0, K612 + L611, 0)</f>
        <v>0</v>
      </c>
      <c r="M612" s="1">
        <v>0</v>
      </c>
      <c r="N612" s="1">
        <f>IF(M612 + N611 &lt; 0, M612 + N611, 0)</f>
        <v>0</v>
      </c>
      <c r="O612" s="1">
        <v>0</v>
      </c>
      <c r="P612" s="1">
        <f>IF(O612 + P611 &lt; 0, O612 + P611, 0)</f>
        <v>0</v>
      </c>
      <c r="Q612" s="1">
        <v>0</v>
      </c>
      <c r="R612" s="1">
        <f>IF(Q612 + R611 &lt; 0, Q612 + R611, 0)</f>
        <v>0</v>
      </c>
      <c r="S612" s="1">
        <v>0</v>
      </c>
      <c r="T612" s="1">
        <f>IF(S612 + T611 &lt; 0, S612 + T611, 0)</f>
        <v>0</v>
      </c>
    </row>
    <row r="613" spans="1:20" s="1" customFormat="1">
      <c r="A613" s="3">
        <v>45875</v>
      </c>
      <c r="B613" s="2" t="s">
        <v>14</v>
      </c>
      <c r="C613" s="2">
        <v>7</v>
      </c>
      <c r="D613" s="2">
        <v>12</v>
      </c>
      <c r="E613" s="1">
        <v>3137.538580246949</v>
      </c>
      <c r="F613" s="1">
        <f>IF(E613 + F612 &lt; 0, E613 + F612, 0)</f>
        <v>0</v>
      </c>
      <c r="G613" s="1">
        <v>53578.31790123456</v>
      </c>
      <c r="H613" s="1">
        <f>IF(G613 + H612 &lt; 0, G613 + H612, 0)</f>
        <v>0</v>
      </c>
      <c r="I613" s="1">
        <v>53578.31790123456</v>
      </c>
      <c r="J613" s="1">
        <f>IF(I613 + J612 &lt; 0, I613 + J612, 0)</f>
        <v>0</v>
      </c>
      <c r="K613" s="1">
        <v>53578.31790123456</v>
      </c>
      <c r="L613" s="1">
        <f>IF(K613 + L612 &lt; 0, K613 + L612, 0)</f>
        <v>0</v>
      </c>
      <c r="M613" s="1">
        <v>0</v>
      </c>
      <c r="N613" s="1">
        <f>IF(M613 + N612 &lt; 0, M613 + N612, 0)</f>
        <v>0</v>
      </c>
      <c r="O613" s="1">
        <v>0</v>
      </c>
      <c r="P613" s="1">
        <f>IF(O613 + P612 &lt; 0, O613 + P612, 0)</f>
        <v>0</v>
      </c>
      <c r="Q613" s="1">
        <v>0</v>
      </c>
      <c r="R613" s="1">
        <f>IF(Q613 + R612 &lt; 0, Q613 + R612, 0)</f>
        <v>0</v>
      </c>
      <c r="S613" s="1">
        <v>0</v>
      </c>
      <c r="T613" s="1">
        <f>IF(S613 + T612 &lt; 0, S613 + T612, 0)</f>
        <v>0</v>
      </c>
    </row>
    <row r="614" spans="1:20" s="1" customFormat="1">
      <c r="A614" s="3">
        <v>45876</v>
      </c>
      <c r="B614" s="2" t="s">
        <v>16</v>
      </c>
      <c r="C614" s="2">
        <v>6</v>
      </c>
      <c r="D614" s="2">
        <v>11</v>
      </c>
      <c r="E614" s="1">
        <v>100091.4432468189</v>
      </c>
      <c r="F614" s="1">
        <f>IF(E614 + F613 &lt; 0, E614 + F613, 0)</f>
        <v>0</v>
      </c>
      <c r="G614" s="1">
        <v>100091.4432468189</v>
      </c>
      <c r="H614" s="1">
        <f>IF(G614 + H613 &lt; 0, G614 + H613, 0)</f>
        <v>0</v>
      </c>
      <c r="I614" s="1">
        <v>100091.4432468189</v>
      </c>
      <c r="J614" s="1">
        <f>IF(I614 + J613 &lt; 0, I614 + J613, 0)</f>
        <v>0</v>
      </c>
      <c r="K614" s="1">
        <v>100091.4432468189</v>
      </c>
      <c r="L614" s="1">
        <f>IF(K614 + L613 &lt; 0, K614 + L613, 0)</f>
        <v>0</v>
      </c>
      <c r="M614" s="1">
        <v>0</v>
      </c>
      <c r="N614" s="1">
        <f>IF(M614 + N613 &lt; 0, M614 + N613, 0)</f>
        <v>0</v>
      </c>
      <c r="O614" s="1">
        <v>0</v>
      </c>
      <c r="P614" s="1">
        <f>IF(O614 + P613 &lt; 0, O614 + P613, 0)</f>
        <v>0</v>
      </c>
      <c r="Q614" s="1">
        <v>0</v>
      </c>
      <c r="R614" s="1">
        <f>IF(Q614 + R613 &lt; 0, Q614 + R613, 0)</f>
        <v>0</v>
      </c>
      <c r="S614" s="1">
        <v>0</v>
      </c>
      <c r="T614" s="1">
        <f>IF(S614 + T613 &lt; 0, S614 + T613, 0)</f>
        <v>0</v>
      </c>
    </row>
    <row r="615" spans="1:20" s="1" customFormat="1">
      <c r="A615" s="3">
        <v>45877</v>
      </c>
      <c r="B615" s="2" t="s">
        <v>15</v>
      </c>
      <c r="C615" s="2">
        <v>5</v>
      </c>
      <c r="D615" s="2">
        <v>10</v>
      </c>
      <c r="E615" s="1">
        <v>-264691.3359551901</v>
      </c>
      <c r="F615" s="1">
        <f>IF(E615 + F614 &lt; 0, E615 + F614, 0)</f>
        <v>0</v>
      </c>
      <c r="G615" s="1">
        <v>-48489.45298534144</v>
      </c>
      <c r="H615" s="1">
        <f>IF(G615 + H614 &lt; 0, G615 + H614, 0)</f>
        <v>0</v>
      </c>
      <c r="I615" s="1">
        <v>111895.6818813808</v>
      </c>
      <c r="J615" s="1">
        <f>IF(I615 + J614 &lt; 0, I615 + J614, 0)</f>
        <v>0</v>
      </c>
      <c r="K615" s="1">
        <v>111895.6818813808</v>
      </c>
      <c r="L615" s="1">
        <f>IF(K615 + L614 &lt; 0, K615 + L614, 0)</f>
        <v>0</v>
      </c>
      <c r="M615" s="1">
        <v>0</v>
      </c>
      <c r="N615" s="1">
        <f>IF(M615 + N614 &lt; 0, M615 + N614, 0)</f>
        <v>0</v>
      </c>
      <c r="O615" s="1">
        <v>0</v>
      </c>
      <c r="P615" s="1">
        <f>IF(O615 + P614 &lt; 0, O615 + P614, 0)</f>
        <v>0</v>
      </c>
      <c r="Q615" s="1">
        <v>0</v>
      </c>
      <c r="R615" s="1">
        <f>IF(Q615 + R614 &lt; 0, Q615 + R614, 0)</f>
        <v>0</v>
      </c>
      <c r="S615" s="1">
        <v>0</v>
      </c>
      <c r="T615" s="1">
        <f>IF(S615 + T614 &lt; 0, S615 + T614, 0)</f>
        <v>0</v>
      </c>
    </row>
    <row r="616" spans="1:20" s="1" customFormat="1">
      <c r="A616" s="3">
        <v>45880</v>
      </c>
      <c r="B616" s="2" t="s">
        <v>12</v>
      </c>
      <c r="C616" s="2">
        <v>4</v>
      </c>
      <c r="D616" s="2">
        <v>9</v>
      </c>
      <c r="E616" s="1">
        <v>98821.91125463463</v>
      </c>
      <c r="F616" s="1">
        <f>IF(E616 + F615 &lt; 0, E616 + F615, 0)</f>
        <v>0</v>
      </c>
      <c r="G616" s="1">
        <v>98821.91125463463</v>
      </c>
      <c r="H616" s="1">
        <f>IF(G616 + H615 &lt; 0, G616 + H615, 0)</f>
        <v>0</v>
      </c>
      <c r="I616" s="1">
        <v>98821.91125463463</v>
      </c>
      <c r="J616" s="1">
        <f>IF(I616 + J615 &lt; 0, I616 + J615, 0)</f>
        <v>0</v>
      </c>
      <c r="K616" s="1">
        <v>98821.91125463463</v>
      </c>
      <c r="L616" s="1">
        <f>IF(K616 + L615 &lt; 0, K616 + L615, 0)</f>
        <v>0</v>
      </c>
      <c r="M616" s="1">
        <v>0</v>
      </c>
      <c r="N616" s="1">
        <f>IF(M616 + N615 &lt; 0, M616 + N615, 0)</f>
        <v>0</v>
      </c>
      <c r="O616" s="1">
        <v>0</v>
      </c>
      <c r="P616" s="1">
        <f>IF(O616 + P615 &lt; 0, O616 + P615, 0)</f>
        <v>0</v>
      </c>
      <c r="Q616" s="1">
        <v>0</v>
      </c>
      <c r="R616" s="1">
        <f>IF(Q616 + R615 &lt; 0, Q616 + R615, 0)</f>
        <v>0</v>
      </c>
      <c r="S616" s="1">
        <v>0</v>
      </c>
      <c r="T616" s="1">
        <f>IF(S616 + T615 &lt; 0, S616 + T615, 0)</f>
        <v>0</v>
      </c>
    </row>
    <row r="617" spans="1:20" s="1" customFormat="1">
      <c r="A617" s="3">
        <v>45881</v>
      </c>
      <c r="B617" s="2" t="s">
        <v>13</v>
      </c>
      <c r="C617" s="2">
        <v>3</v>
      </c>
      <c r="D617" s="2">
        <v>8</v>
      </c>
      <c r="E617" s="1">
        <v>86664.23127048695</v>
      </c>
      <c r="F617" s="1">
        <f>IF(E617 + F616 &lt; 0, E617 + F616, 0)</f>
        <v>0</v>
      </c>
      <c r="G617" s="1">
        <v>119051.3802772402</v>
      </c>
      <c r="H617" s="1">
        <f>IF(G617 + H616 &lt; 0, G617 + H616, 0)</f>
        <v>0</v>
      </c>
      <c r="I617" s="1">
        <v>119051.3802772402</v>
      </c>
      <c r="J617" s="1">
        <f>IF(I617 + J616 &lt; 0, I617 + J616, 0)</f>
        <v>0</v>
      </c>
      <c r="K617" s="1">
        <v>119051.3802772402</v>
      </c>
      <c r="L617" s="1">
        <f>IF(K617 + L616 &lt; 0, K617 + L616, 0)</f>
        <v>0</v>
      </c>
      <c r="M617" s="1">
        <v>0</v>
      </c>
      <c r="N617" s="1">
        <f>IF(M617 + N616 &lt; 0, M617 + N616, 0)</f>
        <v>0</v>
      </c>
      <c r="O617" s="1">
        <v>0</v>
      </c>
      <c r="P617" s="1">
        <f>IF(O617 + P616 &lt; 0, O617 + P616, 0)</f>
        <v>0</v>
      </c>
      <c r="Q617" s="1">
        <v>0</v>
      </c>
      <c r="R617" s="1">
        <f>IF(Q617 + R616 &lt; 0, Q617 + R616, 0)</f>
        <v>0</v>
      </c>
      <c r="S617" s="1">
        <v>0</v>
      </c>
      <c r="T617" s="1">
        <f>IF(S617 + T616 &lt; 0, S617 + T616, 0)</f>
        <v>0</v>
      </c>
    </row>
    <row r="618" spans="1:20" s="1" customFormat="1">
      <c r="A618" s="3">
        <v>45882</v>
      </c>
      <c r="B618" s="2" t="s">
        <v>14</v>
      </c>
      <c r="C618" s="2">
        <v>2</v>
      </c>
      <c r="D618" s="2">
        <v>7</v>
      </c>
      <c r="E618" s="1">
        <v>-99653.96188565696</v>
      </c>
      <c r="F618" s="1">
        <f>IF(E618 + F617 &lt; 0, E618 + F617, 0)</f>
        <v>0</v>
      </c>
      <c r="G618" s="1">
        <v>153209.62888666</v>
      </c>
      <c r="H618" s="1">
        <f>IF(G618 + H617 &lt; 0, G618 + H617, 0)</f>
        <v>0</v>
      </c>
      <c r="I618" s="1">
        <v>153209.62888666</v>
      </c>
      <c r="J618" s="1">
        <f>IF(I618 + J617 &lt; 0, I618 + J617, 0)</f>
        <v>0</v>
      </c>
      <c r="K618" s="1">
        <v>153209.62888666</v>
      </c>
      <c r="L618" s="1">
        <f>IF(K618 + L617 &lt; 0, K618 + L617, 0)</f>
        <v>0</v>
      </c>
      <c r="M618" s="1">
        <v>0</v>
      </c>
      <c r="N618" s="1">
        <f>IF(M618 + N617 &lt; 0, M618 + N617, 0)</f>
        <v>0</v>
      </c>
      <c r="O618" s="1">
        <v>0</v>
      </c>
      <c r="P618" s="1">
        <f>IF(O618 + P617 &lt; 0, O618 + P617, 0)</f>
        <v>0</v>
      </c>
      <c r="Q618" s="1">
        <v>0</v>
      </c>
      <c r="R618" s="1">
        <f>IF(Q618 + R617 &lt; 0, Q618 + R617, 0)</f>
        <v>0</v>
      </c>
      <c r="S618" s="1">
        <v>0</v>
      </c>
      <c r="T618" s="1">
        <f>IF(S618 + T617 &lt; 0, S618 + T617, 0)</f>
        <v>0</v>
      </c>
    </row>
    <row r="619" spans="1:20" s="1" customFormat="1">
      <c r="A619" s="3">
        <v>45883</v>
      </c>
      <c r="B619" s="2" t="s">
        <v>16</v>
      </c>
      <c r="C619" s="2">
        <v>1</v>
      </c>
      <c r="D619" s="2">
        <v>6</v>
      </c>
      <c r="E619" s="1">
        <v>110782.2154020111</v>
      </c>
      <c r="F619" s="1">
        <f>IF(E619 + F618 &lt; 0, E619 + F618, 0)</f>
        <v>0</v>
      </c>
      <c r="G619" s="1">
        <v>-49436.65953236684</v>
      </c>
      <c r="H619" s="1">
        <f>IF(G619 + H618 &lt; 0, G619 + H618, 0)</f>
        <v>0</v>
      </c>
      <c r="I619" s="1">
        <v>-149981.8277268506</v>
      </c>
      <c r="J619" s="1">
        <f>IF(I619 + J618 &lt; 0, I619 + J618, 0)</f>
        <v>0</v>
      </c>
      <c r="K619" s="1">
        <v>-148164.6004119048</v>
      </c>
      <c r="L619" s="1">
        <f>IF(K619 + L618 &lt; 0, K619 + L618, 0)</f>
        <v>0</v>
      </c>
      <c r="M619" s="1">
        <v>72906.15539858727</v>
      </c>
      <c r="N619" s="1">
        <f>IF(M619 + N618 &lt; 0, M619 + N618, 0)</f>
        <v>0</v>
      </c>
      <c r="O619" s="1">
        <v>72906.15539858727</v>
      </c>
      <c r="P619" s="1">
        <f>IF(O619 + P618 &lt; 0, O619 + P618, 0)</f>
        <v>0</v>
      </c>
      <c r="Q619" s="1">
        <v>72906.15539858727</v>
      </c>
      <c r="R619" s="1">
        <f>IF(Q619 + R618 &lt; 0, Q619 + R618, 0)</f>
        <v>0</v>
      </c>
      <c r="S619" s="1">
        <v>72906.15539858727</v>
      </c>
      <c r="T619" s="1">
        <f>IF(S619 + T618 &lt; 0, S619 + T618, 0)</f>
        <v>0</v>
      </c>
    </row>
    <row r="620" spans="1:20" s="1" customFormat="1">
      <c r="A620" s="3">
        <v>45887</v>
      </c>
      <c r="B620" s="2" t="s">
        <v>12</v>
      </c>
      <c r="C620" s="2">
        <v>23</v>
      </c>
      <c r="D620" s="2">
        <v>5</v>
      </c>
      <c r="E620" s="1">
        <v>0</v>
      </c>
      <c r="F620" s="1">
        <f>IF(E620 + F619 &lt; 0, E620 + F619, 0)</f>
        <v>0</v>
      </c>
      <c r="G620" s="1">
        <v>0</v>
      </c>
      <c r="H620" s="1">
        <f>IF(G620 + H619 &lt; 0, G620 + H619, 0)</f>
        <v>0</v>
      </c>
      <c r="I620" s="1">
        <v>0</v>
      </c>
      <c r="J620" s="1">
        <f>IF(I620 + J619 &lt; 0, I620 + J619, 0)</f>
        <v>0</v>
      </c>
      <c r="K620" s="1">
        <v>0</v>
      </c>
      <c r="L620" s="1">
        <f>IF(K620 + L619 &lt; 0, K620 + L619, 0)</f>
        <v>0</v>
      </c>
      <c r="M620" s="1">
        <v>-27222.77722277723</v>
      </c>
      <c r="N620" s="1">
        <f>IF(M620 + N619 &lt; 0, M620 + N619, 0)</f>
        <v>0</v>
      </c>
      <c r="O620" s="1">
        <v>-27222.77722277723</v>
      </c>
      <c r="P620" s="1">
        <f>IF(O620 + P619 &lt; 0, O620 + P619, 0)</f>
        <v>0</v>
      </c>
      <c r="Q620" s="1">
        <v>-27222.77722277723</v>
      </c>
      <c r="R620" s="1">
        <f>IF(Q620 + R619 &lt; 0, Q620 + R619, 0)</f>
        <v>0</v>
      </c>
      <c r="S620" s="1">
        <v>-27222.77722277723</v>
      </c>
      <c r="T620" s="1">
        <f>IF(S620 + T619 &lt; 0, S620 + T619, 0)</f>
        <v>0</v>
      </c>
    </row>
    <row r="621" spans="1:20" s="1" customFormat="1">
      <c r="A621" s="3">
        <v>45888</v>
      </c>
      <c r="B621" s="2" t="s">
        <v>13</v>
      </c>
      <c r="C621" s="2">
        <v>22</v>
      </c>
      <c r="D621" s="2">
        <v>4</v>
      </c>
      <c r="E621" s="1">
        <v>0</v>
      </c>
      <c r="F621" s="1">
        <f>IF(E621 + F620 &lt; 0, E621 + F620, 0)</f>
        <v>0</v>
      </c>
      <c r="G621" s="1">
        <v>0</v>
      </c>
      <c r="H621" s="1">
        <f>IF(G621 + H620 &lt; 0, G621 + H620, 0)</f>
        <v>0</v>
      </c>
      <c r="I621" s="1">
        <v>0</v>
      </c>
      <c r="J621" s="1">
        <f>IF(I621 + J620 &lt; 0, I621 + J620, 0)</f>
        <v>0</v>
      </c>
      <c r="K621" s="1">
        <v>0</v>
      </c>
      <c r="L621" s="1">
        <f>IF(K621 + L620 &lt; 0, K621 + L620, 0)</f>
        <v>0</v>
      </c>
      <c r="M621" s="1">
        <v>-86135.83910319816</v>
      </c>
      <c r="N621" s="1">
        <f>IF(M621 + N620 &lt; 0, M621 + N620, 0)</f>
        <v>0</v>
      </c>
      <c r="O621" s="1">
        <v>-117379.6571051764</v>
      </c>
      <c r="P621" s="1">
        <f>IF(O621 + P620 &lt; 0, O621 + P620, 0)</f>
        <v>0</v>
      </c>
      <c r="Q621" s="1">
        <v>-117787.6689746126</v>
      </c>
      <c r="R621" s="1">
        <f>IF(Q621 + R620 &lt; 0, Q621 + R620, 0)</f>
        <v>0</v>
      </c>
      <c r="S621" s="1">
        <v>-117787.6689746126</v>
      </c>
      <c r="T621" s="1">
        <f>IF(S621 + T620 &lt; 0, S621 + T620, 0)</f>
        <v>0</v>
      </c>
    </row>
    <row r="622" spans="1:20" s="1" customFormat="1">
      <c r="A622" s="3">
        <v>45889</v>
      </c>
      <c r="B622" s="2" t="s">
        <v>14</v>
      </c>
      <c r="C622" s="2">
        <v>21</v>
      </c>
      <c r="D622" s="2">
        <v>3</v>
      </c>
      <c r="E622" s="1">
        <v>0</v>
      </c>
      <c r="F622" s="1">
        <f>IF(E622 + F621 &lt; 0, E622 + F621, 0)</f>
        <v>0</v>
      </c>
      <c r="G622" s="1">
        <v>0</v>
      </c>
      <c r="H622" s="1">
        <f>IF(G622 + H621 &lt; 0, G622 + H621, 0)</f>
        <v>0</v>
      </c>
      <c r="I622" s="1">
        <v>0</v>
      </c>
      <c r="J622" s="1">
        <f>IF(I622 + J621 &lt; 0, I622 + J621, 0)</f>
        <v>0</v>
      </c>
      <c r="K622" s="1">
        <v>0</v>
      </c>
      <c r="L622" s="1">
        <f>IF(K622 + L621 &lt; 0, K622 + L621, 0)</f>
        <v>0</v>
      </c>
      <c r="M622" s="1">
        <v>70377.42382271469</v>
      </c>
      <c r="N622" s="1">
        <f>IF(M622 + N621 &lt; 0, M622 + N621, 0)</f>
        <v>0</v>
      </c>
      <c r="O622" s="1">
        <v>70377.42382271469</v>
      </c>
      <c r="P622" s="1">
        <f>IF(O622 + P621 &lt; 0, O622 + P621, 0)</f>
        <v>0</v>
      </c>
      <c r="Q622" s="1">
        <v>70377.42382271469</v>
      </c>
      <c r="R622" s="1">
        <f>IF(Q622 + R621 &lt; 0, Q622 + R621, 0)</f>
        <v>0</v>
      </c>
      <c r="S622" s="1">
        <v>70377.42382271469</v>
      </c>
      <c r="T622" s="1">
        <f>IF(S622 + T621 &lt; 0, S622 + T621, 0)</f>
        <v>0</v>
      </c>
    </row>
    <row r="623" spans="1:20" s="1" customFormat="1">
      <c r="A623" s="3">
        <v>45890</v>
      </c>
      <c r="B623" s="2" t="s">
        <v>16</v>
      </c>
      <c r="C623" s="2">
        <v>20</v>
      </c>
      <c r="D623" s="2">
        <v>2</v>
      </c>
      <c r="E623" s="1">
        <v>0</v>
      </c>
      <c r="F623" s="1">
        <f>IF(E623 + F622 &lt; 0, E623 + F622, 0)</f>
        <v>0</v>
      </c>
      <c r="G623" s="1">
        <v>0</v>
      </c>
      <c r="H623" s="1">
        <f>IF(G623 + H622 &lt; 0, G623 + H622, 0)</f>
        <v>0</v>
      </c>
      <c r="I623" s="1">
        <v>0</v>
      </c>
      <c r="J623" s="1">
        <f>IF(I623 + J622 &lt; 0, I623 + J622, 0)</f>
        <v>0</v>
      </c>
      <c r="K623" s="1">
        <v>0</v>
      </c>
      <c r="L623" s="1">
        <f>IF(K623 + L622 &lt; 0, K623 + L622, 0)</f>
        <v>0</v>
      </c>
      <c r="M623" s="1">
        <v>76491.501907735</v>
      </c>
      <c r="N623" s="1">
        <f>IF(M623 + N622 &lt; 0, M623 + N622, 0)</f>
        <v>0</v>
      </c>
      <c r="O623" s="1">
        <v>80818.59174471039</v>
      </c>
      <c r="P623" s="1">
        <f>IF(O623 + P622 &lt; 0, O623 + P622, 0)</f>
        <v>0</v>
      </c>
      <c r="Q623" s="1">
        <v>80818.59174471039</v>
      </c>
      <c r="R623" s="1">
        <f>IF(Q623 + R622 &lt; 0, Q623 + R622, 0)</f>
        <v>0</v>
      </c>
      <c r="S623" s="1">
        <v>80818.59174471039</v>
      </c>
      <c r="T623" s="1">
        <f>IF(S623 + T622 &lt; 0, S623 + T622, 0)</f>
        <v>0</v>
      </c>
    </row>
    <row r="624" spans="1:20" s="1" customFormat="1">
      <c r="A624" s="3">
        <v>45891</v>
      </c>
      <c r="B624" s="2" t="s">
        <v>15</v>
      </c>
      <c r="C624" s="2">
        <v>19</v>
      </c>
      <c r="D624" s="2">
        <v>1</v>
      </c>
      <c r="E624" s="1">
        <v>0</v>
      </c>
      <c r="F624" s="1">
        <f>IF(E624 + F623 &lt; 0, E624 + F623, 0)</f>
        <v>0</v>
      </c>
      <c r="G624" s="1">
        <v>0</v>
      </c>
      <c r="H624" s="1">
        <f>IF(G624 + H623 &lt; 0, G624 + H623, 0)</f>
        <v>0</v>
      </c>
      <c r="I624" s="1">
        <v>0</v>
      </c>
      <c r="J624" s="1">
        <f>IF(I624 + J623 &lt; 0, I624 + J623, 0)</f>
        <v>0</v>
      </c>
      <c r="K624" s="1">
        <v>0</v>
      </c>
      <c r="L624" s="1">
        <f>IF(K624 + L623 &lt; 0, K624 + L623, 0)</f>
        <v>0</v>
      </c>
      <c r="M624" s="1">
        <v>29632.45257452576</v>
      </c>
      <c r="N624" s="1">
        <f>IF(M624 + N623 &lt; 0, M624 + N623, 0)</f>
        <v>0</v>
      </c>
      <c r="O624" s="1">
        <v>-9324.186991869916</v>
      </c>
      <c r="P624" s="1">
        <f>IF(O624 + P623 &lt; 0, O624 + P623, 0)</f>
        <v>0</v>
      </c>
      <c r="Q624" s="1">
        <v>-75372.62872628726</v>
      </c>
      <c r="R624" s="1">
        <f>IF(Q624 + R623 &lt; 0, Q624 + R623, 0)</f>
        <v>0</v>
      </c>
      <c r="S624" s="1">
        <v>-121091.6327913279</v>
      </c>
      <c r="T624" s="1">
        <f>IF(S624 + T623 &lt; 0, S624 + T623, 0)</f>
        <v>0</v>
      </c>
    </row>
    <row r="625" spans="1:20" s="1" customFormat="1">
      <c r="A625" s="3">
        <v>45894</v>
      </c>
      <c r="B625" s="2" t="s">
        <v>12</v>
      </c>
      <c r="C625" s="2">
        <v>18</v>
      </c>
      <c r="D625" s="2">
        <v>22</v>
      </c>
      <c r="E625" s="1">
        <v>0</v>
      </c>
      <c r="F625" s="1">
        <f>IF(E625 + F624 &lt; 0, E625 + F624, 0)</f>
        <v>0</v>
      </c>
      <c r="G625" s="1">
        <v>0</v>
      </c>
      <c r="H625" s="1">
        <f>IF(G625 + H624 &lt; 0, G625 + H624, 0)</f>
        <v>0</v>
      </c>
      <c r="I625" s="1">
        <v>0</v>
      </c>
      <c r="J625" s="1">
        <f>IF(I625 + J624 &lt; 0, I625 + J624, 0)</f>
        <v>0</v>
      </c>
      <c r="K625" s="1">
        <v>0</v>
      </c>
      <c r="L625" s="1">
        <f>IF(K625 + L624 &lt; 0, K625 + L624, 0)</f>
        <v>0</v>
      </c>
      <c r="M625" s="1">
        <v>0</v>
      </c>
      <c r="N625" s="1">
        <f>IF(M625 + N624 &lt; 0, M625 + N624, 0)</f>
        <v>0</v>
      </c>
      <c r="O625" s="1">
        <v>0</v>
      </c>
      <c r="P625" s="1">
        <f>IF(O625 + P624 &lt; 0, O625 + P624, 0)</f>
        <v>0</v>
      </c>
      <c r="Q625" s="1">
        <v>0</v>
      </c>
      <c r="R625" s="1">
        <f>IF(Q625 + R624 &lt; 0, Q625 + R624, 0)</f>
        <v>0</v>
      </c>
      <c r="S625" s="1">
        <v>0</v>
      </c>
      <c r="T625" s="1">
        <f>IF(S625 + T624 &lt; 0, S625 + T624, 0)</f>
        <v>0</v>
      </c>
    </row>
    <row r="626" spans="1:20" s="1" customFormat="1">
      <c r="A626" s="3">
        <v>45895</v>
      </c>
      <c r="B626" s="2" t="s">
        <v>13</v>
      </c>
      <c r="C626" s="2">
        <v>17</v>
      </c>
      <c r="D626" s="2">
        <v>21</v>
      </c>
      <c r="E626" s="1">
        <v>0</v>
      </c>
      <c r="F626" s="1">
        <f>IF(E626 + F625 &lt; 0, E626 + F625, 0)</f>
        <v>0</v>
      </c>
      <c r="G626" s="1">
        <v>0</v>
      </c>
      <c r="H626" s="1">
        <f>IF(G626 + H625 &lt; 0, G626 + H625, 0)</f>
        <v>0</v>
      </c>
      <c r="I626" s="1">
        <v>0</v>
      </c>
      <c r="J626" s="1">
        <f>IF(I626 + J625 &lt; 0, I626 + J625, 0)</f>
        <v>0</v>
      </c>
      <c r="K626" s="1">
        <v>0</v>
      </c>
      <c r="L626" s="1">
        <f>IF(K626 + L625 &lt; 0, K626 + L625, 0)</f>
        <v>0</v>
      </c>
      <c r="M626" s="1">
        <v>0</v>
      </c>
      <c r="N626" s="1">
        <f>IF(M626 + N625 &lt; 0, M626 + N625, 0)</f>
        <v>0</v>
      </c>
      <c r="O626" s="1">
        <v>0</v>
      </c>
      <c r="P626" s="1">
        <f>IF(O626 + P625 &lt; 0, O626 + P625, 0)</f>
        <v>0</v>
      </c>
      <c r="Q626" s="1">
        <v>0</v>
      </c>
      <c r="R626" s="1">
        <f>IF(Q626 + R625 &lt; 0, Q626 + R625, 0)</f>
        <v>0</v>
      </c>
      <c r="S626" s="1">
        <v>0</v>
      </c>
      <c r="T626" s="1">
        <f>IF(S626 + T625 &lt; 0, S626 + T625, 0)</f>
        <v>0</v>
      </c>
    </row>
    <row r="627" spans="1:20" s="1" customFormat="1">
      <c r="A627" s="3">
        <v>45896</v>
      </c>
      <c r="B627" s="2" t="s">
        <v>14</v>
      </c>
      <c r="C627" s="2">
        <v>16</v>
      </c>
      <c r="D627" s="2">
        <v>20</v>
      </c>
      <c r="E627" s="1">
        <v>0</v>
      </c>
      <c r="F627" s="1">
        <f>IF(E627 + F626 &lt; 0, E627 + F626, 0)</f>
        <v>0</v>
      </c>
      <c r="G627" s="1">
        <v>0</v>
      </c>
      <c r="H627" s="1">
        <f>IF(G627 + H626 &lt; 0, G627 + H626, 0)</f>
        <v>0</v>
      </c>
      <c r="I627" s="1">
        <v>0</v>
      </c>
      <c r="J627" s="1">
        <f>IF(I627 + J626 &lt; 0, I627 + J626, 0)</f>
        <v>0</v>
      </c>
      <c r="K627" s="1">
        <v>0</v>
      </c>
      <c r="L627" s="1">
        <f>IF(K627 + L626 &lt; 0, K627 + L626, 0)</f>
        <v>0</v>
      </c>
      <c r="M627" s="1">
        <v>0</v>
      </c>
      <c r="N627" s="1">
        <f>IF(M627 + N626 &lt; 0, M627 + N626, 0)</f>
        <v>0</v>
      </c>
      <c r="O627" s="1">
        <v>0</v>
      </c>
      <c r="P627" s="1">
        <f>IF(O627 + P626 &lt; 0, O627 + P626, 0)</f>
        <v>0</v>
      </c>
      <c r="Q627" s="1">
        <v>0</v>
      </c>
      <c r="R627" s="1">
        <f>IF(Q627 + R626 &lt; 0, Q627 + R626, 0)</f>
        <v>0</v>
      </c>
      <c r="S627" s="1">
        <v>0</v>
      </c>
      <c r="T627" s="1">
        <f>IF(S627 + T626 &lt; 0, S627 + T626, 0)</f>
        <v>0</v>
      </c>
    </row>
    <row r="628" spans="1:20" s="1" customFormat="1">
      <c r="A628" s="3">
        <v>45897</v>
      </c>
      <c r="B628" s="2" t="s">
        <v>16</v>
      </c>
      <c r="C628" s="2">
        <v>15</v>
      </c>
      <c r="D628" s="2">
        <v>19</v>
      </c>
      <c r="E628" s="1">
        <v>0</v>
      </c>
      <c r="F628" s="1">
        <f>IF(E628 + F627 &lt; 0, E628 + F627, 0)</f>
        <v>0</v>
      </c>
      <c r="G628" s="1">
        <v>0</v>
      </c>
      <c r="H628" s="1">
        <f>IF(G628 + H627 &lt; 0, G628 + H627, 0)</f>
        <v>0</v>
      </c>
      <c r="I628" s="1">
        <v>0</v>
      </c>
      <c r="J628" s="1">
        <f>IF(I628 + J627 &lt; 0, I628 + J627, 0)</f>
        <v>0</v>
      </c>
      <c r="K628" s="1">
        <v>0</v>
      </c>
      <c r="L628" s="1">
        <f>IF(K628 + L627 &lt; 0, K628 + L627, 0)</f>
        <v>0</v>
      </c>
      <c r="M628" s="1">
        <v>0</v>
      </c>
      <c r="N628" s="1">
        <f>IF(M628 + N627 &lt; 0, M628 + N627, 0)</f>
        <v>0</v>
      </c>
      <c r="O628" s="1">
        <v>0</v>
      </c>
      <c r="P628" s="1">
        <f>IF(O628 + P627 &lt; 0, O628 + P627, 0)</f>
        <v>0</v>
      </c>
      <c r="Q628" s="1">
        <v>0</v>
      </c>
      <c r="R628" s="1">
        <f>IF(Q628 + R627 &lt; 0, Q628 + R627, 0)</f>
        <v>0</v>
      </c>
      <c r="S628" s="1">
        <v>0</v>
      </c>
      <c r="T628" s="1">
        <f>IF(S628 + T627 &lt; 0, S628 + T627, 0)</f>
        <v>0</v>
      </c>
    </row>
    <row r="629" spans="1:20" s="1" customFormat="1">
      <c r="A629" s="3">
        <v>45898</v>
      </c>
      <c r="B629" s="2" t="s">
        <v>15</v>
      </c>
      <c r="C629" s="2">
        <v>14</v>
      </c>
      <c r="D629" s="2">
        <v>18</v>
      </c>
      <c r="E629" s="1">
        <v>0</v>
      </c>
      <c r="F629" s="1">
        <f>IF(E629 + F628 &lt; 0, E629 + F628, 0)</f>
        <v>0</v>
      </c>
      <c r="G629" s="1">
        <v>0</v>
      </c>
      <c r="H629" s="1">
        <f>IF(G629 + H628 &lt; 0, G629 + H628, 0)</f>
        <v>0</v>
      </c>
      <c r="I629" s="1">
        <v>0</v>
      </c>
      <c r="J629" s="1">
        <f>IF(I629 + J628 &lt; 0, I629 + J628, 0)</f>
        <v>0</v>
      </c>
      <c r="K629" s="1">
        <v>0</v>
      </c>
      <c r="L629" s="1">
        <f>IF(K629 + L628 &lt; 0, K629 + L628, 0)</f>
        <v>0</v>
      </c>
      <c r="M629" s="1">
        <v>0</v>
      </c>
      <c r="N629" s="1">
        <f>IF(M629 + N628 &lt; 0, M629 + N628, 0)</f>
        <v>0</v>
      </c>
      <c r="O629" s="1">
        <v>0</v>
      </c>
      <c r="P629" s="1">
        <f>IF(O629 + P628 &lt; 0, O629 + P628, 0)</f>
        <v>0</v>
      </c>
      <c r="Q629" s="1">
        <v>0</v>
      </c>
      <c r="R629" s="1">
        <f>IF(Q629 + R628 &lt; 0, Q629 + R628, 0)</f>
        <v>0</v>
      </c>
      <c r="S629" s="1">
        <v>0</v>
      </c>
      <c r="T629" s="1">
        <f>IF(S629 + T628 &lt; 0, S629 + T628, 0)</f>
        <v>0</v>
      </c>
    </row>
    <row r="630" spans="1:20" s="1" customFormat="1">
      <c r="A630" s="3">
        <v>45901</v>
      </c>
      <c r="B630" s="2" t="s">
        <v>12</v>
      </c>
      <c r="C630" s="2">
        <v>13</v>
      </c>
      <c r="D630" s="2">
        <v>17</v>
      </c>
      <c r="E630" s="1">
        <v>0</v>
      </c>
      <c r="F630" s="1">
        <f>IF(E630 + F629 &lt; 0, E630 + F629, 0)</f>
        <v>0</v>
      </c>
      <c r="G630" s="1">
        <v>0</v>
      </c>
      <c r="H630" s="1">
        <f>IF(G630 + H629 &lt; 0, G630 + H629, 0)</f>
        <v>0</v>
      </c>
      <c r="I630" s="1">
        <v>0</v>
      </c>
      <c r="J630" s="1">
        <f>IF(I630 + J629 &lt; 0, I630 + J629, 0)</f>
        <v>0</v>
      </c>
      <c r="K630" s="1">
        <v>0</v>
      </c>
      <c r="L630" s="1">
        <f>IF(K630 + L629 &lt; 0, K630 + L629, 0)</f>
        <v>0</v>
      </c>
      <c r="M630" s="1">
        <v>0</v>
      </c>
      <c r="N630" s="1">
        <f>IF(M630 + N629 &lt; 0, M630 + N629, 0)</f>
        <v>0</v>
      </c>
      <c r="O630" s="1">
        <v>0</v>
      </c>
      <c r="P630" s="1">
        <f>IF(O630 + P629 &lt; 0, O630 + P629, 0)</f>
        <v>0</v>
      </c>
      <c r="Q630" s="1">
        <v>0</v>
      </c>
      <c r="R630" s="1">
        <f>IF(Q630 + R629 &lt; 0, Q630 + R629, 0)</f>
        <v>0</v>
      </c>
      <c r="S630" s="1">
        <v>0</v>
      </c>
      <c r="T630" s="1">
        <f>IF(S630 + T629 &lt; 0, S630 + T629, 0)</f>
        <v>0</v>
      </c>
    </row>
    <row r="631" spans="1:20" s="1" customFormat="1">
      <c r="A631" s="3">
        <v>45902</v>
      </c>
      <c r="B631" s="2" t="s">
        <v>13</v>
      </c>
      <c r="C631" s="2">
        <v>12</v>
      </c>
      <c r="D631" s="2">
        <v>16</v>
      </c>
      <c r="E631" s="1">
        <v>0</v>
      </c>
      <c r="F631" s="1">
        <f>IF(E631 + F630 &lt; 0, E631 + F630, 0)</f>
        <v>0</v>
      </c>
      <c r="G631" s="1">
        <v>0</v>
      </c>
      <c r="H631" s="1">
        <f>IF(G631 + H630 &lt; 0, G631 + H630, 0)</f>
        <v>0</v>
      </c>
      <c r="I631" s="1">
        <v>0</v>
      </c>
      <c r="J631" s="1">
        <f>IF(I631 + J630 &lt; 0, I631 + J630, 0)</f>
        <v>0</v>
      </c>
      <c r="K631" s="1">
        <v>0</v>
      </c>
      <c r="L631" s="1">
        <f>IF(K631 + L630 &lt; 0, K631 + L630, 0)</f>
        <v>0</v>
      </c>
      <c r="M631" s="1">
        <v>0</v>
      </c>
      <c r="N631" s="1">
        <f>IF(M631 + N630 &lt; 0, M631 + N630, 0)</f>
        <v>0</v>
      </c>
      <c r="O631" s="1">
        <v>0</v>
      </c>
      <c r="P631" s="1">
        <f>IF(O631 + P630 &lt; 0, O631 + P630, 0)</f>
        <v>0</v>
      </c>
      <c r="Q631" s="1">
        <v>0</v>
      </c>
      <c r="R631" s="1">
        <f>IF(Q631 + R630 &lt; 0, Q631 + R630, 0)</f>
        <v>0</v>
      </c>
      <c r="S631" s="1">
        <v>0</v>
      </c>
      <c r="T631" s="1">
        <f>IF(S631 + T630 &lt; 0, S631 + T630, 0)</f>
        <v>0</v>
      </c>
    </row>
    <row r="632" spans="1:20" s="1" customFormat="1">
      <c r="A632" s="3">
        <v>45903</v>
      </c>
      <c r="B632" s="2" t="s">
        <v>14</v>
      </c>
      <c r="C632" s="2">
        <v>11</v>
      </c>
      <c r="D632" s="2">
        <v>15</v>
      </c>
      <c r="E632" s="1">
        <v>0</v>
      </c>
      <c r="F632" s="1">
        <f>IF(E632 + F631 &lt; 0, E632 + F631, 0)</f>
        <v>0</v>
      </c>
      <c r="G632" s="1">
        <v>0</v>
      </c>
      <c r="H632" s="1">
        <f>IF(G632 + H631 &lt; 0, G632 + H631, 0)</f>
        <v>0</v>
      </c>
      <c r="I632" s="1">
        <v>0</v>
      </c>
      <c r="J632" s="1">
        <f>IF(I632 + J631 &lt; 0, I632 + J631, 0)</f>
        <v>0</v>
      </c>
      <c r="K632" s="1">
        <v>0</v>
      </c>
      <c r="L632" s="1">
        <f>IF(K632 + L631 &lt; 0, K632 + L631, 0)</f>
        <v>0</v>
      </c>
      <c r="M632" s="1">
        <v>0</v>
      </c>
      <c r="N632" s="1">
        <f>IF(M632 + N631 &lt; 0, M632 + N631, 0)</f>
        <v>0</v>
      </c>
      <c r="O632" s="1">
        <v>0</v>
      </c>
      <c r="P632" s="1">
        <f>IF(O632 + P631 &lt; 0, O632 + P631, 0)</f>
        <v>0</v>
      </c>
      <c r="Q632" s="1">
        <v>0</v>
      </c>
      <c r="R632" s="1">
        <f>IF(Q632 + R631 &lt; 0, Q632 + R631, 0)</f>
        <v>0</v>
      </c>
      <c r="S632" s="1">
        <v>0</v>
      </c>
      <c r="T632" s="1">
        <f>IF(S632 + T631 &lt; 0, S632 + T631, 0)</f>
        <v>0</v>
      </c>
    </row>
    <row r="633" spans="1:20" s="1" customFormat="1">
      <c r="A633" s="3">
        <v>45904</v>
      </c>
      <c r="B633" s="2" t="s">
        <v>16</v>
      </c>
      <c r="C633" s="2">
        <v>10</v>
      </c>
      <c r="D633" s="2">
        <v>14</v>
      </c>
      <c r="E633" s="1">
        <v>11437.90849673203</v>
      </c>
      <c r="F633" s="1">
        <f>IF(E633 + F632 &lt; 0, E633 + F632, 0)</f>
        <v>0</v>
      </c>
      <c r="G633" s="1">
        <v>11437.90849673203</v>
      </c>
      <c r="H633" s="1">
        <f>IF(G633 + H632 &lt; 0, G633 + H632, 0)</f>
        <v>0</v>
      </c>
      <c r="I633" s="1">
        <v>11437.90849673203</v>
      </c>
      <c r="J633" s="1">
        <f>IF(I633 + J632 &lt; 0, I633 + J632, 0)</f>
        <v>0</v>
      </c>
      <c r="K633" s="1">
        <v>11437.90849673203</v>
      </c>
      <c r="L633" s="1">
        <f>IF(K633 + L632 &lt; 0, K633 + L632, 0)</f>
        <v>0</v>
      </c>
      <c r="M633" s="1">
        <v>0</v>
      </c>
      <c r="N633" s="1">
        <f>IF(M633 + N632 &lt; 0, M633 + N632, 0)</f>
        <v>0</v>
      </c>
      <c r="O633" s="1">
        <v>0</v>
      </c>
      <c r="P633" s="1">
        <f>IF(O633 + P632 &lt; 0, O633 + P632, 0)</f>
        <v>0</v>
      </c>
      <c r="Q633" s="1">
        <v>0</v>
      </c>
      <c r="R633" s="1">
        <f>IF(Q633 + R632 &lt; 0, Q633 + R632, 0)</f>
        <v>0</v>
      </c>
      <c r="S633" s="1">
        <v>0</v>
      </c>
      <c r="T633" s="1">
        <f>IF(S633 + T632 &lt; 0, S633 + T632, 0)</f>
        <v>0</v>
      </c>
    </row>
    <row r="634" spans="1:20" s="1" customFormat="1">
      <c r="A634" s="3">
        <v>45905</v>
      </c>
      <c r="B634" s="2" t="s">
        <v>15</v>
      </c>
      <c r="C634" s="2">
        <v>9</v>
      </c>
      <c r="D634" s="2">
        <v>13</v>
      </c>
      <c r="E634" s="1">
        <v>-1626.484489812128</v>
      </c>
      <c r="F634" s="1">
        <f>IF(E634 + F633 &lt; 0, E634 + F633, 0)</f>
        <v>0</v>
      </c>
      <c r="G634" s="1">
        <v>-32897.08861262264</v>
      </c>
      <c r="H634" s="1">
        <f>IF(G634 + H633 &lt; 0, G634 + H633, 0)</f>
        <v>0</v>
      </c>
      <c r="I634" s="1">
        <v>-32897.08861262264</v>
      </c>
      <c r="J634" s="1">
        <f>IF(I634 + J633 &lt; 0, I634 + J633, 0)</f>
        <v>0</v>
      </c>
      <c r="K634" s="1">
        <v>-32897.08861262264</v>
      </c>
      <c r="L634" s="1">
        <f>IF(K634 + L633 &lt; 0, K634 + L633, 0)</f>
        <v>0</v>
      </c>
      <c r="M634" s="1">
        <v>0</v>
      </c>
      <c r="N634" s="1">
        <f>IF(M634 + N633 &lt; 0, M634 + N633, 0)</f>
        <v>0</v>
      </c>
      <c r="O634" s="1">
        <v>0</v>
      </c>
      <c r="P634" s="1">
        <f>IF(O634 + P633 &lt; 0, O634 + P633, 0)</f>
        <v>0</v>
      </c>
      <c r="Q634" s="1">
        <v>0</v>
      </c>
      <c r="R634" s="1">
        <f>IF(Q634 + R633 &lt; 0, Q634 + R633, 0)</f>
        <v>0</v>
      </c>
      <c r="S634" s="1">
        <v>0</v>
      </c>
      <c r="T634" s="1">
        <f>IF(S634 + T633 &lt; 0, S634 + T633, 0)</f>
        <v>0</v>
      </c>
    </row>
    <row r="635" spans="1:20" s="1" customFormat="1">
      <c r="A635" s="3">
        <v>45908</v>
      </c>
      <c r="B635" s="2" t="s">
        <v>12</v>
      </c>
      <c r="C635" s="2">
        <v>8</v>
      </c>
      <c r="D635" s="2">
        <v>12</v>
      </c>
      <c r="E635" s="1">
        <v>-17969.25241157556</v>
      </c>
      <c r="F635" s="1">
        <f>IF(E635 + F634 &lt; 0, E635 + F634, 0)</f>
        <v>0</v>
      </c>
      <c r="G635" s="1">
        <v>50462.21864951769</v>
      </c>
      <c r="H635" s="1">
        <f>IF(G635 + H634 &lt; 0, G635 + H634, 0)</f>
        <v>0</v>
      </c>
      <c r="I635" s="1">
        <v>50462.21864951769</v>
      </c>
      <c r="J635" s="1">
        <f>IF(I635 + J634 &lt; 0, I635 + J634, 0)</f>
        <v>0</v>
      </c>
      <c r="K635" s="1">
        <v>50462.21864951769</v>
      </c>
      <c r="L635" s="1">
        <f>IF(K635 + L634 &lt; 0, K635 + L634, 0)</f>
        <v>0</v>
      </c>
      <c r="M635" s="1">
        <v>0</v>
      </c>
      <c r="N635" s="1">
        <f>IF(M635 + N634 &lt; 0, M635 + N634, 0)</f>
        <v>0</v>
      </c>
      <c r="O635" s="1">
        <v>0</v>
      </c>
      <c r="P635" s="1">
        <f>IF(O635 + P634 &lt; 0, O635 + P634, 0)</f>
        <v>0</v>
      </c>
      <c r="Q635" s="1">
        <v>0</v>
      </c>
      <c r="R635" s="1">
        <f>IF(Q635 + R634 &lt; 0, Q635 + R634, 0)</f>
        <v>0</v>
      </c>
      <c r="S635" s="1">
        <v>0</v>
      </c>
      <c r="T635" s="1">
        <f>IF(S635 + T634 &lt; 0, S635 + T634, 0)</f>
        <v>0</v>
      </c>
    </row>
    <row r="636" spans="1:20" s="1" customFormat="1">
      <c r="A636" s="3">
        <v>45909</v>
      </c>
      <c r="B636" s="2" t="s">
        <v>13</v>
      </c>
      <c r="C636" s="2">
        <v>7</v>
      </c>
      <c r="D636" s="2">
        <v>11</v>
      </c>
      <c r="E636" s="1">
        <v>20526.02927537401</v>
      </c>
      <c r="F636" s="1">
        <f>IF(E636 + F635 &lt; 0, E636 + F635, 0)</f>
        <v>0</v>
      </c>
      <c r="G636" s="1">
        <v>61655.7119238679</v>
      </c>
      <c r="H636" s="1">
        <f>IF(G636 + H635 &lt; 0, G636 + H635, 0)</f>
        <v>0</v>
      </c>
      <c r="I636" s="1">
        <v>61655.7119238679</v>
      </c>
      <c r="J636" s="1">
        <f>IF(I636 + J635 &lt; 0, I636 + J635, 0)</f>
        <v>0</v>
      </c>
      <c r="K636" s="1">
        <v>61655.7119238679</v>
      </c>
      <c r="L636" s="1">
        <f>IF(K636 + L635 &lt; 0, K636 + L635, 0)</f>
        <v>0</v>
      </c>
      <c r="M636" s="1">
        <v>0</v>
      </c>
      <c r="N636" s="1">
        <f>IF(M636 + N635 &lt; 0, M636 + N635, 0)</f>
        <v>0</v>
      </c>
      <c r="O636" s="1">
        <v>0</v>
      </c>
      <c r="P636" s="1">
        <f>IF(O636 + P635 &lt; 0, O636 + P635, 0)</f>
        <v>0</v>
      </c>
      <c r="Q636" s="1">
        <v>0</v>
      </c>
      <c r="R636" s="1">
        <f>IF(Q636 + R635 &lt; 0, Q636 + R635, 0)</f>
        <v>0</v>
      </c>
      <c r="S636" s="1">
        <v>0</v>
      </c>
      <c r="T636" s="1">
        <f>IF(S636 + T635 &lt; 0, S636 + T635, 0)</f>
        <v>0</v>
      </c>
    </row>
    <row r="637" spans="1:20" s="1" customFormat="1">
      <c r="A637" s="3">
        <v>45910</v>
      </c>
      <c r="B637" s="2" t="s">
        <v>14</v>
      </c>
      <c r="C637" s="2">
        <v>6</v>
      </c>
      <c r="D637" s="2">
        <v>10</v>
      </c>
      <c r="E637" s="1">
        <v>76772.83054968707</v>
      </c>
      <c r="F637" s="1">
        <f>IF(E637 + F636 &lt; 0, E637 + F636, 0)</f>
        <v>0</v>
      </c>
      <c r="G637" s="1">
        <v>76772.83054968707</v>
      </c>
      <c r="H637" s="1">
        <f>IF(G637 + H636 &lt; 0, G637 + H636, 0)</f>
        <v>0</v>
      </c>
      <c r="I637" s="1">
        <v>76772.83054968707</v>
      </c>
      <c r="J637" s="1">
        <f>IF(I637 + J636 &lt; 0, I637 + J636, 0)</f>
        <v>0</v>
      </c>
      <c r="K637" s="1">
        <v>76772.83054968707</v>
      </c>
      <c r="L637" s="1">
        <f>IF(K637 + L636 &lt; 0, K637 + L636, 0)</f>
        <v>0</v>
      </c>
      <c r="M637" s="1">
        <v>0</v>
      </c>
      <c r="N637" s="1">
        <f>IF(M637 + N636 &lt; 0, M637 + N636, 0)</f>
        <v>0</v>
      </c>
      <c r="O637" s="1">
        <v>0</v>
      </c>
      <c r="P637" s="1">
        <f>IF(O637 + P636 &lt; 0, O637 + P636, 0)</f>
        <v>0</v>
      </c>
      <c r="Q637" s="1">
        <v>0</v>
      </c>
      <c r="R637" s="1">
        <f>IF(Q637 + R636 &lt; 0, Q637 + R636, 0)</f>
        <v>0</v>
      </c>
      <c r="S637" s="1">
        <v>0</v>
      </c>
      <c r="T637" s="1">
        <f>IF(S637 + T636 &lt; 0, S637 + T636, 0)</f>
        <v>0</v>
      </c>
    </row>
    <row r="638" spans="1:20" s="1" customFormat="1">
      <c r="A638" s="3">
        <v>45911</v>
      </c>
      <c r="B638" s="2" t="s">
        <v>16</v>
      </c>
      <c r="C638" s="2">
        <v>5</v>
      </c>
      <c r="D638" s="2">
        <v>9</v>
      </c>
      <c r="E638" s="1">
        <v>-12954.64439783117</v>
      </c>
      <c r="F638" s="1">
        <f>IF(E638 + F637 &lt; 0, E638 + F637, 0)</f>
        <v>0</v>
      </c>
      <c r="G638" s="1">
        <v>33452.72489808842</v>
      </c>
      <c r="H638" s="1">
        <f>IF(G638 + H637 &lt; 0, G638 + H637, 0)</f>
        <v>0</v>
      </c>
      <c r="I638" s="1">
        <v>33452.72489808842</v>
      </c>
      <c r="J638" s="1">
        <f>IF(I638 + J637 &lt; 0, I638 + J637, 0)</f>
        <v>0</v>
      </c>
      <c r="K638" s="1">
        <v>33452.72489808842</v>
      </c>
      <c r="L638" s="1">
        <f>IF(K638 + L637 &lt; 0, K638 + L637, 0)</f>
        <v>0</v>
      </c>
      <c r="M638" s="1">
        <v>0</v>
      </c>
      <c r="N638" s="1">
        <f>IF(M638 + N637 &lt; 0, M638 + N637, 0)</f>
        <v>0</v>
      </c>
      <c r="O638" s="1">
        <v>0</v>
      </c>
      <c r="P638" s="1">
        <f>IF(O638 + P637 &lt; 0, O638 + P637, 0)</f>
        <v>0</v>
      </c>
      <c r="Q638" s="1">
        <v>0</v>
      </c>
      <c r="R638" s="1">
        <f>IF(Q638 + R637 &lt; 0, Q638 + R637, 0)</f>
        <v>0</v>
      </c>
      <c r="S638" s="1">
        <v>0</v>
      </c>
      <c r="T638" s="1">
        <f>IF(S638 + T637 &lt; 0, S638 + T637, 0)</f>
        <v>0</v>
      </c>
    </row>
    <row r="639" spans="1:20" s="1" customFormat="1">
      <c r="A639" s="3">
        <v>45912</v>
      </c>
      <c r="B639" s="2" t="s">
        <v>15</v>
      </c>
      <c r="C639" s="2">
        <v>4</v>
      </c>
      <c r="D639" s="2">
        <v>8</v>
      </c>
      <c r="E639" s="1">
        <v>-139990.0539926116</v>
      </c>
      <c r="F639" s="1">
        <f>IF(E639 + F638 &lt; 0, E639 + F638, 0)</f>
        <v>0</v>
      </c>
      <c r="G639" s="1">
        <v>138300.247635286</v>
      </c>
      <c r="H639" s="1">
        <f>IF(G639 + H638 &lt; 0, G639 + H638, 0)</f>
        <v>0</v>
      </c>
      <c r="I639" s="1">
        <v>138300.247635286</v>
      </c>
      <c r="J639" s="1">
        <f>IF(I639 + J638 &lt; 0, I639 + J638, 0)</f>
        <v>0</v>
      </c>
      <c r="K639" s="1">
        <v>138300.247635286</v>
      </c>
      <c r="L639" s="1">
        <f>IF(K639 + L638 &lt; 0, K639 + L638, 0)</f>
        <v>0</v>
      </c>
      <c r="M639" s="1">
        <v>0</v>
      </c>
      <c r="N639" s="1">
        <f>IF(M639 + N638 &lt; 0, M639 + N638, 0)</f>
        <v>0</v>
      </c>
      <c r="O639" s="1">
        <v>0</v>
      </c>
      <c r="P639" s="1">
        <f>IF(O639 + P638 &lt; 0, O639 + P638, 0)</f>
        <v>0</v>
      </c>
      <c r="Q639" s="1">
        <v>0</v>
      </c>
      <c r="R639" s="1">
        <f>IF(Q639 + R638 &lt; 0, Q639 + R638, 0)</f>
        <v>0</v>
      </c>
      <c r="S639" s="1">
        <v>0</v>
      </c>
      <c r="T639" s="1">
        <f>IF(S639 + T638 &lt; 0, S639 + T638, 0)</f>
        <v>0</v>
      </c>
    </row>
    <row r="640" spans="1:20" s="1" customFormat="1">
      <c r="A640" s="3">
        <v>45915</v>
      </c>
      <c r="B640" s="2" t="s">
        <v>12</v>
      </c>
      <c r="C640" s="2">
        <v>3</v>
      </c>
      <c r="D640" s="2">
        <v>7</v>
      </c>
      <c r="E640" s="1">
        <v>23784.355179704</v>
      </c>
      <c r="F640" s="1">
        <f>IF(E640 + F639 &lt; 0, E640 + F639, 0)</f>
        <v>0</v>
      </c>
      <c r="G640" s="1">
        <v>-87106.58582312819</v>
      </c>
      <c r="H640" s="1">
        <f>IF(G640 + H639 &lt; 0, G640 + H639, 0)</f>
        <v>0</v>
      </c>
      <c r="I640" s="1">
        <v>146445.8095655989</v>
      </c>
      <c r="J640" s="1">
        <f>IF(I640 + J639 &lt; 0, I640 + J639, 0)</f>
        <v>0</v>
      </c>
      <c r="K640" s="1">
        <v>146445.8095655989</v>
      </c>
      <c r="L640" s="1">
        <f>IF(K640 + L639 &lt; 0, K640 + L639, 0)</f>
        <v>0</v>
      </c>
      <c r="M640" s="1">
        <v>0</v>
      </c>
      <c r="N640" s="1">
        <f>IF(M640 + N639 &lt; 0, M640 + N639, 0)</f>
        <v>0</v>
      </c>
      <c r="O640" s="1">
        <v>0</v>
      </c>
      <c r="P640" s="1">
        <f>IF(O640 + P639 &lt; 0, O640 + P639, 0)</f>
        <v>0</v>
      </c>
      <c r="Q640" s="1">
        <v>0</v>
      </c>
      <c r="R640" s="1">
        <f>IF(Q640 + R639 &lt; 0, Q640 + R639, 0)</f>
        <v>0</v>
      </c>
      <c r="S640" s="1">
        <v>0</v>
      </c>
      <c r="T640" s="1">
        <f>IF(S640 + T639 &lt; 0, S640 + T639, 0)</f>
        <v>0</v>
      </c>
    </row>
    <row r="641" spans="1:20" s="1" customFormat="1">
      <c r="A641" s="3">
        <v>45916</v>
      </c>
      <c r="B641" s="2" t="s">
        <v>13</v>
      </c>
      <c r="C641" s="2">
        <v>2</v>
      </c>
      <c r="D641" s="2">
        <v>6</v>
      </c>
      <c r="E641" s="1">
        <v>76086.65394098464</v>
      </c>
      <c r="F641" s="1">
        <f>IF(E641 + F640 &lt; 0, E641 + F640, 0)</f>
        <v>0</v>
      </c>
      <c r="G641" s="1">
        <v>-55046.52827487473</v>
      </c>
      <c r="H641" s="1">
        <f>IF(G641 + H640 &lt; 0, G641 + H640, 0)</f>
        <v>0</v>
      </c>
      <c r="I641" s="1">
        <v>-126531.0586176728</v>
      </c>
      <c r="J641" s="1">
        <f>IF(I641 + J640 &lt; 0, I641 + J640, 0)</f>
        <v>0</v>
      </c>
      <c r="K641" s="1">
        <v>-126133.3810546409</v>
      </c>
      <c r="L641" s="1">
        <f>IF(K641 + L640 &lt; 0, K641 + L640, 0)</f>
        <v>0</v>
      </c>
      <c r="M641" s="1">
        <v>16431.9248826291</v>
      </c>
      <c r="N641" s="1">
        <f>IF(M641 + N640 &lt; 0, M641 + N640, 0)</f>
        <v>0</v>
      </c>
      <c r="O641" s="1">
        <v>16431.9248826291</v>
      </c>
      <c r="P641" s="1">
        <f>IF(O641 + P640 &lt; 0, O641 + P640, 0)</f>
        <v>0</v>
      </c>
      <c r="Q641" s="1">
        <v>16431.9248826291</v>
      </c>
      <c r="R641" s="1">
        <f>IF(Q641 + R640 &lt; 0, Q641 + R640, 0)</f>
        <v>0</v>
      </c>
      <c r="S641" s="1">
        <v>16431.9248826291</v>
      </c>
      <c r="T641" s="1">
        <f>IF(S641 + T640 &lt; 0, S641 + T640, 0)</f>
        <v>0</v>
      </c>
    </row>
    <row r="642" spans="1:20" s="1" customFormat="1">
      <c r="A642" s="3">
        <v>45917</v>
      </c>
      <c r="B642" s="2" t="s">
        <v>14</v>
      </c>
      <c r="C642" s="2">
        <v>1</v>
      </c>
      <c r="D642" s="2">
        <v>5</v>
      </c>
      <c r="E642" s="1">
        <v>206141.556096412</v>
      </c>
      <c r="F642" s="1">
        <f>IF(E642 + F641 &lt; 0, E642 + F641, 0)</f>
        <v>0</v>
      </c>
      <c r="G642" s="1">
        <v>243147.9155217084</v>
      </c>
      <c r="H642" s="1">
        <f>IF(G642 + H641 &lt; 0, G642 + H641, 0)</f>
        <v>0</v>
      </c>
      <c r="I642" s="1">
        <v>243147.9155217084</v>
      </c>
      <c r="J642" s="1">
        <f>IF(I642 + J641 &lt; 0, I642 + J641, 0)</f>
        <v>0</v>
      </c>
      <c r="K642" s="1">
        <v>243147.9155217084</v>
      </c>
      <c r="L642" s="1">
        <f>IF(K642 + L641 &lt; 0, K642 + L641, 0)</f>
        <v>0</v>
      </c>
      <c r="M642" s="1">
        <v>40563.16590563166</v>
      </c>
      <c r="N642" s="1">
        <f>IF(M642 + N641 &lt; 0, M642 + N641, 0)</f>
        <v>0</v>
      </c>
      <c r="O642" s="1">
        <v>40563.16590563166</v>
      </c>
      <c r="P642" s="1">
        <f>IF(O642 + P641 &lt; 0, O642 + P641, 0)</f>
        <v>0</v>
      </c>
      <c r="Q642" s="1">
        <v>40563.16590563166</v>
      </c>
      <c r="R642" s="1">
        <f>IF(Q642 + R641 &lt; 0, Q642 + R641, 0)</f>
        <v>0</v>
      </c>
      <c r="S642" s="1">
        <v>40563.16590563166</v>
      </c>
      <c r="T642" s="1">
        <f>IF(S642 + T641 &lt; 0, S642 + T641, 0)</f>
        <v>0</v>
      </c>
    </row>
    <row r="643" spans="1:20" s="1" customFormat="1">
      <c r="A643" s="3">
        <v>45918</v>
      </c>
      <c r="B643" s="2" t="s">
        <v>16</v>
      </c>
      <c r="C643" s="2">
        <v>20</v>
      </c>
      <c r="D643" s="2">
        <v>4</v>
      </c>
      <c r="E643" s="1">
        <v>0</v>
      </c>
      <c r="F643" s="1">
        <f>IF(E643 + F642 &lt; 0, E643 + F642, 0)</f>
        <v>0</v>
      </c>
      <c r="G643" s="1">
        <v>0</v>
      </c>
      <c r="H643" s="1">
        <f>IF(G643 + H642 &lt; 0, G643 + H642, 0)</f>
        <v>0</v>
      </c>
      <c r="I643" s="1">
        <v>0</v>
      </c>
      <c r="J643" s="1">
        <f>IF(I643 + J642 &lt; 0, I643 + J642, 0)</f>
        <v>0</v>
      </c>
      <c r="K643" s="1">
        <v>0</v>
      </c>
      <c r="L643" s="1">
        <f>IF(K643 + L642 &lt; 0, K643 + L642, 0)</f>
        <v>0</v>
      </c>
      <c r="M643" s="1">
        <v>-3612.050415001522</v>
      </c>
      <c r="N643" s="1">
        <f>IF(M643 + N642 &lt; 0, M643 + N642, 0)</f>
        <v>0</v>
      </c>
      <c r="O643" s="1">
        <v>-68167.84506609284</v>
      </c>
      <c r="P643" s="1">
        <f>IF(O643 + P642 &lt; 0, O643 + P642, 0)</f>
        <v>0</v>
      </c>
      <c r="Q643" s="1">
        <v>-103604.3652013526</v>
      </c>
      <c r="R643" s="1">
        <f>IF(Q643 + R642 &lt; 0, Q643 + R642, 0)</f>
        <v>0</v>
      </c>
      <c r="S643" s="1">
        <v>-103604.3652013526</v>
      </c>
      <c r="T643" s="1">
        <f>IF(S643 + T642 &lt; 0, S643 + T642, 0)</f>
        <v>0</v>
      </c>
    </row>
    <row r="644" spans="1:20" s="1" customFormat="1">
      <c r="A644" s="3">
        <v>45919</v>
      </c>
      <c r="B644" s="2" t="s">
        <v>15</v>
      </c>
      <c r="C644" s="2">
        <v>19</v>
      </c>
      <c r="D644" s="2">
        <v>3</v>
      </c>
      <c r="E644" s="1">
        <v>0</v>
      </c>
      <c r="F644" s="1">
        <f>IF(E644 + F643 &lt; 0, E644 + F643, 0)</f>
        <v>0</v>
      </c>
      <c r="G644" s="1">
        <v>0</v>
      </c>
      <c r="H644" s="1">
        <f>IF(G644 + H643 &lt; 0, G644 + H643, 0)</f>
        <v>0</v>
      </c>
      <c r="I644" s="1">
        <v>0</v>
      </c>
      <c r="J644" s="1">
        <f>IF(I644 + J643 &lt; 0, I644 + J643, 0)</f>
        <v>0</v>
      </c>
      <c r="K644" s="1">
        <v>0</v>
      </c>
      <c r="L644" s="1">
        <f>IF(K644 + L643 &lt; 0, K644 + L643, 0)</f>
        <v>0</v>
      </c>
      <c r="M644" s="1">
        <v>20302.93264582662</v>
      </c>
      <c r="N644" s="1">
        <f>IF(M644 + N643 &lt; 0, M644 + N643, 0)</f>
        <v>0</v>
      </c>
      <c r="O644" s="1">
        <v>20302.93264582662</v>
      </c>
      <c r="P644" s="1">
        <f>IF(O644 + P643 &lt; 0, O644 + P643, 0)</f>
        <v>0</v>
      </c>
      <c r="Q644" s="1">
        <v>20302.93264582662</v>
      </c>
      <c r="R644" s="1">
        <f>IF(Q644 + R643 &lt; 0, Q644 + R643, 0)</f>
        <v>0</v>
      </c>
      <c r="S644" s="1">
        <v>20302.93264582662</v>
      </c>
      <c r="T644" s="1">
        <f>IF(S644 + T643 &lt; 0, S644 + T643, 0)</f>
        <v>0</v>
      </c>
    </row>
    <row r="645" spans="1:20" s="1" customFormat="1">
      <c r="A645" s="3">
        <v>45922</v>
      </c>
      <c r="B645" s="2" t="s">
        <v>12</v>
      </c>
      <c r="C645" s="2">
        <v>18</v>
      </c>
      <c r="D645" s="2">
        <v>2</v>
      </c>
      <c r="E645" s="1">
        <v>0</v>
      </c>
      <c r="F645" s="1">
        <f>IF(E645 + F644 &lt; 0, E645 + F644, 0)</f>
        <v>0</v>
      </c>
      <c r="G645" s="1">
        <v>0</v>
      </c>
      <c r="H645" s="1">
        <f>IF(G645 + H644 &lt; 0, G645 + H644, 0)</f>
        <v>0</v>
      </c>
      <c r="I645" s="1">
        <v>0</v>
      </c>
      <c r="J645" s="1">
        <f>IF(I645 + J644 &lt; 0, I645 + J644, 0)</f>
        <v>0</v>
      </c>
      <c r="K645" s="1">
        <v>0</v>
      </c>
      <c r="L645" s="1">
        <f>IF(K645 + L644 &lt; 0, K645 + L644, 0)</f>
        <v>0</v>
      </c>
      <c r="M645" s="1">
        <v>-89784.51069345433</v>
      </c>
      <c r="N645" s="1">
        <f>IF(M645 + N644 &lt; 0, M645 + N644, 0)</f>
        <v>0</v>
      </c>
      <c r="O645" s="1">
        <v>-47257.77705767985</v>
      </c>
      <c r="P645" s="1">
        <f>IF(O645 + P644 &lt; 0, O645 + P644, 0)</f>
        <v>0</v>
      </c>
      <c r="Q645" s="1">
        <v>2187.297472456249</v>
      </c>
      <c r="R645" s="1">
        <f>IF(Q645 + R644 &lt; 0, Q645 + R644, 0)</f>
        <v>0</v>
      </c>
      <c r="S645" s="1">
        <v>2187.297472456249</v>
      </c>
      <c r="T645" s="1">
        <f>IF(S645 + T644 &lt; 0, S645 + T644, 0)</f>
        <v>0</v>
      </c>
    </row>
    <row r="646" spans="1:20" s="1" customFormat="1">
      <c r="A646" s="3">
        <v>45923</v>
      </c>
      <c r="B646" s="2" t="s">
        <v>13</v>
      </c>
      <c r="C646" s="2">
        <v>17</v>
      </c>
      <c r="D646" s="2">
        <v>1</v>
      </c>
      <c r="E646" s="1">
        <v>0</v>
      </c>
      <c r="F646" s="1">
        <f>IF(E646 + F645 &lt; 0, E646 + F645, 0)</f>
        <v>0</v>
      </c>
      <c r="G646" s="1">
        <v>0</v>
      </c>
      <c r="H646" s="1">
        <f>IF(G646 + H645 &lt; 0, G646 + H645, 0)</f>
        <v>0</v>
      </c>
      <c r="I646" s="1">
        <v>0</v>
      </c>
      <c r="J646" s="1">
        <f>IF(I646 + J645 &lt; 0, I646 + J645, 0)</f>
        <v>0</v>
      </c>
      <c r="K646" s="1">
        <v>0</v>
      </c>
      <c r="L646" s="1">
        <f>IF(K646 + L645 &lt; 0, K646 + L645, 0)</f>
        <v>0</v>
      </c>
      <c r="M646" s="1">
        <v>-437.2687521022652</v>
      </c>
      <c r="N646" s="1">
        <f>IF(M646 + N645 &lt; 0, M646 + N645, 0)</f>
        <v>0</v>
      </c>
      <c r="O646" s="1">
        <v>86226.03430877898</v>
      </c>
      <c r="P646" s="1">
        <f>IF(O646 + P645 &lt; 0, O646 + P645, 0)</f>
        <v>0</v>
      </c>
      <c r="Q646" s="1">
        <v>111877.7329297006</v>
      </c>
      <c r="R646" s="1">
        <f>IF(Q646 + R645 &lt; 0, Q646 + R645, 0)</f>
        <v>0</v>
      </c>
      <c r="S646" s="1">
        <v>111877.7329297006</v>
      </c>
      <c r="T646" s="1">
        <f>IF(S646 + T645 &lt; 0, S646 + T645, 0)</f>
        <v>0</v>
      </c>
    </row>
    <row r="647" spans="1:20" s="1" customFormat="1">
      <c r="A647" s="3">
        <v>45924</v>
      </c>
      <c r="B647" s="2" t="s">
        <v>14</v>
      </c>
      <c r="C647" s="2">
        <v>16</v>
      </c>
      <c r="D647" s="2">
        <v>21</v>
      </c>
      <c r="E647" s="1">
        <v>0</v>
      </c>
      <c r="F647" s="1">
        <f>IF(E647 + F646 &lt; 0, E647 + F646, 0)</f>
        <v>0</v>
      </c>
      <c r="G647" s="1">
        <v>0</v>
      </c>
      <c r="H647" s="1">
        <f>IF(G647 + H646 &lt; 0, G647 + H646, 0)</f>
        <v>0</v>
      </c>
      <c r="I647" s="1">
        <v>0</v>
      </c>
      <c r="J647" s="1">
        <f>IF(I647 + J646 &lt; 0, I647 + J646, 0)</f>
        <v>0</v>
      </c>
      <c r="K647" s="1">
        <v>0</v>
      </c>
      <c r="L647" s="1">
        <f>IF(K647 + L646 &lt; 0, K647 + L646, 0)</f>
        <v>0</v>
      </c>
      <c r="M647" s="1">
        <v>0</v>
      </c>
      <c r="N647" s="1">
        <f>IF(M647 + N646 &lt; 0, M647 + N646, 0)</f>
        <v>0</v>
      </c>
      <c r="O647" s="1">
        <v>0</v>
      </c>
      <c r="P647" s="1">
        <f>IF(O647 + P646 &lt; 0, O647 + P646, 0)</f>
        <v>0</v>
      </c>
      <c r="Q647" s="1">
        <v>0</v>
      </c>
      <c r="R647" s="1">
        <f>IF(Q647 + R646 &lt; 0, Q647 + R646, 0)</f>
        <v>0</v>
      </c>
      <c r="S647" s="1">
        <v>0</v>
      </c>
      <c r="T647" s="1">
        <f>IF(S647 + T646 &lt; 0, S647 + T646, 0)</f>
        <v>0</v>
      </c>
    </row>
    <row r="648" spans="1:20" s="1" customFormat="1">
      <c r="A648" s="3">
        <v>45925</v>
      </c>
      <c r="B648" s="2" t="s">
        <v>16</v>
      </c>
      <c r="C648" s="2">
        <v>15</v>
      </c>
      <c r="D648" s="2">
        <v>20</v>
      </c>
      <c r="E648" s="1">
        <v>0</v>
      </c>
      <c r="F648" s="1">
        <f>IF(E648 + F647 &lt; 0, E648 + F647, 0)</f>
        <v>0</v>
      </c>
      <c r="G648" s="1">
        <v>0</v>
      </c>
      <c r="H648" s="1">
        <f>IF(G648 + H647 &lt; 0, G648 + H647, 0)</f>
        <v>0</v>
      </c>
      <c r="I648" s="1">
        <v>0</v>
      </c>
      <c r="J648" s="1">
        <f>IF(I648 + J647 &lt; 0, I648 + J647, 0)</f>
        <v>0</v>
      </c>
      <c r="K648" s="1">
        <v>0</v>
      </c>
      <c r="L648" s="1">
        <f>IF(K648 + L647 &lt; 0, K648 + L647, 0)</f>
        <v>0</v>
      </c>
      <c r="M648" s="1">
        <v>0</v>
      </c>
      <c r="N648" s="1">
        <f>IF(M648 + N647 &lt; 0, M648 + N647, 0)</f>
        <v>0</v>
      </c>
      <c r="O648" s="1">
        <v>0</v>
      </c>
      <c r="P648" s="1">
        <f>IF(O648 + P647 &lt; 0, O648 + P647, 0)</f>
        <v>0</v>
      </c>
      <c r="Q648" s="1">
        <v>0</v>
      </c>
      <c r="R648" s="1">
        <f>IF(Q648 + R647 &lt; 0, Q648 + R647, 0)</f>
        <v>0</v>
      </c>
      <c r="S648" s="1">
        <v>0</v>
      </c>
      <c r="T648" s="1">
        <f>IF(S648 + T647 &lt; 0, S648 + T647, 0)</f>
        <v>0</v>
      </c>
    </row>
    <row r="649" spans="1:20" s="1" customFormat="1">
      <c r="A649" s="3">
        <v>45926</v>
      </c>
      <c r="B649" s="2" t="s">
        <v>15</v>
      </c>
      <c r="C649" s="2">
        <v>14</v>
      </c>
      <c r="D649" s="2">
        <v>19</v>
      </c>
      <c r="E649" s="1">
        <v>0</v>
      </c>
      <c r="F649" s="1">
        <f>IF(E649 + F648 &lt; 0, E649 + F648, 0)</f>
        <v>0</v>
      </c>
      <c r="G649" s="1">
        <v>0</v>
      </c>
      <c r="H649" s="1">
        <f>IF(G649 + H648 &lt; 0, G649 + H648, 0)</f>
        <v>0</v>
      </c>
      <c r="I649" s="1">
        <v>0</v>
      </c>
      <c r="J649" s="1">
        <f>IF(I649 + J648 &lt; 0, I649 + J648, 0)</f>
        <v>0</v>
      </c>
      <c r="K649" s="1">
        <v>0</v>
      </c>
      <c r="L649" s="1">
        <f>IF(K649 + L648 &lt; 0, K649 + L648, 0)</f>
        <v>0</v>
      </c>
      <c r="M649" s="1">
        <v>0</v>
      </c>
      <c r="N649" s="1">
        <f>IF(M649 + N648 &lt; 0, M649 + N648, 0)</f>
        <v>0</v>
      </c>
      <c r="O649" s="1">
        <v>0</v>
      </c>
      <c r="P649" s="1">
        <f>IF(O649 + P648 &lt; 0, O649 + P648, 0)</f>
        <v>0</v>
      </c>
      <c r="Q649" s="1">
        <v>0</v>
      </c>
      <c r="R649" s="1">
        <f>IF(Q649 + R648 &lt; 0, Q649 + R648, 0)</f>
        <v>0</v>
      </c>
      <c r="S649" s="1">
        <v>0</v>
      </c>
      <c r="T649" s="1">
        <f>IF(S649 + T648 &lt; 0, S649 + T648, 0)</f>
        <v>0</v>
      </c>
    </row>
    <row r="650" spans="1:20" s="1" customFormat="1">
      <c r="A650" s="3">
        <v>45929</v>
      </c>
      <c r="B650" s="2" t="s">
        <v>12</v>
      </c>
      <c r="C650" s="2">
        <v>13</v>
      </c>
      <c r="D650" s="2">
        <v>18</v>
      </c>
      <c r="E650" s="1">
        <v>0</v>
      </c>
      <c r="F650" s="1">
        <f>IF(E650 + F649 &lt; 0, E650 + F649, 0)</f>
        <v>0</v>
      </c>
      <c r="G650" s="1">
        <v>0</v>
      </c>
      <c r="H650" s="1">
        <f>IF(G650 + H649 &lt; 0, G650 + H649, 0)</f>
        <v>0</v>
      </c>
      <c r="I650" s="1">
        <v>0</v>
      </c>
      <c r="J650" s="1">
        <f>IF(I650 + J649 &lt; 0, I650 + J649, 0)</f>
        <v>0</v>
      </c>
      <c r="K650" s="1">
        <v>0</v>
      </c>
      <c r="L650" s="1">
        <f>IF(K650 + L649 &lt; 0, K650 + L649, 0)</f>
        <v>0</v>
      </c>
      <c r="M650" s="1">
        <v>0</v>
      </c>
      <c r="N650" s="1">
        <f>IF(M650 + N649 &lt; 0, M650 + N649, 0)</f>
        <v>0</v>
      </c>
      <c r="O650" s="1">
        <v>0</v>
      </c>
      <c r="P650" s="1">
        <f>IF(O650 + P649 &lt; 0, O650 + P649, 0)</f>
        <v>0</v>
      </c>
      <c r="Q650" s="1">
        <v>0</v>
      </c>
      <c r="R650" s="1">
        <f>IF(Q650 + R649 &lt; 0, Q650 + R649, 0)</f>
        <v>0</v>
      </c>
      <c r="S650" s="1">
        <v>0</v>
      </c>
      <c r="T650" s="1">
        <f>IF(S650 + T649 &lt; 0, S650 + T649, 0)</f>
        <v>0</v>
      </c>
    </row>
    <row r="651" spans="1:20" s="1" customFormat="1">
      <c r="A651" s="3">
        <v>45930</v>
      </c>
      <c r="B651" s="2" t="s">
        <v>13</v>
      </c>
      <c r="C651" s="2">
        <v>12</v>
      </c>
      <c r="D651" s="2">
        <v>17</v>
      </c>
      <c r="E651" s="1">
        <v>0</v>
      </c>
      <c r="F651" s="1">
        <f>IF(E651 + F650 &lt; 0, E651 + F650, 0)</f>
        <v>0</v>
      </c>
      <c r="G651" s="1">
        <v>0</v>
      </c>
      <c r="H651" s="1">
        <f>IF(G651 + H650 &lt; 0, G651 + H650, 0)</f>
        <v>0</v>
      </c>
      <c r="I651" s="1">
        <v>0</v>
      </c>
      <c r="J651" s="1">
        <f>IF(I651 + J650 &lt; 0, I651 + J650, 0)</f>
        <v>0</v>
      </c>
      <c r="K651" s="1">
        <v>0</v>
      </c>
      <c r="L651" s="1">
        <f>IF(K651 + L650 &lt; 0, K651 + L650, 0)</f>
        <v>0</v>
      </c>
      <c r="M651" s="1">
        <v>0</v>
      </c>
      <c r="N651" s="1">
        <f>IF(M651 + N650 &lt; 0, M651 + N650, 0)</f>
        <v>0</v>
      </c>
      <c r="O651" s="1">
        <v>0</v>
      </c>
      <c r="P651" s="1">
        <f>IF(O651 + P650 &lt; 0, O651 + P650, 0)</f>
        <v>0</v>
      </c>
      <c r="Q651" s="1">
        <v>0</v>
      </c>
      <c r="R651" s="1">
        <f>IF(Q651 + R650 &lt; 0, Q651 + R650, 0)</f>
        <v>0</v>
      </c>
      <c r="S651" s="1">
        <v>0</v>
      </c>
      <c r="T651" s="1">
        <f>IF(S651 + T650 &lt; 0, S651 + T650, 0)</f>
        <v>0</v>
      </c>
    </row>
    <row r="652" spans="1:20" s="1" customFormat="1">
      <c r="A652" s="3">
        <v>45931</v>
      </c>
      <c r="B652" s="2" t="s">
        <v>14</v>
      </c>
      <c r="C652" s="2">
        <v>11</v>
      </c>
      <c r="D652" s="2">
        <v>16</v>
      </c>
      <c r="E652" s="1">
        <v>0</v>
      </c>
      <c r="F652" s="1">
        <f>IF(E652 + F651 &lt; 0, E652 + F651, 0)</f>
        <v>0</v>
      </c>
      <c r="G652" s="1">
        <v>0</v>
      </c>
      <c r="H652" s="1">
        <f>IF(G652 + H651 &lt; 0, G652 + H651, 0)</f>
        <v>0</v>
      </c>
      <c r="I652" s="1">
        <v>0</v>
      </c>
      <c r="J652" s="1">
        <f>IF(I652 + J651 &lt; 0, I652 + J651, 0)</f>
        <v>0</v>
      </c>
      <c r="K652" s="1">
        <v>0</v>
      </c>
      <c r="L652" s="1">
        <f>IF(K652 + L651 &lt; 0, K652 + L651, 0)</f>
        <v>0</v>
      </c>
      <c r="M652" s="1">
        <v>0</v>
      </c>
      <c r="N652" s="1">
        <f>IF(M652 + N651 &lt; 0, M652 + N651, 0)</f>
        <v>0</v>
      </c>
      <c r="O652" s="1">
        <v>0</v>
      </c>
      <c r="P652" s="1">
        <f>IF(O652 + P651 &lt; 0, O652 + P651, 0)</f>
        <v>0</v>
      </c>
      <c r="Q652" s="1">
        <v>0</v>
      </c>
      <c r="R652" s="1">
        <f>IF(Q652 + R651 &lt; 0, Q652 + R651, 0)</f>
        <v>0</v>
      </c>
      <c r="S652" s="1">
        <v>0</v>
      </c>
      <c r="T652" s="1">
        <f>IF(S652 + T651 &lt; 0, S652 + T651, 0)</f>
        <v>0</v>
      </c>
    </row>
    <row r="653" spans="1:20" s="1" customFormat="1">
      <c r="A653" s="3">
        <v>45933</v>
      </c>
      <c r="B653" s="2" t="s">
        <v>15</v>
      </c>
      <c r="C653" s="2">
        <v>10</v>
      </c>
      <c r="D653" s="2">
        <v>15</v>
      </c>
      <c r="E653" s="1">
        <v>77841.42235361748</v>
      </c>
      <c r="F653" s="1">
        <f>IF(E653 + F652 &lt; 0, E653 + F652, 0)</f>
        <v>0</v>
      </c>
      <c r="G653" s="1">
        <v>77841.42235361748</v>
      </c>
      <c r="H653" s="1">
        <f>IF(G653 + H652 &lt; 0, G653 + H652, 0)</f>
        <v>0</v>
      </c>
      <c r="I653" s="1">
        <v>77841.42235361748</v>
      </c>
      <c r="J653" s="1">
        <f>IF(I653 + J652 &lt; 0, I653 + J652, 0)</f>
        <v>0</v>
      </c>
      <c r="K653" s="1">
        <v>77841.42235361748</v>
      </c>
      <c r="L653" s="1">
        <f>IF(K653 + L652 &lt; 0, K653 + L652, 0)</f>
        <v>0</v>
      </c>
      <c r="M653" s="1">
        <v>0</v>
      </c>
      <c r="N653" s="1">
        <f>IF(M653 + N652 &lt; 0, M653 + N652, 0)</f>
        <v>0</v>
      </c>
      <c r="O653" s="1">
        <v>0</v>
      </c>
      <c r="P653" s="1">
        <f>IF(O653 + P652 &lt; 0, O653 + P652, 0)</f>
        <v>0</v>
      </c>
      <c r="Q653" s="1">
        <v>0</v>
      </c>
      <c r="R653" s="1">
        <f>IF(Q653 + R652 &lt; 0, Q653 + R652, 0)</f>
        <v>0</v>
      </c>
      <c r="S653" s="1">
        <v>0</v>
      </c>
      <c r="T653" s="1">
        <f>IF(S653 + T652 &lt; 0, S653 + T652, 0)</f>
        <v>0</v>
      </c>
    </row>
    <row r="654" spans="1:20" s="1" customFormat="1">
      <c r="A654" s="3">
        <v>45936</v>
      </c>
      <c r="B654" s="2" t="s">
        <v>12</v>
      </c>
      <c r="C654" s="2">
        <v>9</v>
      </c>
      <c r="D654" s="2">
        <v>14</v>
      </c>
      <c r="E654" s="1">
        <v>-7806.112123052001</v>
      </c>
      <c r="F654" s="1">
        <f>IF(E654 + F653 &lt; 0, E654 + F653, 0)</f>
        <v>0</v>
      </c>
      <c r="G654" s="1">
        <v>33586.31855899616</v>
      </c>
      <c r="H654" s="1">
        <f>IF(G654 + H653 &lt; 0, G654 + H653, 0)</f>
        <v>0</v>
      </c>
      <c r="I654" s="1">
        <v>33586.31855899616</v>
      </c>
      <c r="J654" s="1">
        <f>IF(I654 + J653 &lt; 0, I654 + J653, 0)</f>
        <v>0</v>
      </c>
      <c r="K654" s="1">
        <v>33586.31855899616</v>
      </c>
      <c r="L654" s="1">
        <f>IF(K654 + L653 &lt; 0, K654 + L653, 0)</f>
        <v>0</v>
      </c>
      <c r="M654" s="1">
        <v>0</v>
      </c>
      <c r="N654" s="1">
        <f>IF(M654 + N653 &lt; 0, M654 + N653, 0)</f>
        <v>0</v>
      </c>
      <c r="O654" s="1">
        <v>0</v>
      </c>
      <c r="P654" s="1">
        <f>IF(O654 + P653 &lt; 0, O654 + P653, 0)</f>
        <v>0</v>
      </c>
      <c r="Q654" s="1">
        <v>0</v>
      </c>
      <c r="R654" s="1">
        <f>IF(Q654 + R653 &lt; 0, Q654 + R653, 0)</f>
        <v>0</v>
      </c>
      <c r="S654" s="1">
        <v>0</v>
      </c>
      <c r="T654" s="1">
        <f>IF(S654 + T653 &lt; 0, S654 + T653, 0)</f>
        <v>0</v>
      </c>
    </row>
    <row r="655" spans="1:20" s="1" customFormat="1">
      <c r="A655" s="3">
        <v>45937</v>
      </c>
      <c r="B655" s="2" t="s">
        <v>13</v>
      </c>
      <c r="C655" s="2">
        <v>8</v>
      </c>
      <c r="D655" s="2">
        <v>13</v>
      </c>
      <c r="E655" s="1">
        <v>-108320.8819609902</v>
      </c>
      <c r="F655" s="1">
        <f>IF(E655 + F654 &lt; 0, E655 + F654, 0)</f>
        <v>0</v>
      </c>
      <c r="G655" s="1">
        <v>29792.43225780398</v>
      </c>
      <c r="H655" s="1">
        <f>IF(G655 + H654 &lt; 0, G655 + H654, 0)</f>
        <v>0</v>
      </c>
      <c r="I655" s="1">
        <v>29792.43225780398</v>
      </c>
      <c r="J655" s="1">
        <f>IF(I655 + J654 &lt; 0, I655 + J654, 0)</f>
        <v>0</v>
      </c>
      <c r="K655" s="1">
        <v>29792.43225780398</v>
      </c>
      <c r="L655" s="1">
        <f>IF(K655 + L654 &lt; 0, K655 + L654, 0)</f>
        <v>0</v>
      </c>
      <c r="M655" s="1">
        <v>0</v>
      </c>
      <c r="N655" s="1">
        <f>IF(M655 + N654 &lt; 0, M655 + N654, 0)</f>
        <v>0</v>
      </c>
      <c r="O655" s="1">
        <v>0</v>
      </c>
      <c r="P655" s="1">
        <f>IF(O655 + P654 &lt; 0, O655 + P654, 0)</f>
        <v>0</v>
      </c>
      <c r="Q655" s="1">
        <v>0</v>
      </c>
      <c r="R655" s="1">
        <f>IF(Q655 + R654 &lt; 0, Q655 + R654, 0)</f>
        <v>0</v>
      </c>
      <c r="S655" s="1">
        <v>0</v>
      </c>
      <c r="T655" s="1">
        <f>IF(S655 + T654 &lt; 0, S655 + T654, 0)</f>
        <v>0</v>
      </c>
    </row>
    <row r="656" spans="1:20" s="1" customFormat="1">
      <c r="A656" s="3">
        <v>45938</v>
      </c>
      <c r="B656" s="2" t="s">
        <v>14</v>
      </c>
      <c r="C656" s="2">
        <v>7</v>
      </c>
      <c r="D656" s="2">
        <v>12</v>
      </c>
      <c r="E656" s="1">
        <v>46288.85854285485</v>
      </c>
      <c r="F656" s="1">
        <f>IF(E656 + F655 &lt; 0, E656 + F655, 0)</f>
        <v>0</v>
      </c>
      <c r="G656" s="1">
        <v>46288.85854285485</v>
      </c>
      <c r="H656" s="1">
        <f>IF(G656 + H655 &lt; 0, G656 + H655, 0)</f>
        <v>0</v>
      </c>
      <c r="I656" s="1">
        <v>46288.85854285485</v>
      </c>
      <c r="J656" s="1">
        <f>IF(I656 + J655 &lt; 0, I656 + J655, 0)</f>
        <v>0</v>
      </c>
      <c r="K656" s="1">
        <v>46288.85854285485</v>
      </c>
      <c r="L656" s="1">
        <f>IF(K656 + L655 &lt; 0, K656 + L655, 0)</f>
        <v>0</v>
      </c>
      <c r="M656" s="1">
        <v>0</v>
      </c>
      <c r="N656" s="1">
        <f>IF(M656 + N655 &lt; 0, M656 + N655, 0)</f>
        <v>0</v>
      </c>
      <c r="O656" s="1">
        <v>0</v>
      </c>
      <c r="P656" s="1">
        <f>IF(O656 + P655 &lt; 0, O656 + P655, 0)</f>
        <v>0</v>
      </c>
      <c r="Q656" s="1">
        <v>0</v>
      </c>
      <c r="R656" s="1">
        <f>IF(Q656 + R655 &lt; 0, Q656 + R655, 0)</f>
        <v>0</v>
      </c>
      <c r="S656" s="1">
        <v>0</v>
      </c>
      <c r="T656" s="1">
        <f>IF(S656 + T655 &lt; 0, S656 + T655, 0)</f>
        <v>0</v>
      </c>
    </row>
    <row r="657" spans="1:20" s="1" customFormat="1">
      <c r="A657" s="3">
        <v>45939</v>
      </c>
      <c r="B657" s="2" t="s">
        <v>16</v>
      </c>
      <c r="C657" s="2">
        <v>6</v>
      </c>
      <c r="D657" s="2">
        <v>11</v>
      </c>
      <c r="E657" s="1">
        <v>-58011.62182812561</v>
      </c>
      <c r="F657" s="1">
        <f>IF(E657 + F656 &lt; 0, E657 + F656, 0)</f>
        <v>0</v>
      </c>
      <c r="G657" s="1">
        <v>-68564.76454739211</v>
      </c>
      <c r="H657" s="1">
        <f>IF(G657 + H656 &lt; 0, G657 + H656, 0)</f>
        <v>0</v>
      </c>
      <c r="I657" s="1">
        <v>-68564.76454739211</v>
      </c>
      <c r="J657" s="1">
        <f>IF(I657 + J656 &lt; 0, I657 + J656, 0)</f>
        <v>0</v>
      </c>
      <c r="K657" s="1">
        <v>-68564.76454739211</v>
      </c>
      <c r="L657" s="1">
        <f>IF(K657 + L656 &lt; 0, K657 + L656, 0)</f>
        <v>0</v>
      </c>
      <c r="M657" s="1">
        <v>0</v>
      </c>
      <c r="N657" s="1">
        <f>IF(M657 + N656 &lt; 0, M657 + N656, 0)</f>
        <v>0</v>
      </c>
      <c r="O657" s="1">
        <v>0</v>
      </c>
      <c r="P657" s="1">
        <f>IF(O657 + P656 &lt; 0, O657 + P656, 0)</f>
        <v>0</v>
      </c>
      <c r="Q657" s="1">
        <v>0</v>
      </c>
      <c r="R657" s="1">
        <f>IF(Q657 + R656 &lt; 0, Q657 + R656, 0)</f>
        <v>0</v>
      </c>
      <c r="S657" s="1">
        <v>0</v>
      </c>
      <c r="T657" s="1">
        <f>IF(S657 + T656 &lt; 0, S657 + T656, 0)</f>
        <v>0</v>
      </c>
    </row>
    <row r="658" spans="1:20" s="1" customFormat="1">
      <c r="A658" s="3">
        <v>45940</v>
      </c>
      <c r="B658" s="2" t="s">
        <v>15</v>
      </c>
      <c r="C658" s="2">
        <v>5</v>
      </c>
      <c r="D658" s="2">
        <v>10</v>
      </c>
      <c r="E658" s="1">
        <v>85112.4736072763</v>
      </c>
      <c r="F658" s="1">
        <f>IF(E658 + F657 &lt; 0, E658 + F657, 0)</f>
        <v>0</v>
      </c>
      <c r="G658" s="1">
        <v>-165110.8494396622</v>
      </c>
      <c r="H658" s="1">
        <f>IF(G658 + H657 &lt; 0, G658 + H657, 0)</f>
        <v>0</v>
      </c>
      <c r="I658" s="1">
        <v>-325184.7490661037</v>
      </c>
      <c r="J658" s="1">
        <f>IF(I658 + J657 &lt; 0, I658 + J657, 0)</f>
        <v>0</v>
      </c>
      <c r="K658" s="1">
        <v>-325184.7490661037</v>
      </c>
      <c r="L658" s="1">
        <f>IF(K658 + L657 &lt; 0, K658 + L657, 0)</f>
        <v>0</v>
      </c>
      <c r="M658" s="1">
        <v>0</v>
      </c>
      <c r="N658" s="1">
        <f>IF(M658 + N657 &lt; 0, M658 + N657, 0)</f>
        <v>0</v>
      </c>
      <c r="O658" s="1">
        <v>0</v>
      </c>
      <c r="P658" s="1">
        <f>IF(O658 + P657 &lt; 0, O658 + P657, 0)</f>
        <v>0</v>
      </c>
      <c r="Q658" s="1">
        <v>0</v>
      </c>
      <c r="R658" s="1">
        <f>IF(Q658 + R657 &lt; 0, Q658 + R657, 0)</f>
        <v>0</v>
      </c>
      <c r="S658" s="1">
        <v>0</v>
      </c>
      <c r="T658" s="1">
        <f>IF(S658 + T657 &lt; 0, S658 + T657, 0)</f>
        <v>0</v>
      </c>
    </row>
    <row r="659" spans="1:20" s="1" customFormat="1">
      <c r="A659" s="3">
        <v>45943</v>
      </c>
      <c r="B659" s="2" t="s">
        <v>12</v>
      </c>
      <c r="C659" s="2">
        <v>4</v>
      </c>
      <c r="D659" s="2">
        <v>9</v>
      </c>
      <c r="E659" s="1">
        <v>-99392.94984509754</v>
      </c>
      <c r="F659" s="1">
        <f>IF(E659 + F658 &lt; 0, E659 + F658, 0)</f>
        <v>0</v>
      </c>
      <c r="G659" s="1">
        <v>168027.2963242067</v>
      </c>
      <c r="H659" s="1">
        <f>IF(G659 + H658 &lt; 0, G659 + H658, 0)</f>
        <v>0</v>
      </c>
      <c r="I659" s="1">
        <v>168027.2963242067</v>
      </c>
      <c r="J659" s="1">
        <f>IF(I659 + J658 &lt; 0, I659 + J658, 0)</f>
        <v>0</v>
      </c>
      <c r="K659" s="1">
        <v>168027.2963242067</v>
      </c>
      <c r="L659" s="1">
        <f>IF(K659 + L658 &lt; 0, K659 + L658, 0)</f>
        <v>0</v>
      </c>
      <c r="M659" s="1">
        <v>0</v>
      </c>
      <c r="N659" s="1">
        <f>IF(M659 + N658 &lt; 0, M659 + N658, 0)</f>
        <v>0</v>
      </c>
      <c r="O659" s="1">
        <v>0</v>
      </c>
      <c r="P659" s="1">
        <f>IF(O659 + P658 &lt; 0, O659 + P658, 0)</f>
        <v>0</v>
      </c>
      <c r="Q659" s="1">
        <v>0</v>
      </c>
      <c r="R659" s="1">
        <f>IF(Q659 + R658 &lt; 0, Q659 + R658, 0)</f>
        <v>0</v>
      </c>
      <c r="S659" s="1">
        <v>0</v>
      </c>
      <c r="T659" s="1">
        <f>IF(S659 + T658 &lt; 0, S659 + T658, 0)</f>
        <v>0</v>
      </c>
    </row>
    <row r="660" spans="1:20" s="1" customFormat="1">
      <c r="A660" s="3">
        <v>45944</v>
      </c>
      <c r="B660" s="2" t="s">
        <v>13</v>
      </c>
      <c r="C660" s="2">
        <v>3</v>
      </c>
      <c r="D660" s="2">
        <v>8</v>
      </c>
      <c r="E660" s="1">
        <v>250051.3153485254</v>
      </c>
      <c r="F660" s="1">
        <f>IF(E660 + F659 &lt; 0, E660 + F659, 0)</f>
        <v>0</v>
      </c>
      <c r="G660" s="1">
        <v>250051.3153485254</v>
      </c>
      <c r="H660" s="1">
        <f>IF(G660 + H659 &lt; 0, G660 + H659, 0)</f>
        <v>0</v>
      </c>
      <c r="I660" s="1">
        <v>250051.3153485254</v>
      </c>
      <c r="J660" s="1">
        <f>IF(I660 + J659 &lt; 0, I660 + J659, 0)</f>
        <v>0</v>
      </c>
      <c r="K660" s="1">
        <v>250051.3153485254</v>
      </c>
      <c r="L660" s="1">
        <f>IF(K660 + L659 &lt; 0, K660 + L659, 0)</f>
        <v>0</v>
      </c>
      <c r="M660" s="1">
        <v>0</v>
      </c>
      <c r="N660" s="1">
        <f>IF(M660 + N659 &lt; 0, M660 + N659, 0)</f>
        <v>0</v>
      </c>
      <c r="O660" s="1">
        <v>0</v>
      </c>
      <c r="P660" s="1">
        <f>IF(O660 + P659 &lt; 0, O660 + P659, 0)</f>
        <v>0</v>
      </c>
      <c r="Q660" s="1">
        <v>0</v>
      </c>
      <c r="R660" s="1">
        <f>IF(Q660 + R659 &lt; 0, Q660 + R659, 0)</f>
        <v>0</v>
      </c>
      <c r="S660" s="1">
        <v>0</v>
      </c>
      <c r="T660" s="1">
        <f>IF(S660 + T659 &lt; 0, S660 + T659, 0)</f>
        <v>0</v>
      </c>
    </row>
    <row r="661" spans="1:20" s="1" customFormat="1">
      <c r="A661" s="3">
        <v>45945</v>
      </c>
      <c r="B661" s="2" t="s">
        <v>14</v>
      </c>
      <c r="C661" s="2">
        <v>2</v>
      </c>
      <c r="D661" s="2">
        <v>7</v>
      </c>
      <c r="E661" s="1">
        <v>-125646.791741626</v>
      </c>
      <c r="F661" s="1">
        <f>IF(E661 + F660 &lt; 0, E661 + F660, 0)</f>
        <v>0</v>
      </c>
      <c r="G661" s="1">
        <v>199027.6706930523</v>
      </c>
      <c r="H661" s="1">
        <f>IF(G661 + H660 &lt; 0, G661 + H660, 0)</f>
        <v>0</v>
      </c>
      <c r="I661" s="1">
        <v>199027.6706930523</v>
      </c>
      <c r="J661" s="1">
        <f>IF(I661 + J660 &lt; 0, I661 + J660, 0)</f>
        <v>0</v>
      </c>
      <c r="K661" s="1">
        <v>199027.6706930523</v>
      </c>
      <c r="L661" s="1">
        <f>IF(K661 + L660 &lt; 0, K661 + L660, 0)</f>
        <v>0</v>
      </c>
      <c r="M661" s="1">
        <v>0</v>
      </c>
      <c r="N661" s="1">
        <f>IF(M661 + N660 &lt; 0, M661 + N660, 0)</f>
        <v>0</v>
      </c>
      <c r="O661" s="1">
        <v>0</v>
      </c>
      <c r="P661" s="1">
        <f>IF(O661 + P660 &lt; 0, O661 + P660, 0)</f>
        <v>0</v>
      </c>
      <c r="Q661" s="1">
        <v>0</v>
      </c>
      <c r="R661" s="1">
        <f>IF(Q661 + R660 &lt; 0, Q661 + R660, 0)</f>
        <v>0</v>
      </c>
      <c r="S661" s="1">
        <v>0</v>
      </c>
      <c r="T661" s="1">
        <f>IF(S661 + T660 &lt; 0, S661 + T660, 0)</f>
        <v>0</v>
      </c>
    </row>
    <row r="662" spans="1:20" s="1" customFormat="1">
      <c r="A662" s="3">
        <v>45946</v>
      </c>
      <c r="B662" s="2" t="s">
        <v>16</v>
      </c>
      <c r="C662" s="2">
        <v>1</v>
      </c>
      <c r="D662" s="2">
        <v>6</v>
      </c>
      <c r="E662" s="1">
        <v>139497.4614921263</v>
      </c>
      <c r="F662" s="1">
        <f>IF(E662 + F661 &lt; 0, E662 + F661, 0)</f>
        <v>0</v>
      </c>
      <c r="G662" s="1">
        <v>26555.37389209191</v>
      </c>
      <c r="H662" s="1">
        <f>IF(G662 + H661 &lt; 0, G662 + H661, 0)</f>
        <v>0</v>
      </c>
      <c r="I662" s="1">
        <v>-64538.33577144823</v>
      </c>
      <c r="J662" s="1">
        <f>IF(I662 + J661 &lt; 0, I662 + J661, 0)</f>
        <v>0</v>
      </c>
      <c r="K662" s="1">
        <v>-57223.9910506841</v>
      </c>
      <c r="L662" s="1">
        <f>IF(K662 + L661 &lt; 0, K662 + L661, 0)</f>
        <v>0</v>
      </c>
      <c r="M662" s="1">
        <v>-15854.42049359576</v>
      </c>
      <c r="N662" s="1">
        <f>IF(M662 + N661 &lt; 0, M662 + N661, 0)</f>
        <v>0</v>
      </c>
      <c r="O662" s="1">
        <v>-15854.42049359576</v>
      </c>
      <c r="P662" s="1">
        <f>IF(O662 + P661 &lt; 0, O662 + P661, 0)</f>
        <v>0</v>
      </c>
      <c r="Q662" s="1">
        <v>-15854.42049359576</v>
      </c>
      <c r="R662" s="1">
        <f>IF(Q662 + R661 &lt; 0, Q662 + R661, 0)</f>
        <v>0</v>
      </c>
      <c r="S662" s="1">
        <v>-15854.42049359576</v>
      </c>
      <c r="T662" s="1">
        <f>IF(S662 + T661 &lt; 0, S662 + T661, 0)</f>
        <v>0</v>
      </c>
    </row>
    <row r="663" spans="1:20" s="1" customFormat="1">
      <c r="A663" s="3">
        <v>45947</v>
      </c>
      <c r="B663" s="2" t="s">
        <v>15</v>
      </c>
      <c r="C663" s="2">
        <v>21</v>
      </c>
      <c r="D663" s="2">
        <v>5</v>
      </c>
      <c r="E663" s="1">
        <v>0</v>
      </c>
      <c r="F663" s="1">
        <f>IF(E663 + F662 &lt; 0, E663 + F662, 0)</f>
        <v>0</v>
      </c>
      <c r="G663" s="1">
        <v>0</v>
      </c>
      <c r="H663" s="1">
        <f>IF(G663 + H662 &lt; 0, G663 + H662, 0)</f>
        <v>0</v>
      </c>
      <c r="I663" s="1">
        <v>0</v>
      </c>
      <c r="J663" s="1">
        <f>IF(I663 + J662 &lt; 0, I663 + J662, 0)</f>
        <v>0</v>
      </c>
      <c r="K663" s="1">
        <v>0</v>
      </c>
      <c r="L663" s="1">
        <f>IF(K663 + L662 &lt; 0, K663 + L662, 0)</f>
        <v>0</v>
      </c>
      <c r="M663" s="1">
        <v>18749.99999999999</v>
      </c>
      <c r="N663" s="1">
        <f>IF(M663 + N662 &lt; 0, M663 + N662, 0)</f>
        <v>0</v>
      </c>
      <c r="O663" s="1">
        <v>18749.99999999999</v>
      </c>
      <c r="P663" s="1">
        <f>IF(O663 + P662 &lt; 0, O663 + P662, 0)</f>
        <v>0</v>
      </c>
      <c r="Q663" s="1">
        <v>18749.99999999999</v>
      </c>
      <c r="R663" s="1">
        <f>IF(Q663 + R662 &lt; 0, Q663 + R662, 0)</f>
        <v>0</v>
      </c>
      <c r="S663" s="1">
        <v>18749.99999999999</v>
      </c>
      <c r="T663" s="1">
        <f>IF(S663 + T662 &lt; 0, S663 + T662, 0)</f>
        <v>0</v>
      </c>
    </row>
    <row r="664" spans="1:20" s="1" customFormat="1">
      <c r="A664" s="3">
        <v>45950</v>
      </c>
      <c r="B664" s="2" t="s">
        <v>12</v>
      </c>
      <c r="C664" s="2">
        <v>20</v>
      </c>
      <c r="D664" s="2">
        <v>4</v>
      </c>
      <c r="E664" s="1">
        <v>0</v>
      </c>
      <c r="F664" s="1">
        <f>IF(E664 + F663 &lt; 0, E664 + F663, 0)</f>
        <v>0</v>
      </c>
      <c r="G664" s="1">
        <v>0</v>
      </c>
      <c r="H664" s="1">
        <f>IF(G664 + H663 &lt; 0, G664 + H663, 0)</f>
        <v>0</v>
      </c>
      <c r="I664" s="1">
        <v>0</v>
      </c>
      <c r="J664" s="1">
        <f>IF(I664 + J663 &lt; 0, I664 + J663, 0)</f>
        <v>0</v>
      </c>
      <c r="K664" s="1">
        <v>0</v>
      </c>
      <c r="L664" s="1">
        <f>IF(K664 + L663 &lt; 0, K664 + L663, 0)</f>
        <v>0</v>
      </c>
      <c r="M664" s="1">
        <v>-121165.1583710407</v>
      </c>
      <c r="N664" s="1">
        <f>IF(M664 + N663 &lt; 0, M664 + N663, 0)</f>
        <v>0</v>
      </c>
      <c r="O664" s="1">
        <v>-122692.3076923077</v>
      </c>
      <c r="P664" s="1">
        <f>IF(O664 + P663 &lt; 0, O664 + P663, 0)</f>
        <v>0</v>
      </c>
      <c r="Q664" s="1">
        <v>-122692.3076923077</v>
      </c>
      <c r="R664" s="1">
        <f>IF(Q664 + R663 &lt; 0, Q664 + R663, 0)</f>
        <v>0</v>
      </c>
      <c r="S664" s="1">
        <v>-122692.3076923077</v>
      </c>
      <c r="T664" s="1">
        <f>IF(S664 + T663 &lt; 0, S664 + T663, 0)</f>
        <v>0</v>
      </c>
    </row>
    <row r="665" spans="1:20" s="1" customFormat="1">
      <c r="A665" s="3">
        <v>45952</v>
      </c>
      <c r="B665" s="2" t="s">
        <v>14</v>
      </c>
      <c r="C665" s="2">
        <v>19</v>
      </c>
      <c r="D665" s="2">
        <v>3</v>
      </c>
      <c r="E665" s="1">
        <v>0</v>
      </c>
      <c r="F665" s="1">
        <f>IF(E665 + F664 &lt; 0, E665 + F664, 0)</f>
        <v>0</v>
      </c>
      <c r="G665" s="1">
        <v>0</v>
      </c>
      <c r="H665" s="1">
        <f>IF(G665 + H664 &lt; 0, G665 + H664, 0)</f>
        <v>0</v>
      </c>
      <c r="I665" s="1">
        <v>0</v>
      </c>
      <c r="J665" s="1">
        <f>IF(I665 + J664 &lt; 0, I665 + J664, 0)</f>
        <v>0</v>
      </c>
      <c r="K665" s="1">
        <v>0</v>
      </c>
      <c r="L665" s="1">
        <f>IF(K665 + L664 &lt; 0, K665 + L664, 0)</f>
        <v>0</v>
      </c>
      <c r="M665" s="1">
        <v>64546.94323144104</v>
      </c>
      <c r="N665" s="1">
        <f>IF(M665 + N664 &lt; 0, M665 + N664, 0)</f>
        <v>0</v>
      </c>
      <c r="O665" s="1">
        <v>64546.94323144104</v>
      </c>
      <c r="P665" s="1">
        <f>IF(O665 + P664 &lt; 0, O665 + P664, 0)</f>
        <v>0</v>
      </c>
      <c r="Q665" s="1">
        <v>64546.94323144104</v>
      </c>
      <c r="R665" s="1">
        <f>IF(Q665 + R664 &lt; 0, Q665 + R664, 0)</f>
        <v>0</v>
      </c>
      <c r="S665" s="1">
        <v>64546.94323144104</v>
      </c>
      <c r="T665" s="1">
        <f>IF(S665 + T664 &lt; 0, S665 + T664, 0)</f>
        <v>0</v>
      </c>
    </row>
    <row r="666" spans="1:20" s="1" customFormat="1">
      <c r="A666" s="3">
        <v>45953</v>
      </c>
      <c r="B666" s="2" t="s">
        <v>16</v>
      </c>
      <c r="C666" s="2">
        <v>18</v>
      </c>
      <c r="D666" s="2">
        <v>2</v>
      </c>
      <c r="E666" s="1">
        <v>0</v>
      </c>
      <c r="F666" s="1">
        <f>IF(E666 + F665 &lt; 0, E666 + F665, 0)</f>
        <v>0</v>
      </c>
      <c r="G666" s="1">
        <v>0</v>
      </c>
      <c r="H666" s="1">
        <f>IF(G666 + H665 &lt; 0, G666 + H665, 0)</f>
        <v>0</v>
      </c>
      <c r="I666" s="1">
        <v>0</v>
      </c>
      <c r="J666" s="1">
        <f>IF(I666 + J665 &lt; 0, I666 + J665, 0)</f>
        <v>0</v>
      </c>
      <c r="K666" s="1">
        <v>0</v>
      </c>
      <c r="L666" s="1">
        <f>IF(K666 + L665 &lt; 0, K666 + L665, 0)</f>
        <v>0</v>
      </c>
      <c r="M666" s="1">
        <v>-120973.9368998628</v>
      </c>
      <c r="N666" s="1">
        <f>IF(M666 + N665 &lt; 0, M666 + N665, 0)</f>
        <v>0</v>
      </c>
      <c r="O666" s="1">
        <v>-67812.07133058985</v>
      </c>
      <c r="P666" s="1">
        <f>IF(O666 + P665 &lt; 0, O666 + P665, 0)</f>
        <v>0</v>
      </c>
      <c r="Q666" s="1">
        <v>2469.135802469129</v>
      </c>
      <c r="R666" s="1">
        <f>IF(Q666 + R665 &lt; 0, Q666 + R665, 0)</f>
        <v>0</v>
      </c>
      <c r="S666" s="1">
        <v>2469.135802469129</v>
      </c>
      <c r="T666" s="1">
        <f>IF(S666 + T665 &lt; 0, S666 + T665, 0)</f>
        <v>0</v>
      </c>
    </row>
    <row r="667" spans="1:20" s="1" customFormat="1">
      <c r="A667" s="3">
        <v>45954</v>
      </c>
      <c r="B667" s="2" t="s">
        <v>15</v>
      </c>
      <c r="C667" s="2">
        <v>17</v>
      </c>
      <c r="D667" s="2">
        <v>1</v>
      </c>
      <c r="E667" s="1">
        <v>0</v>
      </c>
      <c r="F667" s="1">
        <f>IF(E667 + F666 &lt; 0, E667 + F666, 0)</f>
        <v>0</v>
      </c>
      <c r="G667" s="1">
        <v>0</v>
      </c>
      <c r="H667" s="1">
        <f>IF(G667 + H666 &lt; 0, G667 + H666, 0)</f>
        <v>0</v>
      </c>
      <c r="I667" s="1">
        <v>0</v>
      </c>
      <c r="J667" s="1">
        <f>IF(I667 + J666 &lt; 0, I667 + J666, 0)</f>
        <v>0</v>
      </c>
      <c r="K667" s="1">
        <v>0</v>
      </c>
      <c r="L667" s="1">
        <f>IF(K667 + L666 &lt; 0, K667 + L666, 0)</f>
        <v>0</v>
      </c>
      <c r="M667" s="1">
        <v>29744.13646055437</v>
      </c>
      <c r="N667" s="1">
        <f>IF(M667 + N666 &lt; 0, M667 + N666, 0)</f>
        <v>0</v>
      </c>
      <c r="O667" s="1">
        <v>4868.514570007108</v>
      </c>
      <c r="P667" s="1">
        <f>IF(O667 + P666 &lt; 0, O667 + P666, 0)</f>
        <v>0</v>
      </c>
      <c r="Q667" s="1">
        <v>98916.13361762615</v>
      </c>
      <c r="R667" s="1">
        <f>IF(Q667 + R666 &lt; 0, Q667 + R666, 0)</f>
        <v>0</v>
      </c>
      <c r="S667" s="1">
        <v>98916.13361762615</v>
      </c>
      <c r="T667" s="1">
        <f>IF(S667 + T666 &lt; 0, S667 + T666, 0)</f>
        <v>0</v>
      </c>
    </row>
    <row r="668" spans="1:20" s="1" customFormat="1">
      <c r="A668" s="3">
        <v>45957</v>
      </c>
      <c r="B668" s="2" t="s">
        <v>12</v>
      </c>
      <c r="C668" s="2">
        <v>16</v>
      </c>
      <c r="D668" s="2">
        <v>18</v>
      </c>
      <c r="E668" s="1">
        <v>0</v>
      </c>
      <c r="F668" s="1">
        <f>IF(E668 + F667 &lt; 0, E668 + F667, 0)</f>
        <v>0</v>
      </c>
      <c r="G668" s="1">
        <v>0</v>
      </c>
      <c r="H668" s="1">
        <f>IF(G668 + H667 &lt; 0, G668 + H667, 0)</f>
        <v>0</v>
      </c>
      <c r="I668" s="1">
        <v>0</v>
      </c>
      <c r="J668" s="1">
        <f>IF(I668 + J667 &lt; 0, I668 + J667, 0)</f>
        <v>0</v>
      </c>
      <c r="K668" s="1">
        <v>0</v>
      </c>
      <c r="L668" s="1">
        <f>IF(K668 + L667 &lt; 0, K668 + L667, 0)</f>
        <v>0</v>
      </c>
      <c r="M668" s="1">
        <v>0</v>
      </c>
      <c r="N668" s="1">
        <f>IF(M668 + N667 &lt; 0, M668 + N667, 0)</f>
        <v>0</v>
      </c>
      <c r="O668" s="1">
        <v>0</v>
      </c>
      <c r="P668" s="1">
        <f>IF(O668 + P667 &lt; 0, O668 + P667, 0)</f>
        <v>0</v>
      </c>
      <c r="Q668" s="1">
        <v>0</v>
      </c>
      <c r="R668" s="1">
        <f>IF(Q668 + R667 &lt; 0, Q668 + R667, 0)</f>
        <v>0</v>
      </c>
      <c r="S668" s="1">
        <v>0</v>
      </c>
      <c r="T668" s="1">
        <f>IF(S668 + T667 &lt; 0, S668 + T667, 0)</f>
        <v>0</v>
      </c>
    </row>
    <row r="669" spans="1:20" s="1" customFormat="1">
      <c r="A669" s="3">
        <v>45958</v>
      </c>
      <c r="B669" s="2" t="s">
        <v>13</v>
      </c>
      <c r="C669" s="2">
        <v>15</v>
      </c>
      <c r="D669" s="2">
        <v>17</v>
      </c>
      <c r="E669" s="1">
        <v>0</v>
      </c>
      <c r="F669" s="1">
        <f>IF(E669 + F668 &lt; 0, E669 + F668, 0)</f>
        <v>0</v>
      </c>
      <c r="G669" s="1">
        <v>0</v>
      </c>
      <c r="H669" s="1">
        <f>IF(G669 + H668 &lt; 0, G669 + H668, 0)</f>
        <v>0</v>
      </c>
      <c r="I669" s="1">
        <v>0</v>
      </c>
      <c r="J669" s="1">
        <f>IF(I669 + J668 &lt; 0, I669 + J668, 0)</f>
        <v>0</v>
      </c>
      <c r="K669" s="1">
        <v>0</v>
      </c>
      <c r="L669" s="1">
        <f>IF(K669 + L668 &lt; 0, K669 + L668, 0)</f>
        <v>0</v>
      </c>
      <c r="M669" s="1">
        <v>0</v>
      </c>
      <c r="N669" s="1">
        <f>IF(M669 + N668 &lt; 0, M669 + N668, 0)</f>
        <v>0</v>
      </c>
      <c r="O669" s="1">
        <v>0</v>
      </c>
      <c r="P669" s="1">
        <f>IF(O669 + P668 &lt; 0, O669 + P668, 0)</f>
        <v>0</v>
      </c>
      <c r="Q669" s="1">
        <v>0</v>
      </c>
      <c r="R669" s="1">
        <f>IF(Q669 + R668 &lt; 0, Q669 + R668, 0)</f>
        <v>0</v>
      </c>
      <c r="S669" s="1">
        <v>0</v>
      </c>
      <c r="T669" s="1">
        <f>IF(S669 + T668 &lt; 0, S669 + T668, 0)</f>
        <v>0</v>
      </c>
    </row>
    <row r="670" spans="1:20" s="1" customFormat="1">
      <c r="A670" s="3">
        <v>45959</v>
      </c>
      <c r="B670" s="2" t="s">
        <v>14</v>
      </c>
      <c r="C670" s="2">
        <v>14</v>
      </c>
      <c r="D670" s="2">
        <v>16</v>
      </c>
      <c r="E670" s="1">
        <v>0</v>
      </c>
      <c r="F670" s="1">
        <f>IF(E670 + F669 &lt; 0, E670 + F669, 0)</f>
        <v>0</v>
      </c>
      <c r="G670" s="1">
        <v>0</v>
      </c>
      <c r="H670" s="1">
        <f>IF(G670 + H669 &lt; 0, G670 + H669, 0)</f>
        <v>0</v>
      </c>
      <c r="I670" s="1">
        <v>0</v>
      </c>
      <c r="J670" s="1">
        <f>IF(I670 + J669 &lt; 0, I670 + J669, 0)</f>
        <v>0</v>
      </c>
      <c r="K670" s="1">
        <v>0</v>
      </c>
      <c r="L670" s="1">
        <f>IF(K670 + L669 &lt; 0, K670 + L669, 0)</f>
        <v>0</v>
      </c>
      <c r="M670" s="1">
        <v>0</v>
      </c>
      <c r="N670" s="1">
        <f>IF(M670 + N669 &lt; 0, M670 + N669, 0)</f>
        <v>0</v>
      </c>
      <c r="O670" s="1">
        <v>0</v>
      </c>
      <c r="P670" s="1">
        <f>IF(O670 + P669 &lt; 0, O670 + P669, 0)</f>
        <v>0</v>
      </c>
      <c r="Q670" s="1">
        <v>0</v>
      </c>
      <c r="R670" s="1">
        <f>IF(Q670 + R669 &lt; 0, Q670 + R669, 0)</f>
        <v>0</v>
      </c>
      <c r="S670" s="1">
        <v>0</v>
      </c>
      <c r="T670" s="1">
        <f>IF(S670 + T669 &lt; 0, S670 + T669, 0)</f>
        <v>0</v>
      </c>
    </row>
    <row r="671" spans="1:20" s="1" customFormat="1">
      <c r="A671" s="3">
        <v>45960</v>
      </c>
      <c r="B671" s="2" t="s">
        <v>16</v>
      </c>
      <c r="C671" s="2">
        <v>13</v>
      </c>
      <c r="D671" s="2">
        <v>15</v>
      </c>
      <c r="E671" s="1">
        <v>0</v>
      </c>
      <c r="F671" s="1">
        <f>IF(E671 + F670 &lt; 0, E671 + F670, 0)</f>
        <v>0</v>
      </c>
      <c r="G671" s="1">
        <v>0</v>
      </c>
      <c r="H671" s="1">
        <f>IF(G671 + H670 &lt; 0, G671 + H670, 0)</f>
        <v>0</v>
      </c>
      <c r="I671" s="1">
        <v>0</v>
      </c>
      <c r="J671" s="1">
        <f>IF(I671 + J670 &lt; 0, I671 + J670, 0)</f>
        <v>0</v>
      </c>
      <c r="K671" s="1">
        <v>0</v>
      </c>
      <c r="L671" s="1">
        <f>IF(K671 + L670 &lt; 0, K671 + L670, 0)</f>
        <v>0</v>
      </c>
      <c r="M671" s="1">
        <v>0</v>
      </c>
      <c r="N671" s="1">
        <f>IF(M671 + N670 &lt; 0, M671 + N670, 0)</f>
        <v>0</v>
      </c>
      <c r="O671" s="1">
        <v>0</v>
      </c>
      <c r="P671" s="1">
        <f>IF(O671 + P670 &lt; 0, O671 + P670, 0)</f>
        <v>0</v>
      </c>
      <c r="Q671" s="1">
        <v>0</v>
      </c>
      <c r="R671" s="1">
        <f>IF(Q671 + R670 &lt; 0, Q671 + R670, 0)</f>
        <v>0</v>
      </c>
      <c r="S671" s="1">
        <v>0</v>
      </c>
      <c r="T671" s="1">
        <f>IF(S671 + T670 &lt; 0, S671 + T670, 0)</f>
        <v>0</v>
      </c>
    </row>
    <row r="672" spans="1:20" s="1" customFormat="1">
      <c r="A672" s="3">
        <v>45961</v>
      </c>
      <c r="B672" s="2" t="s">
        <v>15</v>
      </c>
      <c r="C672" s="2">
        <v>12</v>
      </c>
      <c r="D672" s="2">
        <v>14</v>
      </c>
      <c r="E672" s="1">
        <v>0</v>
      </c>
      <c r="F672" s="1">
        <f>IF(E672 + F671 &lt; 0, E672 + F671, 0)</f>
        <v>0</v>
      </c>
      <c r="G672" s="1">
        <v>0</v>
      </c>
      <c r="H672" s="1">
        <f>IF(G672 + H671 &lt; 0, G672 + H671, 0)</f>
        <v>0</v>
      </c>
      <c r="I672" s="1">
        <v>0</v>
      </c>
      <c r="J672" s="1">
        <f>IF(I672 + J671 &lt; 0, I672 + J671, 0)</f>
        <v>0</v>
      </c>
      <c r="K672" s="1">
        <v>0</v>
      </c>
      <c r="L672" s="1">
        <f>IF(K672 + L671 &lt; 0, K672 + L671, 0)</f>
        <v>0</v>
      </c>
      <c r="M672" s="1">
        <v>0</v>
      </c>
      <c r="N672" s="1">
        <f>IF(M672 + N671 &lt; 0, M672 + N671, 0)</f>
        <v>0</v>
      </c>
      <c r="O672" s="1">
        <v>0</v>
      </c>
      <c r="P672" s="1">
        <f>IF(O672 + P671 &lt; 0, O672 + P671, 0)</f>
        <v>0</v>
      </c>
      <c r="Q672" s="1">
        <v>0</v>
      </c>
      <c r="R672" s="1">
        <f>IF(Q672 + R671 &lt; 0, Q672 + R671, 0)</f>
        <v>0</v>
      </c>
      <c r="S672" s="1">
        <v>0</v>
      </c>
      <c r="T672" s="1">
        <f>IF(S672 + T671 &lt; 0, S672 + T671, 0)</f>
        <v>0</v>
      </c>
    </row>
    <row r="673" spans="1:20" s="1" customFormat="1">
      <c r="A673" s="3">
        <v>45964</v>
      </c>
      <c r="B673" s="2" t="s">
        <v>12</v>
      </c>
      <c r="C673" s="2">
        <v>11</v>
      </c>
      <c r="D673" s="2">
        <v>13</v>
      </c>
      <c r="E673" s="1">
        <v>0</v>
      </c>
      <c r="F673" s="1">
        <f>IF(E673 + F672 &lt; 0, E673 + F672, 0)</f>
        <v>0</v>
      </c>
      <c r="G673" s="1">
        <v>0</v>
      </c>
      <c r="H673" s="1">
        <f>IF(G673 + H672 &lt; 0, G673 + H672, 0)</f>
        <v>0</v>
      </c>
      <c r="I673" s="1">
        <v>0</v>
      </c>
      <c r="J673" s="1">
        <f>IF(I673 + J672 &lt; 0, I673 + J672, 0)</f>
        <v>0</v>
      </c>
      <c r="K673" s="1">
        <v>0</v>
      </c>
      <c r="L673" s="1">
        <f>IF(K673 + L672 &lt; 0, K673 + L672, 0)</f>
        <v>0</v>
      </c>
      <c r="M673" s="1">
        <v>0</v>
      </c>
      <c r="N673" s="1">
        <f>IF(M673 + N672 &lt; 0, M673 + N672, 0)</f>
        <v>0</v>
      </c>
      <c r="O673" s="1">
        <v>0</v>
      </c>
      <c r="P673" s="1">
        <f>IF(O673 + P672 &lt; 0, O673 + P672, 0)</f>
        <v>0</v>
      </c>
      <c r="Q673" s="1">
        <v>0</v>
      </c>
      <c r="R673" s="1">
        <f>IF(Q673 + R672 &lt; 0, Q673 + R672, 0)</f>
        <v>0</v>
      </c>
      <c r="S673" s="1">
        <v>0</v>
      </c>
      <c r="T673" s="1">
        <f>IF(S673 + T672 &lt; 0, S673 + T672, 0)</f>
        <v>0</v>
      </c>
    </row>
    <row r="674" spans="1:20" s="1" customFormat="1">
      <c r="A674" s="3">
        <v>45965</v>
      </c>
      <c r="B674" s="2" t="s">
        <v>13</v>
      </c>
      <c r="C674" s="2">
        <v>10</v>
      </c>
      <c r="D674" s="2">
        <v>12</v>
      </c>
      <c r="E674" s="1">
        <v>66664.61133719736</v>
      </c>
      <c r="F674" s="1">
        <f>IF(E674 + F673 &lt; 0, E674 + F673, 0)</f>
        <v>0</v>
      </c>
      <c r="G674" s="1">
        <v>66664.61133719736</v>
      </c>
      <c r="H674" s="1">
        <f>IF(G674 + H673 &lt; 0, G674 + H673, 0)</f>
        <v>0</v>
      </c>
      <c r="I674" s="1">
        <v>66664.61133719736</v>
      </c>
      <c r="J674" s="1">
        <f>IF(I674 + J673 &lt; 0, I674 + J673, 0)</f>
        <v>0</v>
      </c>
      <c r="K674" s="1">
        <v>66664.61133719736</v>
      </c>
      <c r="L674" s="1">
        <f>IF(K674 + L673 &lt; 0, K674 + L673, 0)</f>
        <v>0</v>
      </c>
      <c r="M674" s="1">
        <v>0</v>
      </c>
      <c r="N674" s="1">
        <f>IF(M674 + N673 &lt; 0, M674 + N673, 0)</f>
        <v>0</v>
      </c>
      <c r="O674" s="1">
        <v>0</v>
      </c>
      <c r="P674" s="1">
        <f>IF(O674 + P673 &lt; 0, O674 + P673, 0)</f>
        <v>0</v>
      </c>
      <c r="Q674" s="1">
        <v>0</v>
      </c>
      <c r="R674" s="1">
        <f>IF(Q674 + R673 &lt; 0, Q674 + R673, 0)</f>
        <v>0</v>
      </c>
      <c r="S674" s="1">
        <v>0</v>
      </c>
      <c r="T674" s="1">
        <f>IF(S674 + T673 &lt; 0, S674 + T673, 0)</f>
        <v>0</v>
      </c>
    </row>
    <row r="675" spans="1:20" s="1" customFormat="1">
      <c r="A675" s="3">
        <v>45966</v>
      </c>
      <c r="B675" s="2" t="s">
        <v>14</v>
      </c>
      <c r="C675" s="2">
        <v>9</v>
      </c>
      <c r="D675" s="2">
        <v>11</v>
      </c>
      <c r="E675" s="1">
        <v>-34363.81587066516</v>
      </c>
      <c r="F675" s="1">
        <f>IF(E675 + F674 &lt; 0, E675 + F674, 0)</f>
        <v>0</v>
      </c>
      <c r="G675" s="1">
        <v>2231.683738533051</v>
      </c>
      <c r="H675" s="1">
        <f>IF(G675 + H674 &lt; 0, G675 + H674, 0)</f>
        <v>0</v>
      </c>
      <c r="I675" s="1">
        <v>2231.683738533051</v>
      </c>
      <c r="J675" s="1">
        <f>IF(I675 + J674 &lt; 0, I675 + J674, 0)</f>
        <v>0</v>
      </c>
      <c r="K675" s="1">
        <v>2231.683738533051</v>
      </c>
      <c r="L675" s="1">
        <f>IF(K675 + L674 &lt; 0, K675 + L674, 0)</f>
        <v>0</v>
      </c>
      <c r="M675" s="1">
        <v>0</v>
      </c>
      <c r="N675" s="1">
        <f>IF(M675 + N674 &lt; 0, M675 + N674, 0)</f>
        <v>0</v>
      </c>
      <c r="O675" s="1">
        <v>0</v>
      </c>
      <c r="P675" s="1">
        <f>IF(O675 + P674 &lt; 0, O675 + P674, 0)</f>
        <v>0</v>
      </c>
      <c r="Q675" s="1">
        <v>0</v>
      </c>
      <c r="R675" s="1">
        <f>IF(Q675 + R674 &lt; 0, Q675 + R674, 0)</f>
        <v>0</v>
      </c>
      <c r="S675" s="1">
        <v>0</v>
      </c>
      <c r="T675" s="1">
        <f>IF(S675 + T674 &lt; 0, S675 + T674, 0)</f>
        <v>0</v>
      </c>
    </row>
    <row r="676" spans="1:20" s="1" customFormat="1">
      <c r="A676" s="3">
        <v>45967</v>
      </c>
      <c r="B676" s="2" t="s">
        <v>16</v>
      </c>
      <c r="C676" s="2">
        <v>8</v>
      </c>
      <c r="D676" s="2">
        <v>10</v>
      </c>
      <c r="E676" s="1">
        <v>-137690.1479277543</v>
      </c>
      <c r="F676" s="1">
        <f>IF(E676 + F675 &lt; 0, E676 + F675, 0)</f>
        <v>0</v>
      </c>
      <c r="G676" s="1">
        <v>-63822.65431840088</v>
      </c>
      <c r="H676" s="1">
        <f>IF(G676 + H675 &lt; 0, G676 + H675, 0)</f>
        <v>0</v>
      </c>
      <c r="I676" s="1">
        <v>-63822.65431840088</v>
      </c>
      <c r="J676" s="1">
        <f>IF(I676 + J675 &lt; 0, I676 + J675, 0)</f>
        <v>0</v>
      </c>
      <c r="K676" s="1">
        <v>-63822.65431840088</v>
      </c>
      <c r="L676" s="1">
        <f>IF(K676 + L675 &lt; 0, K676 + L675, 0)</f>
        <v>0</v>
      </c>
      <c r="M676" s="1">
        <v>0</v>
      </c>
      <c r="N676" s="1">
        <f>IF(M676 + N675 &lt; 0, M676 + N675, 0)</f>
        <v>0</v>
      </c>
      <c r="O676" s="1">
        <v>0</v>
      </c>
      <c r="P676" s="1">
        <f>IF(O676 + P675 &lt; 0, O676 + P675, 0)</f>
        <v>0</v>
      </c>
      <c r="Q676" s="1">
        <v>0</v>
      </c>
      <c r="R676" s="1">
        <f>IF(Q676 + R675 &lt; 0, Q676 + R675, 0)</f>
        <v>0</v>
      </c>
      <c r="S676" s="1">
        <v>0</v>
      </c>
      <c r="T676" s="1">
        <f>IF(S676 + T675 &lt; 0, S676 + T675, 0)</f>
        <v>0</v>
      </c>
    </row>
    <row r="677" spans="1:20" s="1" customFormat="1">
      <c r="A677" s="3">
        <v>45968</v>
      </c>
      <c r="B677" s="2" t="s">
        <v>15</v>
      </c>
      <c r="C677" s="2">
        <v>7</v>
      </c>
      <c r="D677" s="2">
        <v>9</v>
      </c>
      <c r="E677" s="1">
        <v>30472.71507067656</v>
      </c>
      <c r="F677" s="1">
        <f>IF(E677 + F676 &lt; 0, E677 + F676, 0)</f>
        <v>0</v>
      </c>
      <c r="G677" s="1">
        <v>30472.71507067656</v>
      </c>
      <c r="H677" s="1">
        <f>IF(G677 + H676 &lt; 0, G677 + H676, 0)</f>
        <v>0</v>
      </c>
      <c r="I677" s="1">
        <v>30472.71507067656</v>
      </c>
      <c r="J677" s="1">
        <f>IF(I677 + J676 &lt; 0, I677 + J676, 0)</f>
        <v>0</v>
      </c>
      <c r="K677" s="1">
        <v>30472.71507067656</v>
      </c>
      <c r="L677" s="1">
        <f>IF(K677 + L676 &lt; 0, K677 + L676, 0)</f>
        <v>0</v>
      </c>
      <c r="M677" s="1">
        <v>0</v>
      </c>
      <c r="N677" s="1">
        <f>IF(M677 + N676 &lt; 0, M677 + N676, 0)</f>
        <v>0</v>
      </c>
      <c r="O677" s="1">
        <v>0</v>
      </c>
      <c r="P677" s="1">
        <f>IF(O677 + P676 &lt; 0, O677 + P676, 0)</f>
        <v>0</v>
      </c>
      <c r="Q677" s="1">
        <v>0</v>
      </c>
      <c r="R677" s="1">
        <f>IF(Q677 + R676 &lt; 0, Q677 + R676, 0)</f>
        <v>0</v>
      </c>
      <c r="S677" s="1">
        <v>0</v>
      </c>
      <c r="T677" s="1">
        <f>IF(S677 + T676 &lt; 0, S677 + T676, 0)</f>
        <v>0</v>
      </c>
    </row>
    <row r="678" spans="1:20" s="1" customFormat="1">
      <c r="A678" s="3">
        <v>45971</v>
      </c>
      <c r="B678" s="2" t="s">
        <v>12</v>
      </c>
      <c r="C678" s="2">
        <v>6</v>
      </c>
      <c r="D678" s="2">
        <v>8</v>
      </c>
      <c r="E678" s="1">
        <v>107929.9733865602</v>
      </c>
      <c r="F678" s="1">
        <f>IF(E678 + F677 &lt; 0, E678 + F677, 0)</f>
        <v>0</v>
      </c>
      <c r="G678" s="1">
        <v>107929.9733865602</v>
      </c>
      <c r="H678" s="1">
        <f>IF(G678 + H677 &lt; 0, G678 + H677, 0)</f>
        <v>0</v>
      </c>
      <c r="I678" s="1">
        <v>107929.9733865602</v>
      </c>
      <c r="J678" s="1">
        <f>IF(I678 + J677 &lt; 0, I678 + J677, 0)</f>
        <v>0</v>
      </c>
      <c r="K678" s="1">
        <v>107929.9733865602</v>
      </c>
      <c r="L678" s="1">
        <f>IF(K678 + L677 &lt; 0, K678 + L677, 0)</f>
        <v>0</v>
      </c>
      <c r="M678" s="1">
        <v>0</v>
      </c>
      <c r="N678" s="1">
        <f>IF(M678 + N677 &lt; 0, M678 + N677, 0)</f>
        <v>0</v>
      </c>
      <c r="O678" s="1">
        <v>0</v>
      </c>
      <c r="P678" s="1">
        <f>IF(O678 + P677 &lt; 0, O678 + P677, 0)</f>
        <v>0</v>
      </c>
      <c r="Q678" s="1">
        <v>0</v>
      </c>
      <c r="R678" s="1">
        <f>IF(Q678 + R677 &lt; 0, Q678 + R677, 0)</f>
        <v>0</v>
      </c>
      <c r="S678" s="1">
        <v>0</v>
      </c>
      <c r="T678" s="1">
        <f>IF(S678 + T677 &lt; 0, S678 + T677, 0)</f>
        <v>0</v>
      </c>
    </row>
    <row r="679" spans="1:20" s="1" customFormat="1">
      <c r="A679" s="3">
        <v>45972</v>
      </c>
      <c r="B679" s="2" t="s">
        <v>13</v>
      </c>
      <c r="C679" s="2">
        <v>5</v>
      </c>
      <c r="D679" s="2">
        <v>7</v>
      </c>
      <c r="E679" s="1">
        <v>-15013.75114592883</v>
      </c>
      <c r="F679" s="1">
        <f>IF(E679 + F678 &lt; 0, E679 + F678, 0)</f>
        <v>0</v>
      </c>
      <c r="G679" s="1">
        <v>16657.63813651137</v>
      </c>
      <c r="H679" s="1">
        <f>IF(G679 + H678 &lt; 0, G679 + H678, 0)</f>
        <v>0</v>
      </c>
      <c r="I679" s="1">
        <v>16657.63813651137</v>
      </c>
      <c r="J679" s="1">
        <f>IF(I679 + J678 &lt; 0, I679 + J678, 0)</f>
        <v>0</v>
      </c>
      <c r="K679" s="1">
        <v>16657.63813651137</v>
      </c>
      <c r="L679" s="1">
        <f>IF(K679 + L678 &lt; 0, K679 + L678, 0)</f>
        <v>0</v>
      </c>
      <c r="M679" s="1">
        <v>0</v>
      </c>
      <c r="N679" s="1">
        <f>IF(M679 + N678 &lt; 0, M679 + N678, 0)</f>
        <v>0</v>
      </c>
      <c r="O679" s="1">
        <v>0</v>
      </c>
      <c r="P679" s="1">
        <f>IF(O679 + P678 &lt; 0, O679 + P678, 0)</f>
        <v>0</v>
      </c>
      <c r="Q679" s="1">
        <v>0</v>
      </c>
      <c r="R679" s="1">
        <f>IF(Q679 + R678 &lt; 0, Q679 + R678, 0)</f>
        <v>0</v>
      </c>
      <c r="S679" s="1">
        <v>0</v>
      </c>
      <c r="T679" s="1">
        <f>IF(S679 + T678 &lt; 0, S679 + T678, 0)</f>
        <v>0</v>
      </c>
    </row>
    <row r="680" spans="1:20" s="1" customFormat="1">
      <c r="A680" s="3">
        <v>45973</v>
      </c>
      <c r="B680" s="2" t="s">
        <v>14</v>
      </c>
      <c r="C680" s="2">
        <v>4</v>
      </c>
      <c r="D680" s="2">
        <v>6</v>
      </c>
      <c r="E680" s="1">
        <v>92252.05761316871</v>
      </c>
      <c r="F680" s="1">
        <f>IF(E680 + F679 &lt; 0, E680 + F679, 0)</f>
        <v>0</v>
      </c>
      <c r="G680" s="1">
        <v>-104147.1193415638</v>
      </c>
      <c r="H680" s="1">
        <f>IF(G680 + H679 &lt; 0, G680 + H679, 0)</f>
        <v>0</v>
      </c>
      <c r="I680" s="1">
        <v>-324510.2880658437</v>
      </c>
      <c r="J680" s="1">
        <f>IF(I680 + J679 &lt; 0, I680 + J679, 0)</f>
        <v>0</v>
      </c>
      <c r="K680" s="1">
        <v>-324510.2880658437</v>
      </c>
      <c r="L680" s="1">
        <f>IF(K680 + L679 &lt; 0, K680 + L679, 0)</f>
        <v>0</v>
      </c>
      <c r="M680" s="1">
        <v>6529.850746268658</v>
      </c>
      <c r="N680" s="1">
        <f>IF(M680 + N679 &lt; 0, M680 + N679, 0)</f>
        <v>0</v>
      </c>
      <c r="O680" s="1">
        <v>6529.850746268658</v>
      </c>
      <c r="P680" s="1">
        <f>IF(O680 + P679 &lt; 0, O680 + P679, 0)</f>
        <v>0</v>
      </c>
      <c r="Q680" s="1">
        <v>6529.850746268658</v>
      </c>
      <c r="R680" s="1">
        <f>IF(Q680 + R679 &lt; 0, Q680 + R679, 0)</f>
        <v>0</v>
      </c>
      <c r="S680" s="1">
        <v>6529.850746268658</v>
      </c>
      <c r="T680" s="1">
        <f>IF(S680 + T679 &lt; 0, S680 + T679, 0)</f>
        <v>0</v>
      </c>
    </row>
    <row r="681" spans="1:20" s="1" customFormat="1">
      <c r="A681" s="3">
        <v>45974</v>
      </c>
      <c r="B681" s="2" t="s">
        <v>16</v>
      </c>
      <c r="C681" s="2">
        <v>3</v>
      </c>
      <c r="D681" s="2">
        <v>5</v>
      </c>
      <c r="E681" s="1">
        <v>132083.5473377846</v>
      </c>
      <c r="F681" s="1">
        <f>IF(E681 + F680 &lt; 0, E681 + F680, 0)</f>
        <v>0</v>
      </c>
      <c r="G681" s="1">
        <v>132083.5473377846</v>
      </c>
      <c r="H681" s="1">
        <f>IF(G681 + H680 &lt; 0, G681 + H680, 0)</f>
        <v>0</v>
      </c>
      <c r="I681" s="1">
        <v>132083.5473377846</v>
      </c>
      <c r="J681" s="1">
        <f>IF(I681 + J680 &lt; 0, I681 + J680, 0)</f>
        <v>0</v>
      </c>
      <c r="K681" s="1">
        <v>132083.5473377846</v>
      </c>
      <c r="L681" s="1">
        <f>IF(K681 + L680 &lt; 0, K681 + L680, 0)</f>
        <v>0</v>
      </c>
      <c r="M681" s="1">
        <v>-89704.9657178475</v>
      </c>
      <c r="N681" s="1">
        <f>IF(M681 + N680 &lt; 0, M681 + N680, 0)</f>
        <v>0</v>
      </c>
      <c r="O681" s="1">
        <v>-89704.9657178475</v>
      </c>
      <c r="P681" s="1">
        <f>IF(O681 + P680 &lt; 0, O681 + P680, 0)</f>
        <v>0</v>
      </c>
      <c r="Q681" s="1">
        <v>-89704.9657178475</v>
      </c>
      <c r="R681" s="1">
        <f>IF(Q681 + R680 &lt; 0, Q681 + R680, 0)</f>
        <v>0</v>
      </c>
      <c r="S681" s="1">
        <v>-89704.9657178475</v>
      </c>
      <c r="T681" s="1">
        <f>IF(S681 + T680 &lt; 0, S681 + T680, 0)</f>
        <v>0</v>
      </c>
    </row>
    <row r="682" spans="1:20" s="1" customFormat="1">
      <c r="A682" s="3">
        <v>45975</v>
      </c>
      <c r="B682" s="2" t="s">
        <v>15</v>
      </c>
      <c r="C682" s="2">
        <v>2</v>
      </c>
      <c r="D682" s="2">
        <v>4</v>
      </c>
      <c r="E682" s="1">
        <v>-60560.28160750953</v>
      </c>
      <c r="F682" s="1">
        <f>IF(E682 + F681 &lt; 0, E682 + F681, 0)</f>
        <v>0</v>
      </c>
      <c r="G682" s="1">
        <v>163118.6355445669</v>
      </c>
      <c r="H682" s="1">
        <f>IF(G682 + H681 &lt; 0, G682 + H681, 0)</f>
        <v>0</v>
      </c>
      <c r="I682" s="1">
        <v>163118.6355445669</v>
      </c>
      <c r="J682" s="1">
        <f>IF(I682 + J681 &lt; 0, I682 + J681, 0)</f>
        <v>0</v>
      </c>
      <c r="K682" s="1">
        <v>163118.6355445669</v>
      </c>
      <c r="L682" s="1">
        <f>IF(K682 + L681 &lt; 0, K682 + L681, 0)</f>
        <v>0</v>
      </c>
      <c r="M682" s="1">
        <v>-4165.81995529364</v>
      </c>
      <c r="N682" s="1">
        <f>IF(M682 + N681 &lt; 0, M682 + N681, 0)</f>
        <v>0</v>
      </c>
      <c r="O682" s="1">
        <v>-4165.81995529364</v>
      </c>
      <c r="P682" s="1">
        <f>IF(O682 + P681 &lt; 0, O682 + P681, 0)</f>
        <v>0</v>
      </c>
      <c r="Q682" s="1">
        <v>-4165.81995529364</v>
      </c>
      <c r="R682" s="1">
        <f>IF(Q682 + R681 &lt; 0, Q682 + R681, 0)</f>
        <v>0</v>
      </c>
      <c r="S682" s="1">
        <v>-4165.81995529364</v>
      </c>
      <c r="T682" s="1">
        <f>IF(S682 + T681 &lt; 0, S682 + T681, 0)</f>
        <v>0</v>
      </c>
    </row>
    <row r="683" spans="1:20" s="1" customFormat="1">
      <c r="A683" s="3">
        <v>45978</v>
      </c>
      <c r="B683" s="2" t="s">
        <v>12</v>
      </c>
      <c r="C683" s="2">
        <v>1</v>
      </c>
      <c r="D683" s="2">
        <v>3</v>
      </c>
      <c r="E683" s="1">
        <v>262330.3927746272</v>
      </c>
      <c r="F683" s="1">
        <f>IF(E683 + F682 &lt; 0, E683 + F682, 0)</f>
        <v>0</v>
      </c>
      <c r="G683" s="1">
        <v>262330.3927746272</v>
      </c>
      <c r="H683" s="1">
        <f>IF(G683 + H682 &lt; 0, G683 + H682, 0)</f>
        <v>0</v>
      </c>
      <c r="I683" s="1">
        <v>262330.3927746272</v>
      </c>
      <c r="J683" s="1">
        <f>IF(I683 + J682 &lt; 0, I683 + J682, 0)</f>
        <v>0</v>
      </c>
      <c r="K683" s="1">
        <v>262330.3927746272</v>
      </c>
      <c r="L683" s="1">
        <f>IF(K683 + L682 &lt; 0, K683 + L682, 0)</f>
        <v>0</v>
      </c>
      <c r="M683" s="1">
        <v>32807.57097791797</v>
      </c>
      <c r="N683" s="1">
        <f>IF(M683 + N682 &lt; 0, M683 + N682, 0)</f>
        <v>0</v>
      </c>
      <c r="O683" s="1">
        <v>32807.57097791797</v>
      </c>
      <c r="P683" s="1">
        <f>IF(O683 + P682 &lt; 0, O683 + P682, 0)</f>
        <v>0</v>
      </c>
      <c r="Q683" s="1">
        <v>32807.57097791797</v>
      </c>
      <c r="R683" s="1">
        <f>IF(Q683 + R682 &lt; 0, Q683 + R682, 0)</f>
        <v>0</v>
      </c>
      <c r="S683" s="1">
        <v>32807.57097791797</v>
      </c>
      <c r="T683" s="1">
        <f>IF(S683 + T682 &lt; 0, S683 + T682, 0)</f>
        <v>0</v>
      </c>
    </row>
    <row r="684" spans="1:20" s="1" customFormat="1">
      <c r="A684" s="3">
        <v>45979</v>
      </c>
      <c r="B684" s="2" t="s">
        <v>13</v>
      </c>
      <c r="C684" s="2">
        <v>21</v>
      </c>
      <c r="D684" s="2">
        <v>2</v>
      </c>
      <c r="E684" s="1">
        <v>0</v>
      </c>
      <c r="F684" s="1">
        <f>IF(E684 + F683 &lt; 0, E684 + F683, 0)</f>
        <v>0</v>
      </c>
      <c r="G684" s="1">
        <v>0</v>
      </c>
      <c r="H684" s="1">
        <f>IF(G684 + H683 &lt; 0, G684 + H683, 0)</f>
        <v>0</v>
      </c>
      <c r="I684" s="1">
        <v>0</v>
      </c>
      <c r="J684" s="1">
        <f>IF(I684 + J683 &lt; 0, I684 + J683, 0)</f>
        <v>0</v>
      </c>
      <c r="K684" s="1">
        <v>0</v>
      </c>
      <c r="L684" s="1">
        <f>IF(K684 + L683 &lt; 0, K684 + L683, 0)</f>
        <v>0</v>
      </c>
      <c r="M684" s="1">
        <v>1940.073291657684</v>
      </c>
      <c r="N684" s="1">
        <f>IF(M684 + N683 &lt; 0, M684 + N683, 0)</f>
        <v>0</v>
      </c>
      <c r="O684" s="1">
        <v>1940.073291657684</v>
      </c>
      <c r="P684" s="1">
        <f>IF(O684 + P683 &lt; 0, O684 + P683, 0)</f>
        <v>0</v>
      </c>
      <c r="Q684" s="1">
        <v>1940.073291657684</v>
      </c>
      <c r="R684" s="1">
        <f>IF(Q684 + R683 &lt; 0, Q684 + R683, 0)</f>
        <v>0</v>
      </c>
      <c r="S684" s="1">
        <v>1940.073291657684</v>
      </c>
      <c r="T684" s="1">
        <f>IF(S684 + T683 &lt; 0, S684 + T683, 0)</f>
        <v>0</v>
      </c>
    </row>
    <row r="685" spans="1:20" s="1" customFormat="1">
      <c r="A685" s="3">
        <v>45980</v>
      </c>
      <c r="B685" s="2" t="s">
        <v>14</v>
      </c>
      <c r="C685" s="2">
        <v>20</v>
      </c>
      <c r="D685" s="2">
        <v>1</v>
      </c>
      <c r="E685" s="1">
        <v>0</v>
      </c>
      <c r="F685" s="1">
        <f>IF(E685 + F684 &lt; 0, E685 + F684, 0)</f>
        <v>0</v>
      </c>
      <c r="G685" s="1">
        <v>0</v>
      </c>
      <c r="H685" s="1">
        <f>IF(G685 + H684 &lt; 0, G685 + H684, 0)</f>
        <v>0</v>
      </c>
      <c r="I685" s="1">
        <v>0</v>
      </c>
      <c r="J685" s="1">
        <f>IF(I685 + J684 &lt; 0, I685 + J684, 0)</f>
        <v>0</v>
      </c>
      <c r="K685" s="1">
        <v>0</v>
      </c>
      <c r="L685" s="1">
        <f>IF(K685 + L684 &lt; 0, K685 + L684, 0)</f>
        <v>0</v>
      </c>
      <c r="M685" s="1">
        <v>-39896.30346013325</v>
      </c>
      <c r="N685" s="1">
        <f>IF(M685 + N684 &lt; 0, M685 + N684, 0)</f>
        <v>0</v>
      </c>
      <c r="O685" s="1">
        <v>-93087.79282183539</v>
      </c>
      <c r="P685" s="1">
        <f>IF(O685 + P684 &lt; 0, O685 + P684, 0)</f>
        <v>0</v>
      </c>
      <c r="Q685" s="1">
        <v>-114603.4816247582</v>
      </c>
      <c r="R685" s="1">
        <f>IF(Q685 + R684 &lt; 0, Q685 + R684, 0)</f>
        <v>0</v>
      </c>
      <c r="S685" s="1">
        <v>-114603.4816247582</v>
      </c>
      <c r="T685" s="1">
        <f>IF(S685 + T684 &lt; 0, S685 + T684, 0)</f>
        <v>0</v>
      </c>
    </row>
    <row r="686" spans="1:20" s="1" customFormat="1">
      <c r="A686" s="3">
        <v>45981</v>
      </c>
      <c r="B686" s="2" t="s">
        <v>16</v>
      </c>
      <c r="C686" s="2">
        <v>19</v>
      </c>
      <c r="D686" s="2">
        <v>24</v>
      </c>
      <c r="E686" s="1">
        <v>0</v>
      </c>
      <c r="F686" s="1">
        <f>IF(E686 + F685 &lt; 0, E686 + F685, 0)</f>
        <v>0</v>
      </c>
      <c r="G686" s="1">
        <v>0</v>
      </c>
      <c r="H686" s="1">
        <f>IF(G686 + H685 &lt; 0, G686 + H685, 0)</f>
        <v>0</v>
      </c>
      <c r="I686" s="1">
        <v>0</v>
      </c>
      <c r="J686" s="1">
        <f>IF(I686 + J685 &lt; 0, I686 + J685, 0)</f>
        <v>0</v>
      </c>
      <c r="K686" s="1">
        <v>0</v>
      </c>
      <c r="L686" s="1">
        <f>IF(K686 + L685 &lt; 0, K686 + L685, 0)</f>
        <v>0</v>
      </c>
      <c r="M686" s="1">
        <v>0</v>
      </c>
      <c r="N686" s="1">
        <f>IF(M686 + N685 &lt; 0, M686 + N685, 0)</f>
        <v>0</v>
      </c>
      <c r="O686" s="1">
        <v>0</v>
      </c>
      <c r="P686" s="1">
        <f>IF(O686 + P685 &lt; 0, O686 + P685, 0)</f>
        <v>0</v>
      </c>
      <c r="Q686" s="1">
        <v>0</v>
      </c>
      <c r="R686" s="1">
        <f>IF(Q686 + R685 &lt; 0, Q686 + R685, 0)</f>
        <v>0</v>
      </c>
      <c r="S686" s="1">
        <v>0</v>
      </c>
      <c r="T686" s="1">
        <f>IF(S686 + T685 &lt; 0, S686 + T685, 0)</f>
        <v>0</v>
      </c>
    </row>
    <row r="687" spans="1:20" s="1" customFormat="1">
      <c r="A687" s="3">
        <v>45982</v>
      </c>
      <c r="B687" s="2" t="s">
        <v>15</v>
      </c>
      <c r="C687" s="2">
        <v>18</v>
      </c>
      <c r="D687" s="2">
        <v>23</v>
      </c>
      <c r="E687" s="1">
        <v>0</v>
      </c>
      <c r="F687" s="1">
        <f>IF(E687 + F686 &lt; 0, E687 + F686, 0)</f>
        <v>0</v>
      </c>
      <c r="G687" s="1">
        <v>0</v>
      </c>
      <c r="H687" s="1">
        <f>IF(G687 + H686 &lt; 0, G687 + H686, 0)</f>
        <v>0</v>
      </c>
      <c r="I687" s="1">
        <v>0</v>
      </c>
      <c r="J687" s="1">
        <f>IF(I687 + J686 &lt; 0, I687 + J686, 0)</f>
        <v>0</v>
      </c>
      <c r="K687" s="1">
        <v>0</v>
      </c>
      <c r="L687" s="1">
        <f>IF(K687 + L686 &lt; 0, K687 + L686, 0)</f>
        <v>0</v>
      </c>
      <c r="M687" s="1">
        <v>0</v>
      </c>
      <c r="N687" s="1">
        <f>IF(M687 + N686 &lt; 0, M687 + N686, 0)</f>
        <v>0</v>
      </c>
      <c r="O687" s="1">
        <v>0</v>
      </c>
      <c r="P687" s="1">
        <f>IF(O687 + P686 &lt; 0, O687 + P686, 0)</f>
        <v>0</v>
      </c>
      <c r="Q687" s="1">
        <v>0</v>
      </c>
      <c r="R687" s="1">
        <f>IF(Q687 + R686 &lt; 0, Q687 + R686, 0)</f>
        <v>0</v>
      </c>
      <c r="S687" s="1">
        <v>0</v>
      </c>
      <c r="T687" s="1">
        <f>IF(S687 + T686 &lt; 0, S687 + T686, 0)</f>
        <v>0</v>
      </c>
    </row>
    <row r="688" spans="1:20" s="1" customFormat="1">
      <c r="A688" s="3">
        <v>45985</v>
      </c>
      <c r="B688" s="2" t="s">
        <v>12</v>
      </c>
      <c r="C688" s="2">
        <v>17</v>
      </c>
      <c r="D688" s="2">
        <v>22</v>
      </c>
      <c r="E688" s="1">
        <v>0</v>
      </c>
      <c r="F688" s="1">
        <f>IF(E688 + F687 &lt; 0, E688 + F687, 0)</f>
        <v>0</v>
      </c>
      <c r="G688" s="1">
        <v>0</v>
      </c>
      <c r="H688" s="1">
        <f>IF(G688 + H687 &lt; 0, G688 + H687, 0)</f>
        <v>0</v>
      </c>
      <c r="I688" s="1">
        <v>0</v>
      </c>
      <c r="J688" s="1">
        <f>IF(I688 + J687 &lt; 0, I688 + J687, 0)</f>
        <v>0</v>
      </c>
      <c r="K688" s="1">
        <v>0</v>
      </c>
      <c r="L688" s="1">
        <f>IF(K688 + L687 &lt; 0, K688 + L687, 0)</f>
        <v>0</v>
      </c>
      <c r="M688" s="1">
        <v>0</v>
      </c>
      <c r="N688" s="1">
        <f>IF(M688 + N687 &lt; 0, M688 + N687, 0)</f>
        <v>0</v>
      </c>
      <c r="O688" s="1">
        <v>0</v>
      </c>
      <c r="P688" s="1">
        <f>IF(O688 + P687 &lt; 0, O688 + P687, 0)</f>
        <v>0</v>
      </c>
      <c r="Q688" s="1">
        <v>0</v>
      </c>
      <c r="R688" s="1">
        <f>IF(Q688 + R687 &lt; 0, Q688 + R687, 0)</f>
        <v>0</v>
      </c>
      <c r="S688" s="1">
        <v>0</v>
      </c>
      <c r="T688" s="1">
        <f>IF(S688 + T687 &lt; 0, S688 + T687, 0)</f>
        <v>0</v>
      </c>
    </row>
    <row r="689" spans="1:20" s="1" customFormat="1">
      <c r="A689" s="3">
        <v>45986</v>
      </c>
      <c r="B689" s="2" t="s">
        <v>13</v>
      </c>
      <c r="C689" s="2">
        <v>16</v>
      </c>
      <c r="D689" s="2">
        <v>21</v>
      </c>
      <c r="E689" s="1">
        <v>0</v>
      </c>
      <c r="F689" s="1">
        <f>IF(E689 + F688 &lt; 0, E689 + F688, 0)</f>
        <v>0</v>
      </c>
      <c r="G689" s="1">
        <v>0</v>
      </c>
      <c r="H689" s="1">
        <f>IF(G689 + H688 &lt; 0, G689 + H688, 0)</f>
        <v>0</v>
      </c>
      <c r="I689" s="1">
        <v>0</v>
      </c>
      <c r="J689" s="1">
        <f>IF(I689 + J688 &lt; 0, I689 + J688, 0)</f>
        <v>0</v>
      </c>
      <c r="K689" s="1">
        <v>0</v>
      </c>
      <c r="L689" s="1">
        <f>IF(K689 + L688 &lt; 0, K689 + L688, 0)</f>
        <v>0</v>
      </c>
      <c r="M689" s="1">
        <v>0</v>
      </c>
      <c r="N689" s="1">
        <f>IF(M689 + N688 &lt; 0, M689 + N688, 0)</f>
        <v>0</v>
      </c>
      <c r="O689" s="1">
        <v>0</v>
      </c>
      <c r="P689" s="1">
        <f>IF(O689 + P688 &lt; 0, O689 + P688, 0)</f>
        <v>0</v>
      </c>
      <c r="Q689" s="1">
        <v>0</v>
      </c>
      <c r="R689" s="1">
        <f>IF(Q689 + R688 &lt; 0, Q689 + R688, 0)</f>
        <v>0</v>
      </c>
      <c r="S689" s="1">
        <v>0</v>
      </c>
      <c r="T689" s="1">
        <f>IF(S689 + T688 &lt; 0, S689 + T688, 0)</f>
        <v>0</v>
      </c>
    </row>
    <row r="690" spans="1:20" s="1" customFormat="1">
      <c r="A690" s="3">
        <v>45987</v>
      </c>
      <c r="B690" s="2" t="s">
        <v>14</v>
      </c>
      <c r="C690" s="2">
        <v>15</v>
      </c>
      <c r="D690" s="2">
        <v>20</v>
      </c>
      <c r="E690" s="1">
        <v>0</v>
      </c>
      <c r="F690" s="1">
        <f>IF(E690 + F689 &lt; 0, E690 + F689, 0)</f>
        <v>0</v>
      </c>
      <c r="G690" s="1">
        <v>0</v>
      </c>
      <c r="H690" s="1">
        <f>IF(G690 + H689 &lt; 0, G690 + H689, 0)</f>
        <v>0</v>
      </c>
      <c r="I690" s="1">
        <v>0</v>
      </c>
      <c r="J690" s="1">
        <f>IF(I690 + J689 &lt; 0, I690 + J689, 0)</f>
        <v>0</v>
      </c>
      <c r="K690" s="1">
        <v>0</v>
      </c>
      <c r="L690" s="1">
        <f>IF(K690 + L689 &lt; 0, K690 + L689, 0)</f>
        <v>0</v>
      </c>
      <c r="M690" s="1">
        <v>0</v>
      </c>
      <c r="N690" s="1">
        <f>IF(M690 + N689 &lt; 0, M690 + N689, 0)</f>
        <v>0</v>
      </c>
      <c r="O690" s="1">
        <v>0</v>
      </c>
      <c r="P690" s="1">
        <f>IF(O690 + P689 &lt; 0, O690 + P689, 0)</f>
        <v>0</v>
      </c>
      <c r="Q690" s="1">
        <v>0</v>
      </c>
      <c r="R690" s="1">
        <f>IF(Q690 + R689 &lt; 0, Q690 + R689, 0)</f>
        <v>0</v>
      </c>
      <c r="S690" s="1">
        <v>0</v>
      </c>
      <c r="T690" s="1">
        <f>IF(S690 + T689 &lt; 0, S690 + T689, 0)</f>
        <v>0</v>
      </c>
    </row>
    <row r="691" spans="1:20" s="1" customFormat="1">
      <c r="A691" s="3">
        <v>45988</v>
      </c>
      <c r="B691" s="2" t="s">
        <v>16</v>
      </c>
      <c r="C691" s="2">
        <v>14</v>
      </c>
      <c r="D691" s="2">
        <v>19</v>
      </c>
      <c r="E691" s="1">
        <v>0</v>
      </c>
      <c r="F691" s="1">
        <f>IF(E691 + F690 &lt; 0, E691 + F690, 0)</f>
        <v>0</v>
      </c>
      <c r="G691" s="1">
        <v>0</v>
      </c>
      <c r="H691" s="1">
        <f>IF(G691 + H690 &lt; 0, G691 + H690, 0)</f>
        <v>0</v>
      </c>
      <c r="I691" s="1">
        <v>0</v>
      </c>
      <c r="J691" s="1">
        <f>IF(I691 + J690 &lt; 0, I691 + J690, 0)</f>
        <v>0</v>
      </c>
      <c r="K691" s="1">
        <v>0</v>
      </c>
      <c r="L691" s="1">
        <f>IF(K691 + L690 &lt; 0, K691 + L690, 0)</f>
        <v>0</v>
      </c>
      <c r="M691" s="1">
        <v>0</v>
      </c>
      <c r="N691" s="1">
        <f>IF(M691 + N690 &lt; 0, M691 + N690, 0)</f>
        <v>0</v>
      </c>
      <c r="O691" s="1">
        <v>0</v>
      </c>
      <c r="P691" s="1">
        <f>IF(O691 + P690 &lt; 0, O691 + P690, 0)</f>
        <v>0</v>
      </c>
      <c r="Q691" s="1">
        <v>0</v>
      </c>
      <c r="R691" s="1">
        <f>IF(Q691 + R690 &lt; 0, Q691 + R690, 0)</f>
        <v>0</v>
      </c>
      <c r="S691" s="1">
        <v>0</v>
      </c>
      <c r="T691" s="1">
        <f>IF(S691 + T690 &lt; 0, S691 + T690, 0)</f>
        <v>0</v>
      </c>
    </row>
    <row r="692" spans="1:20" s="1" customFormat="1">
      <c r="A692" s="3">
        <v>45989</v>
      </c>
      <c r="B692" s="2" t="s">
        <v>15</v>
      </c>
      <c r="C692" s="2">
        <v>13</v>
      </c>
      <c r="D692" s="2">
        <v>18</v>
      </c>
      <c r="E692" s="1">
        <v>0</v>
      </c>
      <c r="F692" s="1">
        <f>IF(E692 + F691 &lt; 0, E692 + F691, 0)</f>
        <v>0</v>
      </c>
      <c r="G692" s="1">
        <v>0</v>
      </c>
      <c r="H692" s="1">
        <f>IF(G692 + H691 &lt; 0, G692 + H691, 0)</f>
        <v>0</v>
      </c>
      <c r="I692" s="1">
        <v>0</v>
      </c>
      <c r="J692" s="1">
        <f>IF(I692 + J691 &lt; 0, I692 + J691, 0)</f>
        <v>0</v>
      </c>
      <c r="K692" s="1">
        <v>0</v>
      </c>
      <c r="L692" s="1">
        <f>IF(K692 + L691 &lt; 0, K692 + L691, 0)</f>
        <v>0</v>
      </c>
      <c r="M692" s="1">
        <v>0</v>
      </c>
      <c r="N692" s="1">
        <f>IF(M692 + N691 &lt; 0, M692 + N691, 0)</f>
        <v>0</v>
      </c>
      <c r="O692" s="1">
        <v>0</v>
      </c>
      <c r="P692" s="1">
        <f>IF(O692 + P691 &lt; 0, O692 + P691, 0)</f>
        <v>0</v>
      </c>
      <c r="Q692" s="1">
        <v>0</v>
      </c>
      <c r="R692" s="1">
        <f>IF(Q692 + R691 &lt; 0, Q692 + R691, 0)</f>
        <v>0</v>
      </c>
      <c r="S692" s="1">
        <v>0</v>
      </c>
      <c r="T692" s="1">
        <f>IF(S692 + T691 &lt; 0, S692 + T691, 0)</f>
        <v>0</v>
      </c>
    </row>
    <row r="693" spans="1:20" s="1" customFormat="1">
      <c r="A693" s="3">
        <v>45992</v>
      </c>
      <c r="B693" s="2" t="s">
        <v>12</v>
      </c>
      <c r="C693" s="2">
        <v>12</v>
      </c>
      <c r="D693" s="2">
        <v>17</v>
      </c>
      <c r="E693" s="1">
        <v>0</v>
      </c>
      <c r="F693" s="1">
        <f>IF(E693 + F692 &lt; 0, E693 + F692, 0)</f>
        <v>0</v>
      </c>
      <c r="G693" s="1">
        <v>0</v>
      </c>
      <c r="H693" s="1">
        <f>IF(G693 + H692 &lt; 0, G693 + H692, 0)</f>
        <v>0</v>
      </c>
      <c r="I693" s="1">
        <v>0</v>
      </c>
      <c r="J693" s="1">
        <f>IF(I693 + J692 &lt; 0, I693 + J692, 0)</f>
        <v>0</v>
      </c>
      <c r="K693" s="1">
        <v>0</v>
      </c>
      <c r="L693" s="1">
        <f>IF(K693 + L692 &lt; 0, K693 + L692, 0)</f>
        <v>0</v>
      </c>
      <c r="M693" s="1">
        <v>0</v>
      </c>
      <c r="N693" s="1">
        <f>IF(M693 + N692 &lt; 0, M693 + N692, 0)</f>
        <v>0</v>
      </c>
      <c r="O693" s="1">
        <v>0</v>
      </c>
      <c r="P693" s="1">
        <f>IF(O693 + P692 &lt; 0, O693 + P692, 0)</f>
        <v>0</v>
      </c>
      <c r="Q693" s="1">
        <v>0</v>
      </c>
      <c r="R693" s="1">
        <f>IF(Q693 + R692 &lt; 0, Q693 + R692, 0)</f>
        <v>0</v>
      </c>
      <c r="S693" s="1">
        <v>0</v>
      </c>
      <c r="T693" s="1">
        <f>IF(S693 + T692 &lt; 0, S693 + T692, 0)</f>
        <v>0</v>
      </c>
    </row>
    <row r="694" spans="1:20" s="1" customFormat="1">
      <c r="A694" s="3">
        <v>45993</v>
      </c>
      <c r="B694" s="2" t="s">
        <v>13</v>
      </c>
      <c r="C694" s="2">
        <v>11</v>
      </c>
      <c r="D694" s="2">
        <v>16</v>
      </c>
      <c r="E694" s="1">
        <v>0</v>
      </c>
      <c r="F694" s="1">
        <f>IF(E694 + F693 &lt; 0, E694 + F693, 0)</f>
        <v>0</v>
      </c>
      <c r="G694" s="1">
        <v>0</v>
      </c>
      <c r="H694" s="1">
        <f>IF(G694 + H693 &lt; 0, G694 + H693, 0)</f>
        <v>0</v>
      </c>
      <c r="I694" s="1">
        <v>0</v>
      </c>
      <c r="J694" s="1">
        <f>IF(I694 + J693 &lt; 0, I694 + J693, 0)</f>
        <v>0</v>
      </c>
      <c r="K694" s="1">
        <v>0</v>
      </c>
      <c r="L694" s="1">
        <f>IF(K694 + L693 &lt; 0, K694 + L693, 0)</f>
        <v>0</v>
      </c>
      <c r="M694" s="1">
        <v>0</v>
      </c>
      <c r="N694" s="1">
        <f>IF(M694 + N693 &lt; 0, M694 + N693, 0)</f>
        <v>0</v>
      </c>
      <c r="O694" s="1">
        <v>0</v>
      </c>
      <c r="P694" s="1">
        <f>IF(O694 + P693 &lt; 0, O694 + P693, 0)</f>
        <v>0</v>
      </c>
      <c r="Q694" s="1">
        <v>0</v>
      </c>
      <c r="R694" s="1">
        <f>IF(Q694 + R693 &lt; 0, Q694 + R693, 0)</f>
        <v>0</v>
      </c>
      <c r="S694" s="1">
        <v>0</v>
      </c>
      <c r="T694" s="1">
        <f>IF(S694 + T693 &lt; 0, S694 + T693, 0)</f>
        <v>0</v>
      </c>
    </row>
    <row r="695" spans="1:20" s="1" customFormat="1">
      <c r="A695" s="3">
        <v>45994</v>
      </c>
      <c r="B695" s="2" t="s">
        <v>14</v>
      </c>
      <c r="C695" s="2">
        <v>10</v>
      </c>
      <c r="D695" s="2">
        <v>15</v>
      </c>
      <c r="E695" s="1">
        <v>65255.26912419179</v>
      </c>
      <c r="F695" s="1">
        <f>IF(E695 + F694 &lt; 0, E695 + F694, 0)</f>
        <v>0</v>
      </c>
      <c r="G695" s="1">
        <v>65255.26912419179</v>
      </c>
      <c r="H695" s="1">
        <f>IF(G695 + H694 &lt; 0, G695 + H694, 0)</f>
        <v>0</v>
      </c>
      <c r="I695" s="1">
        <v>65255.26912419179</v>
      </c>
      <c r="J695" s="1">
        <f>IF(I695 + J694 &lt; 0, I695 + J694, 0)</f>
        <v>0</v>
      </c>
      <c r="K695" s="1">
        <v>65255.26912419179</v>
      </c>
      <c r="L695" s="1">
        <f>IF(K695 + L694 &lt; 0, K695 + L694, 0)</f>
        <v>0</v>
      </c>
      <c r="M695" s="1">
        <v>0</v>
      </c>
      <c r="N695" s="1">
        <f>IF(M695 + N694 &lt; 0, M695 + N694, 0)</f>
        <v>0</v>
      </c>
      <c r="O695" s="1">
        <v>0</v>
      </c>
      <c r="P695" s="1">
        <f>IF(O695 + P694 &lt; 0, O695 + P694, 0)</f>
        <v>0</v>
      </c>
      <c r="Q695" s="1">
        <v>0</v>
      </c>
      <c r="R695" s="1">
        <f>IF(Q695 + R694 &lt; 0, Q695 + R694, 0)</f>
        <v>0</v>
      </c>
      <c r="S695" s="1">
        <v>0</v>
      </c>
      <c r="T695" s="1">
        <f>IF(S695 + T694 &lt; 0, S695 + T694, 0)</f>
        <v>0</v>
      </c>
    </row>
    <row r="696" spans="1:20" s="1" customFormat="1">
      <c r="A696" s="3">
        <v>45995</v>
      </c>
      <c r="B696" s="2" t="s">
        <v>16</v>
      </c>
      <c r="C696" s="2">
        <v>9</v>
      </c>
      <c r="D696" s="2">
        <v>14</v>
      </c>
      <c r="E696" s="1">
        <v>-2133.565332670476</v>
      </c>
      <c r="F696" s="1">
        <f>IF(E696 + F695 &lt; 0, E696 + F695, 0)</f>
        <v>0</v>
      </c>
      <c r="G696" s="1">
        <v>-2133.565332670476</v>
      </c>
      <c r="H696" s="1">
        <f>IF(G696 + H695 &lt; 0, G696 + H695, 0)</f>
        <v>0</v>
      </c>
      <c r="I696" s="1">
        <v>-2133.565332670476</v>
      </c>
      <c r="J696" s="1">
        <f>IF(I696 + J695 &lt; 0, I696 + J695, 0)</f>
        <v>0</v>
      </c>
      <c r="K696" s="1">
        <v>-2133.565332670476</v>
      </c>
      <c r="L696" s="1">
        <f>IF(K696 + L695 &lt; 0, K696 + L695, 0)</f>
        <v>0</v>
      </c>
      <c r="M696" s="1">
        <v>0</v>
      </c>
      <c r="N696" s="1">
        <f>IF(M696 + N695 &lt; 0, M696 + N695, 0)</f>
        <v>0</v>
      </c>
      <c r="O696" s="1">
        <v>0</v>
      </c>
      <c r="P696" s="1">
        <f>IF(O696 + P695 &lt; 0, O696 + P695, 0)</f>
        <v>0</v>
      </c>
      <c r="Q696" s="1">
        <v>0</v>
      </c>
      <c r="R696" s="1">
        <f>IF(Q696 + R695 &lt; 0, Q696 + R695, 0)</f>
        <v>0</v>
      </c>
      <c r="S696" s="1">
        <v>0</v>
      </c>
      <c r="T696" s="1">
        <f>IF(S696 + T695 &lt; 0, S696 + T695, 0)</f>
        <v>0</v>
      </c>
    </row>
    <row r="697" spans="1:20" s="1" customFormat="1">
      <c r="A697" s="3">
        <v>45996</v>
      </c>
      <c r="B697" s="2" t="s">
        <v>15</v>
      </c>
      <c r="C697" s="2">
        <v>8</v>
      </c>
      <c r="D697" s="2">
        <v>13</v>
      </c>
      <c r="E697" s="1">
        <v>-88816.33499170814</v>
      </c>
      <c r="F697" s="1">
        <f>IF(E697 + F696 &lt; 0, E697 + F696, 0)</f>
        <v>0</v>
      </c>
      <c r="G697" s="1">
        <v>-88816.33499170814</v>
      </c>
      <c r="H697" s="1">
        <f>IF(G697 + H696 &lt; 0, G697 + H696, 0)</f>
        <v>0</v>
      </c>
      <c r="I697" s="1">
        <v>-88816.33499170814</v>
      </c>
      <c r="J697" s="1">
        <f>IF(I697 + J696 &lt; 0, I697 + J696, 0)</f>
        <v>0</v>
      </c>
      <c r="K697" s="1">
        <v>-88816.33499170814</v>
      </c>
      <c r="L697" s="1">
        <f>IF(K697 + L696 &lt; 0, K697 + L696, 0)</f>
        <v>0</v>
      </c>
      <c r="M697" s="1">
        <v>0</v>
      </c>
      <c r="N697" s="1">
        <f>IF(M697 + N696 &lt; 0, M697 + N696, 0)</f>
        <v>0</v>
      </c>
      <c r="O697" s="1">
        <v>0</v>
      </c>
      <c r="P697" s="1">
        <f>IF(O697 + P696 &lt; 0, O697 + P696, 0)</f>
        <v>0</v>
      </c>
      <c r="Q697" s="1">
        <v>0</v>
      </c>
      <c r="R697" s="1">
        <f>IF(Q697 + R696 &lt; 0, Q697 + R696, 0)</f>
        <v>0</v>
      </c>
      <c r="S697" s="1">
        <v>0</v>
      </c>
      <c r="T697" s="1">
        <f>IF(S697 + T696 &lt; 0, S697 + T696, 0)</f>
        <v>0</v>
      </c>
    </row>
    <row r="698" spans="1:20" s="1" customFormat="1">
      <c r="A698" s="3">
        <v>45999</v>
      </c>
      <c r="B698" s="2" t="s">
        <v>12</v>
      </c>
      <c r="C698" s="2">
        <v>7</v>
      </c>
      <c r="D698" s="2">
        <v>12</v>
      </c>
      <c r="E698" s="1">
        <v>24126.57502863688</v>
      </c>
      <c r="F698" s="1">
        <f>IF(E698 + F697 &lt; 0, E698 + F697, 0)</f>
        <v>0</v>
      </c>
      <c r="G698" s="1">
        <v>24126.57502863688</v>
      </c>
      <c r="H698" s="1">
        <f>IF(G698 + H697 &lt; 0, G698 + H697, 0)</f>
        <v>0</v>
      </c>
      <c r="I698" s="1">
        <v>24126.57502863688</v>
      </c>
      <c r="J698" s="1">
        <f>IF(I698 + J697 &lt; 0, I698 + J697, 0)</f>
        <v>0</v>
      </c>
      <c r="K698" s="1">
        <v>24126.57502863688</v>
      </c>
      <c r="L698" s="1">
        <f>IF(K698 + L697 &lt; 0, K698 + L697, 0)</f>
        <v>0</v>
      </c>
      <c r="M698" s="1">
        <v>0</v>
      </c>
      <c r="N698" s="1">
        <f>IF(M698 + N697 &lt; 0, M698 + N697, 0)</f>
        <v>0</v>
      </c>
      <c r="O698" s="1">
        <v>0</v>
      </c>
      <c r="P698" s="1">
        <f>IF(O698 + P697 &lt; 0, O698 + P697, 0)</f>
        <v>0</v>
      </c>
      <c r="Q698" s="1">
        <v>0</v>
      </c>
      <c r="R698" s="1">
        <f>IF(Q698 + R697 &lt; 0, Q698 + R697, 0)</f>
        <v>0</v>
      </c>
      <c r="S698" s="1">
        <v>0</v>
      </c>
      <c r="T698" s="1">
        <f>IF(S698 + T697 &lt; 0, S698 + T697, 0)</f>
        <v>0</v>
      </c>
    </row>
    <row r="699" spans="1:20" s="1" customFormat="1">
      <c r="A699" s="3">
        <v>46000</v>
      </c>
      <c r="B699" s="2" t="s">
        <v>13</v>
      </c>
      <c r="C699" s="2">
        <v>6</v>
      </c>
      <c r="D699" s="2">
        <v>11</v>
      </c>
      <c r="E699" s="1">
        <v>-9934.529785809926</v>
      </c>
      <c r="F699" s="1">
        <f>IF(E699 + F698 &lt; 0, E699 + F698, 0)</f>
        <v>0</v>
      </c>
      <c r="G699" s="1">
        <v>-19661.98125836681</v>
      </c>
      <c r="H699" s="1">
        <f>IF(G699 + H698 &lt; 0, G699 + H698, 0)</f>
        <v>0</v>
      </c>
      <c r="I699" s="1">
        <v>-19661.98125836681</v>
      </c>
      <c r="J699" s="1">
        <f>IF(I699 + J698 &lt; 0, I699 + J698, 0)</f>
        <v>0</v>
      </c>
      <c r="K699" s="1">
        <v>-19661.98125836681</v>
      </c>
      <c r="L699" s="1">
        <f>IF(K699 + L698 &lt; 0, K699 + L698, 0)</f>
        <v>0</v>
      </c>
      <c r="M699" s="1">
        <v>0</v>
      </c>
      <c r="N699" s="1">
        <f>IF(M699 + N698 &lt; 0, M699 + N698, 0)</f>
        <v>0</v>
      </c>
      <c r="O699" s="1">
        <v>0</v>
      </c>
      <c r="P699" s="1">
        <f>IF(O699 + P698 &lt; 0, O699 + P698, 0)</f>
        <v>0</v>
      </c>
      <c r="Q699" s="1">
        <v>0</v>
      </c>
      <c r="R699" s="1">
        <f>IF(Q699 + R698 &lt; 0, Q699 + R698, 0)</f>
        <v>0</v>
      </c>
      <c r="S699" s="1">
        <v>0</v>
      </c>
      <c r="T699" s="1">
        <f>IF(S699 + T698 &lt; 0, S699 + T698, 0)</f>
        <v>0</v>
      </c>
    </row>
    <row r="700" spans="1:20" s="1" customFormat="1">
      <c r="A700" s="3">
        <v>46001</v>
      </c>
      <c r="B700" s="2" t="s">
        <v>14</v>
      </c>
      <c r="C700" s="2">
        <v>5</v>
      </c>
      <c r="D700" s="2">
        <v>10</v>
      </c>
      <c r="E700" s="1">
        <v>-106711.126118521</v>
      </c>
      <c r="F700" s="1">
        <f>IF(E700 + F699 &lt; 0, E700 + F699, 0)</f>
        <v>0</v>
      </c>
      <c r="G700" s="1">
        <v>-29577.49451291575</v>
      </c>
      <c r="H700" s="1">
        <f>IF(G700 + H699 &lt; 0, G700 + H699, 0)</f>
        <v>0</v>
      </c>
      <c r="I700" s="1">
        <v>-29577.49451291575</v>
      </c>
      <c r="J700" s="1">
        <f>IF(I700 + J699 &lt; 0, I700 + J699, 0)</f>
        <v>0</v>
      </c>
      <c r="K700" s="1">
        <v>-29577.49451291575</v>
      </c>
      <c r="L700" s="1">
        <f>IF(K700 + L699 &lt; 0, K700 + L699, 0)</f>
        <v>0</v>
      </c>
      <c r="M700" s="1">
        <v>0</v>
      </c>
      <c r="N700" s="1">
        <f>IF(M700 + N699 &lt; 0, M700 + N699, 0)</f>
        <v>0</v>
      </c>
      <c r="O700" s="1">
        <v>0</v>
      </c>
      <c r="P700" s="1">
        <f>IF(O700 + P699 &lt; 0, O700 + P699, 0)</f>
        <v>0</v>
      </c>
      <c r="Q700" s="1">
        <v>0</v>
      </c>
      <c r="R700" s="1">
        <f>IF(Q700 + R699 &lt; 0, Q700 + R699, 0)</f>
        <v>0</v>
      </c>
      <c r="S700" s="1">
        <v>0</v>
      </c>
      <c r="T700" s="1">
        <f>IF(S700 + T699 &lt; 0, S700 + T699, 0)</f>
        <v>0</v>
      </c>
    </row>
    <row r="701" spans="1:20" s="1" customFormat="1">
      <c r="A701" s="3">
        <v>46002</v>
      </c>
      <c r="B701" s="2" t="s">
        <v>16</v>
      </c>
      <c r="C701" s="2">
        <v>4</v>
      </c>
      <c r="D701" s="2">
        <v>9</v>
      </c>
      <c r="E701" s="1">
        <v>-40458.24890239786</v>
      </c>
      <c r="F701" s="1">
        <f>IF(E701 + F700 &lt; 0, E701 + F700, 0)</f>
        <v>0</v>
      </c>
      <c r="G701" s="1">
        <v>802.0938872002719</v>
      </c>
      <c r="H701" s="1">
        <f>IF(G701 + H700 &lt; 0, G701 + H700, 0)</f>
        <v>0</v>
      </c>
      <c r="I701" s="1">
        <v>802.0938872002719</v>
      </c>
      <c r="J701" s="1">
        <f>IF(I701 + J700 &lt; 0, I701 + J700, 0)</f>
        <v>0</v>
      </c>
      <c r="K701" s="1">
        <v>802.0938872002719</v>
      </c>
      <c r="L701" s="1">
        <f>IF(K701 + L700 &lt; 0, K701 + L700, 0)</f>
        <v>0</v>
      </c>
      <c r="M701" s="1">
        <v>0</v>
      </c>
      <c r="N701" s="1">
        <f>IF(M701 + N700 &lt; 0, M701 + N700, 0)</f>
        <v>0</v>
      </c>
      <c r="O701" s="1">
        <v>0</v>
      </c>
      <c r="P701" s="1">
        <f>IF(O701 + P700 &lt; 0, O701 + P700, 0)</f>
        <v>0</v>
      </c>
      <c r="Q701" s="1">
        <v>0</v>
      </c>
      <c r="R701" s="1">
        <f>IF(Q701 + R700 &lt; 0, Q701 + R700, 0)</f>
        <v>0</v>
      </c>
      <c r="S701" s="1">
        <v>0</v>
      </c>
      <c r="T701" s="1">
        <f>IF(S701 + T700 &lt; 0, S701 + T700, 0)</f>
        <v>0</v>
      </c>
    </row>
    <row r="702" spans="1:20" s="1" customFormat="1">
      <c r="A702" s="3">
        <v>46003</v>
      </c>
      <c r="B702" s="2" t="s">
        <v>15</v>
      </c>
      <c r="C702" s="2">
        <v>3</v>
      </c>
      <c r="D702" s="2">
        <v>8</v>
      </c>
      <c r="E702" s="1">
        <v>57206.61646501395</v>
      </c>
      <c r="F702" s="1">
        <f>IF(E702 + F701 &lt; 0, E702 + F701, 0)</f>
        <v>0</v>
      </c>
      <c r="G702" s="1">
        <v>57206.61646501395</v>
      </c>
      <c r="H702" s="1">
        <f>IF(G702 + H701 &lt; 0, G702 + H701, 0)</f>
        <v>0</v>
      </c>
      <c r="I702" s="1">
        <v>57206.61646501395</v>
      </c>
      <c r="J702" s="1">
        <f>IF(I702 + J701 &lt; 0, I702 + J701, 0)</f>
        <v>0</v>
      </c>
      <c r="K702" s="1">
        <v>57206.61646501395</v>
      </c>
      <c r="L702" s="1">
        <f>IF(K702 + L701 &lt; 0, K702 + L701, 0)</f>
        <v>0</v>
      </c>
      <c r="M702" s="1">
        <v>0</v>
      </c>
      <c r="N702" s="1">
        <f>IF(M702 + N701 &lt; 0, M702 + N701, 0)</f>
        <v>0</v>
      </c>
      <c r="O702" s="1">
        <v>0</v>
      </c>
      <c r="P702" s="1">
        <f>IF(O702 + P701 &lt; 0, O702 + P701, 0)</f>
        <v>0</v>
      </c>
      <c r="Q702" s="1">
        <v>0</v>
      </c>
      <c r="R702" s="1">
        <f>IF(Q702 + R701 &lt; 0, Q702 + R701, 0)</f>
        <v>0</v>
      </c>
      <c r="S702" s="1">
        <v>0</v>
      </c>
      <c r="T702" s="1">
        <f>IF(S702 + T701 &lt; 0, S702 + T701, 0)</f>
        <v>0</v>
      </c>
    </row>
    <row r="703" spans="1:20" s="1" customFormat="1">
      <c r="A703" s="3">
        <v>46006</v>
      </c>
      <c r="B703" s="2" t="s">
        <v>12</v>
      </c>
      <c r="C703" s="2">
        <v>2</v>
      </c>
      <c r="D703" s="2">
        <v>7</v>
      </c>
      <c r="E703" s="1">
        <v>30583.26612047376</v>
      </c>
      <c r="F703" s="1">
        <f>IF(E703 + F702 &lt; 0, E703 + F702, 0)</f>
        <v>0</v>
      </c>
      <c r="G703" s="1">
        <v>-85953.21984972619</v>
      </c>
      <c r="H703" s="1">
        <f>IF(G703 + H702 &lt; 0, G703 + H702, 0)</f>
        <v>0</v>
      </c>
      <c r="I703" s="1">
        <v>-56787.79131468354</v>
      </c>
      <c r="J703" s="1">
        <f>IF(I703 + J702 &lt; 0, I703 + J702, 0)</f>
        <v>0</v>
      </c>
      <c r="K703" s="1">
        <v>-56787.79131468354</v>
      </c>
      <c r="L703" s="1">
        <f>IF(K703 + L702 &lt; 0, K703 + L702, 0)</f>
        <v>0</v>
      </c>
      <c r="M703" s="1">
        <v>0</v>
      </c>
      <c r="N703" s="1">
        <f>IF(M703 + N702 &lt; 0, M703 + N702, 0)</f>
        <v>0</v>
      </c>
      <c r="O703" s="1">
        <v>0</v>
      </c>
      <c r="P703" s="1">
        <f>IF(O703 + P702 &lt; 0, O703 + P702, 0)</f>
        <v>0</v>
      </c>
      <c r="Q703" s="1">
        <v>0</v>
      </c>
      <c r="R703" s="1">
        <f>IF(Q703 + R702 &lt; 0, Q703 + R702, 0)</f>
        <v>0</v>
      </c>
      <c r="S703" s="1">
        <v>0</v>
      </c>
      <c r="T703" s="1">
        <f>IF(S703 + T702 &lt; 0, S703 + T702, 0)</f>
        <v>0</v>
      </c>
    </row>
    <row r="704" spans="1:20" s="1" customFormat="1">
      <c r="A704" s="3">
        <v>46007</v>
      </c>
      <c r="B704" s="2" t="s">
        <v>13</v>
      </c>
      <c r="C704" s="2">
        <v>1</v>
      </c>
      <c r="D704" s="2">
        <v>6</v>
      </c>
      <c r="E704" s="1">
        <v>51383.78775439659</v>
      </c>
      <c r="F704" s="1">
        <f>IF(E704 + F703 &lt; 0, E704 + F703, 0)</f>
        <v>0</v>
      </c>
      <c r="G704" s="1">
        <v>-79012.01227152919</v>
      </c>
      <c r="H704" s="1">
        <f>IF(G704 + H703 &lt; 0, G704 + H703, 0)</f>
        <v>0</v>
      </c>
      <c r="I704" s="1">
        <v>141014.5616385084</v>
      </c>
      <c r="J704" s="1">
        <f>IF(I704 + J703 &lt; 0, I704 + J703, 0)</f>
        <v>0</v>
      </c>
      <c r="K704" s="1">
        <v>141014.5616385084</v>
      </c>
      <c r="L704" s="1">
        <f>IF(K704 + L703 &lt; 0, K704 + L703, 0)</f>
        <v>0</v>
      </c>
      <c r="M704" s="1">
        <v>21090.53497942386</v>
      </c>
      <c r="N704" s="1">
        <f>IF(M704 + N703 &lt; 0, M704 + N703, 0)</f>
        <v>0</v>
      </c>
      <c r="O704" s="1">
        <v>21090.53497942386</v>
      </c>
      <c r="P704" s="1">
        <f>IF(O704 + P703 &lt; 0, O704 + P703, 0)</f>
        <v>0</v>
      </c>
      <c r="Q704" s="1">
        <v>21090.53497942386</v>
      </c>
      <c r="R704" s="1">
        <f>IF(Q704 + R703 &lt; 0, Q704 + R703, 0)</f>
        <v>0</v>
      </c>
      <c r="S704" s="1">
        <v>21090.53497942386</v>
      </c>
      <c r="T704" s="1">
        <f>IF(S704 + T703 &lt; 0, S704 + T703, 0)</f>
        <v>0</v>
      </c>
    </row>
    <row r="705" spans="1:20" s="1" customFormat="1">
      <c r="A705" s="3">
        <v>46008</v>
      </c>
      <c r="B705" s="2" t="s">
        <v>14</v>
      </c>
      <c r="C705" s="2">
        <v>20</v>
      </c>
      <c r="D705" s="2">
        <v>5</v>
      </c>
      <c r="E705" s="1">
        <v>0</v>
      </c>
      <c r="F705" s="1">
        <f>IF(E705 + F704 &lt; 0, E705 + F704, 0)</f>
        <v>0</v>
      </c>
      <c r="G705" s="1">
        <v>0</v>
      </c>
      <c r="H705" s="1">
        <f>IF(G705 + H704 &lt; 0, G705 + H704, 0)</f>
        <v>0</v>
      </c>
      <c r="I705" s="1">
        <v>0</v>
      </c>
      <c r="J705" s="1">
        <f>IF(I705 + J704 &lt; 0, I705 + J704, 0)</f>
        <v>0</v>
      </c>
      <c r="K705" s="1">
        <v>0</v>
      </c>
      <c r="L705" s="1">
        <f>IF(K705 + L704 &lt; 0, K705 + L704, 0)</f>
        <v>0</v>
      </c>
      <c r="M705" s="1">
        <v>37580.94357076781</v>
      </c>
      <c r="N705" s="1">
        <f>IF(M705 + N704 &lt; 0, M705 + N704, 0)</f>
        <v>0</v>
      </c>
      <c r="O705" s="1">
        <v>37580.94357076781</v>
      </c>
      <c r="P705" s="1">
        <f>IF(O705 + P704 &lt; 0, O705 + P704, 0)</f>
        <v>0</v>
      </c>
      <c r="Q705" s="1">
        <v>37580.94357076781</v>
      </c>
      <c r="R705" s="1">
        <f>IF(Q705 + R704 &lt; 0, Q705 + R704, 0)</f>
        <v>0</v>
      </c>
      <c r="S705" s="1">
        <v>37580.94357076781</v>
      </c>
      <c r="T705" s="1">
        <f>IF(S705 + T704 &lt; 0, S705 + T704, 0)</f>
        <v>0</v>
      </c>
    </row>
    <row r="706" spans="1:20" s="1" customFormat="1">
      <c r="A706" s="3">
        <v>46009</v>
      </c>
      <c r="B706" s="2" t="s">
        <v>16</v>
      </c>
      <c r="C706" s="2">
        <v>19</v>
      </c>
      <c r="D706" s="2">
        <v>4</v>
      </c>
      <c r="E706" s="1">
        <v>0</v>
      </c>
      <c r="F706" s="1">
        <f>IF(E706 + F705 &lt; 0, E706 + F705, 0)</f>
        <v>0</v>
      </c>
      <c r="G706" s="1">
        <v>0</v>
      </c>
      <c r="H706" s="1">
        <f>IF(G706 + H705 &lt; 0, G706 + H705, 0)</f>
        <v>0</v>
      </c>
      <c r="I706" s="1">
        <v>0</v>
      </c>
      <c r="J706" s="1">
        <f>IF(I706 + J705 &lt; 0, I706 + J705, 0)</f>
        <v>0</v>
      </c>
      <c r="K706" s="1">
        <v>0</v>
      </c>
      <c r="L706" s="1">
        <f>IF(K706 + L705 &lt; 0, K706 + L705, 0)</f>
        <v>0</v>
      </c>
      <c r="M706" s="1">
        <v>-103740.9584086799</v>
      </c>
      <c r="N706" s="1">
        <f>IF(M706 + N705 &lt; 0, M706 + N705, 0)</f>
        <v>0</v>
      </c>
      <c r="O706" s="1">
        <v>-103740.9584086799</v>
      </c>
      <c r="P706" s="1">
        <f>IF(O706 + P705 &lt; 0, O706 + P705, 0)</f>
        <v>0</v>
      </c>
      <c r="Q706" s="1">
        <v>-103740.9584086799</v>
      </c>
      <c r="R706" s="1">
        <f>IF(Q706 + R705 &lt; 0, Q706 + R705, 0)</f>
        <v>0</v>
      </c>
      <c r="S706" s="1">
        <v>-103740.9584086799</v>
      </c>
      <c r="T706" s="1">
        <f>IF(S706 + T705 &lt; 0, S706 + T705, 0)</f>
        <v>0</v>
      </c>
    </row>
    <row r="707" spans="1:20" s="1" customFormat="1">
      <c r="A707" s="3">
        <v>46010</v>
      </c>
      <c r="B707" s="2" t="s">
        <v>15</v>
      </c>
      <c r="C707" s="2">
        <v>18</v>
      </c>
      <c r="D707" s="2">
        <v>3</v>
      </c>
      <c r="E707" s="1">
        <v>0</v>
      </c>
      <c r="F707" s="1">
        <f>IF(E707 + F706 &lt; 0, E707 + F706, 0)</f>
        <v>0</v>
      </c>
      <c r="G707" s="1">
        <v>0</v>
      </c>
      <c r="H707" s="1">
        <f>IF(G707 + H706 &lt; 0, G707 + H706, 0)</f>
        <v>0</v>
      </c>
      <c r="I707" s="1">
        <v>0</v>
      </c>
      <c r="J707" s="1">
        <f>IF(I707 + J706 &lt; 0, I707 + J706, 0)</f>
        <v>0</v>
      </c>
      <c r="K707" s="1">
        <v>0</v>
      </c>
      <c r="L707" s="1">
        <f>IF(K707 + L706 &lt; 0, K707 + L706, 0)</f>
        <v>0</v>
      </c>
      <c r="M707" s="1">
        <v>-235.6267672007516</v>
      </c>
      <c r="N707" s="1">
        <f>IF(M707 + N706 &lt; 0, M707 + N706, 0)</f>
        <v>0</v>
      </c>
      <c r="O707" s="1">
        <v>-235.6267672007516</v>
      </c>
      <c r="P707" s="1">
        <f>IF(O707 + P706 &lt; 0, O707 + P706, 0)</f>
        <v>0</v>
      </c>
      <c r="Q707" s="1">
        <v>-235.6267672007516</v>
      </c>
      <c r="R707" s="1">
        <f>IF(Q707 + R706 &lt; 0, Q707 + R706, 0)</f>
        <v>0</v>
      </c>
      <c r="S707" s="1">
        <v>-235.6267672007516</v>
      </c>
      <c r="T707" s="1">
        <f>IF(S707 + T706 &lt; 0, S707 + T706, 0)</f>
        <v>0</v>
      </c>
    </row>
    <row r="708" spans="1:20" s="1" customFormat="1">
      <c r="A708" s="3">
        <v>46013</v>
      </c>
      <c r="B708" s="2" t="s">
        <v>12</v>
      </c>
      <c r="C708" s="2">
        <v>17</v>
      </c>
      <c r="D708" s="2">
        <v>2</v>
      </c>
      <c r="E708" s="1">
        <v>0</v>
      </c>
      <c r="F708" s="1">
        <f>IF(E708 + F707 &lt; 0, E708 + F707, 0)</f>
        <v>0</v>
      </c>
      <c r="G708" s="1">
        <v>0</v>
      </c>
      <c r="H708" s="1">
        <f>IF(G708 + H707 &lt; 0, G708 + H707, 0)</f>
        <v>0</v>
      </c>
      <c r="I708" s="1">
        <v>0</v>
      </c>
      <c r="J708" s="1">
        <f>IF(I708 + J707 &lt; 0, I708 + J707, 0)</f>
        <v>0</v>
      </c>
      <c r="K708" s="1">
        <v>0</v>
      </c>
      <c r="L708" s="1">
        <f>IF(K708 + L707 &lt; 0, K708 + L707, 0)</f>
        <v>0</v>
      </c>
      <c r="M708" s="1">
        <v>16571.83908045977</v>
      </c>
      <c r="N708" s="1">
        <f>IF(M708 + N707 &lt; 0, M708 + N707, 0)</f>
        <v>0</v>
      </c>
      <c r="O708" s="1">
        <v>-40324.71264367816</v>
      </c>
      <c r="P708" s="1">
        <f>IF(O708 + P707 &lt; 0, O708 + P707, 0)</f>
        <v>0</v>
      </c>
      <c r="Q708" s="1">
        <v>-134264.367816092</v>
      </c>
      <c r="R708" s="1">
        <f>IF(Q708 + R707 &lt; 0, Q708 + R707, 0)</f>
        <v>0</v>
      </c>
      <c r="S708" s="1">
        <v>-134264.367816092</v>
      </c>
      <c r="T708" s="1">
        <f>IF(S708 + T707 &lt; 0, S708 + T707, 0)</f>
        <v>0</v>
      </c>
    </row>
    <row r="709" spans="1:20" s="1" customFormat="1">
      <c r="A709" s="3">
        <v>46014</v>
      </c>
      <c r="B709" s="2" t="s">
        <v>13</v>
      </c>
      <c r="C709" s="2">
        <v>16</v>
      </c>
      <c r="D709" s="2">
        <v>1</v>
      </c>
      <c r="E709" s="1">
        <v>0</v>
      </c>
      <c r="F709" s="1">
        <f>IF(E709 + F708 &lt; 0, E709 + F708, 0)</f>
        <v>0</v>
      </c>
      <c r="G709" s="1">
        <v>0</v>
      </c>
      <c r="H709" s="1">
        <f>IF(G709 + H708 &lt; 0, G709 + H708, 0)</f>
        <v>0</v>
      </c>
      <c r="I709" s="1">
        <v>0</v>
      </c>
      <c r="J709" s="1">
        <f>IF(I709 + J708 &lt; 0, I709 + J708, 0)</f>
        <v>0</v>
      </c>
      <c r="K709" s="1">
        <v>0</v>
      </c>
      <c r="L709" s="1">
        <f>IF(K709 + L708 &lt; 0, K709 + L708, 0)</f>
        <v>0</v>
      </c>
      <c r="M709" s="1">
        <v>53018.14988290397</v>
      </c>
      <c r="N709" s="1">
        <f>IF(M709 + N708 &lt; 0, M709 + N708, 0)</f>
        <v>0</v>
      </c>
      <c r="O709" s="1">
        <v>22280.4449648712</v>
      </c>
      <c r="P709" s="1">
        <f>IF(O709 + P708 &lt; 0, O709 + P708, 0)</f>
        <v>0</v>
      </c>
      <c r="Q709" s="1">
        <v>-121756.4402810305</v>
      </c>
      <c r="R709" s="1">
        <f>IF(Q709 + R708 &lt; 0, Q709 + R708, 0)</f>
        <v>0</v>
      </c>
      <c r="S709" s="1">
        <v>-127324.355971897</v>
      </c>
      <c r="T709" s="1">
        <f>IF(S709 + T708 &lt; 0, S709 + T708, 0)</f>
        <v>0</v>
      </c>
    </row>
    <row r="710" spans="1:20" s="1" customFormat="1">
      <c r="A710" s="3">
        <v>46015</v>
      </c>
      <c r="B710" s="2" t="s">
        <v>14</v>
      </c>
      <c r="C710" s="2">
        <v>15</v>
      </c>
      <c r="D710" s="2">
        <v>21</v>
      </c>
      <c r="E710" s="1">
        <v>0</v>
      </c>
      <c r="F710" s="1">
        <f>IF(E710 + F709 &lt; 0, E710 + F709, 0)</f>
        <v>0</v>
      </c>
      <c r="G710" s="1">
        <v>0</v>
      </c>
      <c r="H710" s="1">
        <f>IF(G710 + H709 &lt; 0, G710 + H709, 0)</f>
        <v>0</v>
      </c>
      <c r="I710" s="1">
        <v>0</v>
      </c>
      <c r="J710" s="1">
        <f>IF(I710 + J709 &lt; 0, I710 + J709, 0)</f>
        <v>0</v>
      </c>
      <c r="K710" s="1">
        <v>0</v>
      </c>
      <c r="L710" s="1">
        <f>IF(K710 + L709 &lt; 0, K710 + L709, 0)</f>
        <v>0</v>
      </c>
      <c r="M710" s="1">
        <v>0</v>
      </c>
      <c r="N710" s="1">
        <f>IF(M710 + N709 &lt; 0, M710 + N709, 0)</f>
        <v>0</v>
      </c>
      <c r="O710" s="1">
        <v>0</v>
      </c>
      <c r="P710" s="1">
        <f>IF(O710 + P709 &lt; 0, O710 + P709, 0)</f>
        <v>0</v>
      </c>
      <c r="Q710" s="1">
        <v>0</v>
      </c>
      <c r="R710" s="1">
        <f>IF(Q710 + R709 &lt; 0, Q710 + R709, 0)</f>
        <v>0</v>
      </c>
      <c r="S710" s="1">
        <v>0</v>
      </c>
      <c r="T710" s="1">
        <f>IF(S710 + T709 &lt; 0, S710 + T709, 0)</f>
        <v>0</v>
      </c>
    </row>
    <row r="711" spans="1:20" s="1" customFormat="1">
      <c r="A711" s="3">
        <v>46017</v>
      </c>
      <c r="B711" s="2" t="s">
        <v>15</v>
      </c>
      <c r="C711" s="2">
        <v>14</v>
      </c>
      <c r="D711" s="2">
        <v>20</v>
      </c>
      <c r="E711" s="1">
        <v>0</v>
      </c>
      <c r="F711" s="1">
        <f>IF(E711 + F710 &lt; 0, E711 + F710, 0)</f>
        <v>0</v>
      </c>
      <c r="G711" s="1">
        <v>0</v>
      </c>
      <c r="H711" s="1">
        <f>IF(G711 + H710 &lt; 0, G711 + H710, 0)</f>
        <v>0</v>
      </c>
      <c r="I711" s="1">
        <v>0</v>
      </c>
      <c r="J711" s="1">
        <f>IF(I711 + J710 &lt; 0, I711 + J710, 0)</f>
        <v>0</v>
      </c>
      <c r="K711" s="1">
        <v>0</v>
      </c>
      <c r="L711" s="1">
        <f>IF(K711 + L710 &lt; 0, K711 + L710, 0)</f>
        <v>0</v>
      </c>
      <c r="M711" s="1">
        <v>0</v>
      </c>
      <c r="N711" s="1">
        <f>IF(M711 + N710 &lt; 0, M711 + N710, 0)</f>
        <v>0</v>
      </c>
      <c r="O711" s="1">
        <v>0</v>
      </c>
      <c r="P711" s="1">
        <f>IF(O711 + P710 &lt; 0, O711 + P710, 0)</f>
        <v>0</v>
      </c>
      <c r="Q711" s="1">
        <v>0</v>
      </c>
      <c r="R711" s="1">
        <f>IF(Q711 + R710 &lt; 0, Q711 + R710, 0)</f>
        <v>0</v>
      </c>
      <c r="S711" s="1">
        <v>0</v>
      </c>
      <c r="T711" s="1">
        <f>IF(S711 + T710 &lt; 0, S711 + T710, 0)</f>
        <v>0</v>
      </c>
    </row>
    <row r="712" spans="1:20" s="1" customFormat="1">
      <c r="A712" s="3">
        <v>46020</v>
      </c>
      <c r="B712" s="2" t="s">
        <v>12</v>
      </c>
      <c r="C712" s="2">
        <v>13</v>
      </c>
      <c r="D712" s="2">
        <v>19</v>
      </c>
      <c r="E712" s="1">
        <v>0</v>
      </c>
      <c r="F712" s="1">
        <f>IF(E712 + F711 &lt; 0, E712 + F711, 0)</f>
        <v>0</v>
      </c>
      <c r="G712" s="1">
        <v>0</v>
      </c>
      <c r="H712" s="1">
        <f>IF(G712 + H711 &lt; 0, G712 + H711, 0)</f>
        <v>0</v>
      </c>
      <c r="I712" s="1">
        <v>0</v>
      </c>
      <c r="J712" s="1">
        <f>IF(I712 + J711 &lt; 0, I712 + J711, 0)</f>
        <v>0</v>
      </c>
      <c r="K712" s="1">
        <v>0</v>
      </c>
      <c r="L712" s="1">
        <f>IF(K712 + L711 &lt; 0, K712 + L711, 0)</f>
        <v>0</v>
      </c>
      <c r="M712" s="1">
        <v>0</v>
      </c>
      <c r="N712" s="1">
        <f>IF(M712 + N711 &lt; 0, M712 + N711, 0)</f>
        <v>0</v>
      </c>
      <c r="O712" s="1">
        <v>0</v>
      </c>
      <c r="P712" s="1">
        <f>IF(O712 + P711 &lt; 0, O712 + P711, 0)</f>
        <v>0</v>
      </c>
      <c r="Q712" s="1">
        <v>0</v>
      </c>
      <c r="R712" s="1">
        <f>IF(Q712 + R711 &lt; 0, Q712 + R711, 0)</f>
        <v>0</v>
      </c>
      <c r="S712" s="1">
        <v>0</v>
      </c>
      <c r="T712" s="1">
        <f>IF(S712 + T711 &lt; 0, S712 + T711, 0)</f>
        <v>0</v>
      </c>
    </row>
    <row r="713" spans="1:20" s="1" customFormat="1">
      <c r="A713" s="3">
        <v>46021</v>
      </c>
      <c r="B713" s="2" t="s">
        <v>13</v>
      </c>
      <c r="C713" s="2">
        <v>12</v>
      </c>
      <c r="D713" s="2">
        <v>18</v>
      </c>
      <c r="E713" s="1">
        <v>0</v>
      </c>
      <c r="F713" s="1">
        <f>IF(E713 + F712 &lt; 0, E713 + F712, 0)</f>
        <v>0</v>
      </c>
      <c r="G713" s="1">
        <v>0</v>
      </c>
      <c r="H713" s="1">
        <f>IF(G713 + H712 &lt; 0, G713 + H712, 0)</f>
        <v>0</v>
      </c>
      <c r="I713" s="1">
        <v>0</v>
      </c>
      <c r="J713" s="1">
        <f>IF(I713 + J712 &lt; 0, I713 + J712, 0)</f>
        <v>0</v>
      </c>
      <c r="K713" s="1">
        <v>0</v>
      </c>
      <c r="L713" s="1">
        <f>IF(K713 + L712 &lt; 0, K713 + L712, 0)</f>
        <v>0</v>
      </c>
      <c r="M713" s="1">
        <v>0</v>
      </c>
      <c r="N713" s="1">
        <f>IF(M713 + N712 &lt; 0, M713 + N712, 0)</f>
        <v>0</v>
      </c>
      <c r="O713" s="1">
        <v>0</v>
      </c>
      <c r="P713" s="1">
        <f>IF(O713 + P712 &lt; 0, O713 + P712, 0)</f>
        <v>0</v>
      </c>
      <c r="Q713" s="1">
        <v>0</v>
      </c>
      <c r="R713" s="1">
        <f>IF(Q713 + R712 &lt; 0, Q713 + R712, 0)</f>
        <v>0</v>
      </c>
      <c r="S713" s="1">
        <v>0</v>
      </c>
      <c r="T713" s="1">
        <f>IF(S713 + T712 &lt; 0, S713 + T712, 0)</f>
        <v>0</v>
      </c>
    </row>
    <row r="714" spans="1:20" s="1" customFormat="1">
      <c r="A714" s="3">
        <v>46022</v>
      </c>
      <c r="B714" s="2" t="s">
        <v>14</v>
      </c>
      <c r="C714" s="2">
        <v>11</v>
      </c>
      <c r="D714" s="2">
        <v>17</v>
      </c>
      <c r="E714" s="1">
        <v>0</v>
      </c>
      <c r="F714" s="1">
        <f>IF(E714 + F713 &lt; 0, E714 + F713, 0)</f>
        <v>0</v>
      </c>
      <c r="G714" s="1">
        <v>0</v>
      </c>
      <c r="H714" s="1">
        <f>IF(G714 + H713 &lt; 0, G714 + H713, 0)</f>
        <v>0</v>
      </c>
      <c r="I714" s="1">
        <v>0</v>
      </c>
      <c r="J714" s="1">
        <f>IF(I714 + J713 &lt; 0, I714 + J713, 0)</f>
        <v>0</v>
      </c>
      <c r="K714" s="1">
        <v>0</v>
      </c>
      <c r="L714" s="1">
        <f>IF(K714 + L713 &lt; 0, K714 + L713, 0)</f>
        <v>0</v>
      </c>
      <c r="M714" s="1">
        <v>0</v>
      </c>
      <c r="N714" s="1">
        <f>IF(M714 + N713 &lt; 0, M714 + N713, 0)</f>
        <v>0</v>
      </c>
      <c r="O714" s="1">
        <v>0</v>
      </c>
      <c r="P714" s="1">
        <f>IF(O714 + P713 &lt; 0, O714 + P713, 0)</f>
        <v>0</v>
      </c>
      <c r="Q714" s="1">
        <v>0</v>
      </c>
      <c r="R714" s="1">
        <f>IF(Q714 + R713 &lt; 0, Q714 + R713, 0)</f>
        <v>0</v>
      </c>
      <c r="S714" s="1">
        <v>0</v>
      </c>
      <c r="T714" s="1">
        <f>IF(S714 + T713 &lt; 0, S714 + T713, 0)</f>
        <v>0</v>
      </c>
    </row>
    <row r="715" spans="1:20" s="1" customFormat="1">
      <c r="A715" s="3">
        <v>46023</v>
      </c>
      <c r="B715" s="2" t="s">
        <v>16</v>
      </c>
      <c r="C715" s="2">
        <v>10</v>
      </c>
      <c r="D715" s="2">
        <v>16</v>
      </c>
      <c r="E715" s="1">
        <v>-586.60409556314</v>
      </c>
      <c r="F715" s="1">
        <f>IF(E715 + F714 &lt; 0, E715 + F714, 0)</f>
        <v>0</v>
      </c>
      <c r="G715" s="1">
        <v>-586.60409556314</v>
      </c>
      <c r="H715" s="1">
        <f>IF(G715 + H714 &lt; 0, G715 + H714, 0)</f>
        <v>0</v>
      </c>
      <c r="I715" s="1">
        <v>-586.60409556314</v>
      </c>
      <c r="J715" s="1">
        <f>IF(I715 + J714 &lt; 0, I715 + J714, 0)</f>
        <v>0</v>
      </c>
      <c r="K715" s="1">
        <v>-586.60409556314</v>
      </c>
      <c r="L715" s="1">
        <f>IF(K715 + L714 &lt; 0, K715 + L714, 0)</f>
        <v>0</v>
      </c>
      <c r="M715" s="1">
        <v>0</v>
      </c>
      <c r="N715" s="1">
        <f>IF(M715 + N714 &lt; 0, M715 + N714, 0)</f>
        <v>0</v>
      </c>
      <c r="O715" s="1">
        <v>0</v>
      </c>
      <c r="P715" s="1">
        <f>IF(O715 + P714 &lt; 0, O715 + P714, 0)</f>
        <v>0</v>
      </c>
      <c r="Q715" s="1">
        <v>0</v>
      </c>
      <c r="R715" s="1">
        <f>IF(Q715 + R714 &lt; 0, Q715 + R714, 0)</f>
        <v>0</v>
      </c>
      <c r="S715" s="1">
        <v>0</v>
      </c>
      <c r="T715" s="1">
        <f>IF(S715 + T714 &lt; 0, S715 + T714, 0)</f>
        <v>0</v>
      </c>
    </row>
    <row r="716" spans="1:20" s="1" customFormat="1">
      <c r="A716" s="3">
        <v>46024</v>
      </c>
      <c r="B716" s="2" t="s">
        <v>15</v>
      </c>
      <c r="C716" s="2">
        <v>9</v>
      </c>
      <c r="D716" s="2">
        <v>15</v>
      </c>
      <c r="E716" s="1">
        <v>-7756.817890828389</v>
      </c>
      <c r="F716" s="1">
        <f>IF(E716 + F715 &lt; 0, E716 + F715, 0)</f>
        <v>0</v>
      </c>
      <c r="G716" s="1">
        <v>-7756.817890828389</v>
      </c>
      <c r="H716" s="1">
        <f>IF(G716 + H715 &lt; 0, G716 + H715, 0)</f>
        <v>0</v>
      </c>
      <c r="I716" s="1">
        <v>-7756.817890828389</v>
      </c>
      <c r="J716" s="1">
        <f>IF(I716 + J715 &lt; 0, I716 + J715, 0)</f>
        <v>0</v>
      </c>
      <c r="K716" s="1">
        <v>-7756.817890828389</v>
      </c>
      <c r="L716" s="1">
        <f>IF(K716 + L715 &lt; 0, K716 + L715, 0)</f>
        <v>0</v>
      </c>
      <c r="M716" s="1">
        <v>0</v>
      </c>
      <c r="N716" s="1">
        <f>IF(M716 + N715 &lt; 0, M716 + N715, 0)</f>
        <v>0</v>
      </c>
      <c r="O716" s="1">
        <v>0</v>
      </c>
      <c r="P716" s="1">
        <f>IF(O716 + P715 &lt; 0, O716 + P715, 0)</f>
        <v>0</v>
      </c>
      <c r="Q716" s="1">
        <v>0</v>
      </c>
      <c r="R716" s="1">
        <f>IF(Q716 + R715 &lt; 0, Q716 + R715, 0)</f>
        <v>0</v>
      </c>
      <c r="S716" s="1">
        <v>0</v>
      </c>
      <c r="T716" s="1">
        <f>IF(S716 + T715 &lt; 0, S716 + T715, 0)</f>
        <v>0</v>
      </c>
    </row>
    <row r="717" spans="1:20" s="1" customFormat="1">
      <c r="A717" s="3">
        <v>46027</v>
      </c>
      <c r="B717" s="2" t="s">
        <v>12</v>
      </c>
      <c r="C717" s="2">
        <v>8</v>
      </c>
      <c r="D717" s="2">
        <v>14</v>
      </c>
      <c r="E717" s="1">
        <v>-36229.34992490883</v>
      </c>
      <c r="F717" s="1">
        <f>IF(E717 + F716 &lt; 0, E717 + F716, 0)</f>
        <v>0</v>
      </c>
      <c r="G717" s="1">
        <v>-6414.932417936058</v>
      </c>
      <c r="H717" s="1">
        <f>IF(G717 + H716 &lt; 0, G717 + H716, 0)</f>
        <v>0</v>
      </c>
      <c r="I717" s="1">
        <v>-6414.932417936058</v>
      </c>
      <c r="J717" s="1">
        <f>IF(I717 + J716 &lt; 0, I717 + J716, 0)</f>
        <v>0</v>
      </c>
      <c r="K717" s="1">
        <v>-6414.932417936058</v>
      </c>
      <c r="L717" s="1">
        <f>IF(K717 + L716 &lt; 0, K717 + L716, 0)</f>
        <v>0</v>
      </c>
      <c r="M717" s="1">
        <v>0</v>
      </c>
      <c r="N717" s="1">
        <f>IF(M717 + N716 &lt; 0, M717 + N716, 0)</f>
        <v>0</v>
      </c>
      <c r="O717" s="1">
        <v>0</v>
      </c>
      <c r="P717" s="1">
        <f>IF(O717 + P716 &lt; 0, O717 + P716, 0)</f>
        <v>0</v>
      </c>
      <c r="Q717" s="1">
        <v>0</v>
      </c>
      <c r="R717" s="1">
        <f>IF(Q717 + R716 &lt; 0, Q717 + R716, 0)</f>
        <v>0</v>
      </c>
      <c r="S717" s="1">
        <v>0</v>
      </c>
      <c r="T717" s="1">
        <f>IF(S717 + T716 &lt; 0, S717 + T716, 0)</f>
        <v>0</v>
      </c>
    </row>
    <row r="718" spans="1:20" s="1" customFormat="1">
      <c r="A718" s="3">
        <v>46028</v>
      </c>
      <c r="B718" s="2" t="s">
        <v>13</v>
      </c>
      <c r="C718" s="2">
        <v>7</v>
      </c>
      <c r="D718" s="2">
        <v>13</v>
      </c>
      <c r="E718" s="1">
        <v>-87324.43523140706</v>
      </c>
      <c r="F718" s="1">
        <f>IF(E718 + F717 &lt; 0, E718 + F717, 0)</f>
        <v>0</v>
      </c>
      <c r="G718" s="1">
        <v>-106036.8897537863</v>
      </c>
      <c r="H718" s="1">
        <f>IF(G718 + H717 &lt; 0, G718 + H717, 0)</f>
        <v>0</v>
      </c>
      <c r="I718" s="1">
        <v>-106036.8897537863</v>
      </c>
      <c r="J718" s="1">
        <f>IF(I718 + J717 &lt; 0, I718 + J717, 0)</f>
        <v>0</v>
      </c>
      <c r="K718" s="1">
        <v>-106036.8897537863</v>
      </c>
      <c r="L718" s="1">
        <f>IF(K718 + L717 &lt; 0, K718 + L717, 0)</f>
        <v>0</v>
      </c>
      <c r="M718" s="1">
        <v>0</v>
      </c>
      <c r="N718" s="1">
        <f>IF(M718 + N717 &lt; 0, M718 + N717, 0)</f>
        <v>0</v>
      </c>
      <c r="O718" s="1">
        <v>0</v>
      </c>
      <c r="P718" s="1">
        <f>IF(O718 + P717 &lt; 0, O718 + P717, 0)</f>
        <v>0</v>
      </c>
      <c r="Q718" s="1">
        <v>0</v>
      </c>
      <c r="R718" s="1">
        <f>IF(Q718 + R717 &lt; 0, Q718 + R717, 0)</f>
        <v>0</v>
      </c>
      <c r="S718" s="1">
        <v>0</v>
      </c>
      <c r="T718" s="1">
        <f>IF(S718 + T717 &lt; 0, S718 + T717, 0)</f>
        <v>0</v>
      </c>
    </row>
    <row r="719" spans="1:20" s="1" customFormat="1">
      <c r="A719" s="3">
        <v>46029</v>
      </c>
      <c r="B719" s="2" t="s">
        <v>14</v>
      </c>
      <c r="C719" s="2">
        <v>6</v>
      </c>
      <c r="D719" s="2">
        <v>12</v>
      </c>
      <c r="E719" s="1">
        <v>-26147.42698191934</v>
      </c>
      <c r="F719" s="1">
        <f>IF(E719 + F718 &lt; 0, E719 + F718, 0)</f>
        <v>0</v>
      </c>
      <c r="G719" s="1">
        <v>-51036.59596662028</v>
      </c>
      <c r="H719" s="1">
        <f>IF(G719 + H718 &lt; 0, G719 + H718, 0)</f>
        <v>0</v>
      </c>
      <c r="I719" s="1">
        <v>-51036.59596662028</v>
      </c>
      <c r="J719" s="1">
        <f>IF(I719 + J718 &lt; 0, I719 + J718, 0)</f>
        <v>0</v>
      </c>
      <c r="K719" s="1">
        <v>-51036.59596662028</v>
      </c>
      <c r="L719" s="1">
        <f>IF(K719 + L718 &lt; 0, K719 + L718, 0)</f>
        <v>0</v>
      </c>
      <c r="M719" s="1">
        <v>0</v>
      </c>
      <c r="N719" s="1">
        <f>IF(M719 + N718 &lt; 0, M719 + N718, 0)</f>
        <v>0</v>
      </c>
      <c r="O719" s="1">
        <v>0</v>
      </c>
      <c r="P719" s="1">
        <f>IF(O719 + P718 &lt; 0, O719 + P718, 0)</f>
        <v>0</v>
      </c>
      <c r="Q719" s="1">
        <v>0</v>
      </c>
      <c r="R719" s="1">
        <f>IF(Q719 + R718 &lt; 0, Q719 + R718, 0)</f>
        <v>0</v>
      </c>
      <c r="S719" s="1">
        <v>0</v>
      </c>
      <c r="T719" s="1">
        <f>IF(S719 + T718 &lt; 0, S719 + T718, 0)</f>
        <v>0</v>
      </c>
    </row>
    <row r="720" spans="1:20" s="1" customFormat="1">
      <c r="A720" s="3">
        <v>46030</v>
      </c>
      <c r="B720" s="2" t="s">
        <v>16</v>
      </c>
      <c r="C720" s="2">
        <v>5</v>
      </c>
      <c r="D720" s="2">
        <v>11</v>
      </c>
      <c r="E720" s="1">
        <v>12102.07840042095</v>
      </c>
      <c r="F720" s="1">
        <f>IF(E720 + F719 &lt; 0, E720 + F719, 0)</f>
        <v>0</v>
      </c>
      <c r="G720" s="1">
        <v>12102.07840042095</v>
      </c>
      <c r="H720" s="1">
        <f>IF(G720 + H719 &lt; 0, G720 + H719, 0)</f>
        <v>0</v>
      </c>
      <c r="I720" s="1">
        <v>12102.07840042095</v>
      </c>
      <c r="J720" s="1">
        <f>IF(I720 + J719 &lt; 0, I720 + J719, 0)</f>
        <v>0</v>
      </c>
      <c r="K720" s="1">
        <v>12102.07840042095</v>
      </c>
      <c r="L720" s="1">
        <f>IF(K720 + L719 &lt; 0, K720 + L719, 0)</f>
        <v>0</v>
      </c>
      <c r="M720" s="1">
        <v>0</v>
      </c>
      <c r="N720" s="1">
        <f>IF(M720 + N719 &lt; 0, M720 + N719, 0)</f>
        <v>0</v>
      </c>
      <c r="O720" s="1">
        <v>0</v>
      </c>
      <c r="P720" s="1">
        <f>IF(O720 + P719 &lt; 0, O720 + P719, 0)</f>
        <v>0</v>
      </c>
      <c r="Q720" s="1">
        <v>0</v>
      </c>
      <c r="R720" s="1">
        <f>IF(Q720 + R719 &lt; 0, Q720 + R719, 0)</f>
        <v>0</v>
      </c>
      <c r="S720" s="1">
        <v>0</v>
      </c>
      <c r="T720" s="1">
        <f>IF(S720 + T719 &lt; 0, S720 + T719, 0)</f>
        <v>0</v>
      </c>
    </row>
    <row r="721" spans="1:20" s="1" customFormat="1">
      <c r="A721" s="3">
        <v>46031</v>
      </c>
      <c r="B721" s="2" t="s">
        <v>15</v>
      </c>
      <c r="C721" s="2">
        <v>4</v>
      </c>
      <c r="D721" s="2">
        <v>10</v>
      </c>
      <c r="E721" s="1">
        <v>-11451.05639802348</v>
      </c>
      <c r="F721" s="1">
        <f>IF(E721 + F720 &lt; 0, E721 + F720, 0)</f>
        <v>0</v>
      </c>
      <c r="G721" s="1">
        <v>-255104.148918044</v>
      </c>
      <c r="H721" s="1">
        <f>IF(G721 + H720 &lt; 0, G721 + H720, 0)</f>
        <v>0</v>
      </c>
      <c r="I721" s="1">
        <v>-234335.0655989095</v>
      </c>
      <c r="J721" s="1">
        <f>IF(I721 + J720 &lt; 0, I721 + J720, 0)</f>
        <v>0</v>
      </c>
      <c r="K721" s="1">
        <v>-234335.0655989095</v>
      </c>
      <c r="L721" s="1">
        <f>IF(K721 + L720 &lt; 0, K721 + L720, 0)</f>
        <v>0</v>
      </c>
      <c r="M721" s="1">
        <v>0</v>
      </c>
      <c r="N721" s="1">
        <f>IF(M721 + N720 &lt; 0, M721 + N720, 0)</f>
        <v>0</v>
      </c>
      <c r="O721" s="1">
        <v>0</v>
      </c>
      <c r="P721" s="1">
        <f>IF(O721 + P720 &lt; 0, O721 + P720, 0)</f>
        <v>0</v>
      </c>
      <c r="Q721" s="1">
        <v>0</v>
      </c>
      <c r="R721" s="1">
        <f>IF(Q721 + R720 &lt; 0, Q721 + R720, 0)</f>
        <v>0</v>
      </c>
      <c r="S721" s="1">
        <v>0</v>
      </c>
      <c r="T721" s="1">
        <f>IF(S721 + T720 &lt; 0, S721 + T720, 0)</f>
        <v>0</v>
      </c>
    </row>
    <row r="722" spans="1:20" s="1" customFormat="1">
      <c r="A722" s="3">
        <v>46034</v>
      </c>
      <c r="B722" s="2" t="s">
        <v>12</v>
      </c>
      <c r="C722" s="2">
        <v>3</v>
      </c>
      <c r="D722" s="2">
        <v>9</v>
      </c>
      <c r="E722" s="1">
        <v>-44002.45434502269</v>
      </c>
      <c r="F722" s="1">
        <f>IF(E722 + F721 &lt; 0, E722 + F721, 0)</f>
        <v>0</v>
      </c>
      <c r="G722" s="1">
        <v>10586.96285203211</v>
      </c>
      <c r="H722" s="1">
        <f>IF(G722 + H721 &lt; 0, G722 + H721, 0)</f>
        <v>0</v>
      </c>
      <c r="I722" s="1">
        <v>10586.96285203211</v>
      </c>
      <c r="J722" s="1">
        <f>IF(I722 + J721 &lt; 0, I722 + J721, 0)</f>
        <v>0</v>
      </c>
      <c r="K722" s="1">
        <v>10586.96285203211</v>
      </c>
      <c r="L722" s="1">
        <f>IF(K722 + L721 &lt; 0, K722 + L721, 0)</f>
        <v>0</v>
      </c>
      <c r="M722" s="1">
        <v>0</v>
      </c>
      <c r="N722" s="1">
        <f>IF(M722 + N721 &lt; 0, M722 + N721, 0)</f>
        <v>0</v>
      </c>
      <c r="O722" s="1">
        <v>0</v>
      </c>
      <c r="P722" s="1">
        <f>IF(O722 + P721 &lt; 0, O722 + P721, 0)</f>
        <v>0</v>
      </c>
      <c r="Q722" s="1">
        <v>0</v>
      </c>
      <c r="R722" s="1">
        <f>IF(Q722 + R721 &lt; 0, Q722 + R721, 0)</f>
        <v>0</v>
      </c>
      <c r="S722" s="1">
        <v>0</v>
      </c>
      <c r="T722" s="1">
        <f>IF(S722 + T721 &lt; 0, S722 + T721, 0)</f>
        <v>0</v>
      </c>
    </row>
    <row r="723" spans="1:20" s="1" customFormat="1"/>
    <row r="724" spans="1:20" s="1" customFormat="1"/>
    <row r="725" spans="1:20" s="1" customFormat="1"/>
    <row r="726" spans="1:20" s="1" customFormat="1"/>
    <row r="727" spans="1:20" s="1" customFormat="1"/>
    <row r="728" spans="1:20" s="1" customFormat="1"/>
    <row r="729" spans="1:20" s="1" customFormat="1"/>
    <row r="730" spans="1:20" s="1" customFormat="1"/>
    <row r="731" spans="1:20" s="1" customFormat="1"/>
    <row r="732" spans="1:20" s="1" customFormat="1"/>
    <row r="733" spans="1:20" s="1" customFormat="1"/>
    <row r="734" spans="1:20" s="1" customFormat="1"/>
    <row r="735" spans="1:20" s="1" customFormat="1"/>
    <row r="736" spans="1:20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</sheetData>
  <conditionalFormatting sqref="C2:ZZ1000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00"/>
  <sheetViews>
    <sheetView workbookViewId="0"/>
  </sheetViews>
  <sheetFormatPr defaultRowHeight="15"/>
  <sheetData>
    <row r="1" spans="1:12" s="1" customFormat="1">
      <c r="A1" s="2" t="s">
        <v>8</v>
      </c>
      <c r="B1" s="2" t="s">
        <v>9</v>
      </c>
      <c r="C1" s="2" t="s">
        <v>10</v>
      </c>
      <c r="D1" s="2" t="s">
        <v>11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</row>
    <row r="2" spans="1:12" s="1" customFormat="1">
      <c r="A2" s="3">
        <v>44928</v>
      </c>
      <c r="B2" s="1" t="s">
        <v>12</v>
      </c>
      <c r="C2" s="1">
        <v>8</v>
      </c>
      <c r="D2" s="1">
        <v>12</v>
      </c>
      <c r="E2" s="1">
        <v>133662.700813336</v>
      </c>
      <c r="F2" s="1">
        <f>IF(E2 &lt; 0, E2, 0)</f>
        <v>0</v>
      </c>
      <c r="G2" s="1">
        <v>133662.700813336</v>
      </c>
      <c r="H2" s="1">
        <f>IF(G2 &lt; 0, G2, 0)</f>
        <v>0</v>
      </c>
      <c r="I2" s="1">
        <v>0</v>
      </c>
      <c r="J2" s="1">
        <f>IF(I2 &lt; 0, I2, 0)</f>
        <v>0</v>
      </c>
      <c r="K2" s="1">
        <v>0</v>
      </c>
      <c r="L2" s="1">
        <f>IF(K2 &lt; 0, K2, 0)</f>
        <v>0</v>
      </c>
    </row>
    <row r="3" spans="1:12" s="1" customFormat="1">
      <c r="A3" s="3">
        <v>44929</v>
      </c>
      <c r="B3" s="1" t="s">
        <v>13</v>
      </c>
      <c r="C3" s="1">
        <v>7</v>
      </c>
      <c r="D3" s="1">
        <v>11</v>
      </c>
      <c r="E3" s="1">
        <v>20299.46739021202</v>
      </c>
      <c r="F3" s="1">
        <f>IF(E3 + F2 &lt; 0, E3 + F2, 0)</f>
        <v>0</v>
      </c>
      <c r="G3" s="1">
        <v>20299.46739021202</v>
      </c>
      <c r="H3" s="1">
        <f>IF(G3 + H2 &lt; 0, G3 + H2, 0)</f>
        <v>0</v>
      </c>
      <c r="I3" s="1">
        <v>0</v>
      </c>
      <c r="J3" s="1">
        <f>IF(I3 + J2 &lt; 0, I3 + J2, 0)</f>
        <v>0</v>
      </c>
      <c r="K3" s="1">
        <v>0</v>
      </c>
      <c r="L3" s="1">
        <f>IF(K3 + L2 &lt; 0, K3 + L2, 0)</f>
        <v>0</v>
      </c>
    </row>
    <row r="4" spans="1:12" s="1" customFormat="1">
      <c r="A4" s="3">
        <v>44930</v>
      </c>
      <c r="B4" s="1" t="s">
        <v>14</v>
      </c>
      <c r="C4" s="1">
        <v>6</v>
      </c>
      <c r="D4" s="1">
        <v>10</v>
      </c>
      <c r="E4" s="1">
        <v>62891.11389236548</v>
      </c>
      <c r="F4" s="1">
        <f>IF(E4 + F3 &lt; 0, E4 + F3, 0)</f>
        <v>0</v>
      </c>
      <c r="G4" s="1">
        <v>62891.11389236548</v>
      </c>
      <c r="H4" s="1">
        <f>IF(G4 + H3 &lt; 0, G4 + H3, 0)</f>
        <v>0</v>
      </c>
      <c r="I4" s="1">
        <v>0</v>
      </c>
      <c r="J4" s="1">
        <f>IF(I4 + J3 &lt; 0, I4 + J3, 0)</f>
        <v>0</v>
      </c>
      <c r="K4" s="1">
        <v>0</v>
      </c>
      <c r="L4" s="1">
        <f>IF(K4 + L3 &lt; 0, K4 + L3, 0)</f>
        <v>0</v>
      </c>
    </row>
    <row r="5" spans="1:12" s="1" customFormat="1">
      <c r="A5" s="3">
        <v>44932</v>
      </c>
      <c r="B5" s="1" t="s">
        <v>15</v>
      </c>
      <c r="C5" s="1">
        <v>5</v>
      </c>
      <c r="D5" s="1">
        <v>9</v>
      </c>
      <c r="E5" s="1">
        <v>217519.29635613</v>
      </c>
      <c r="F5" s="1">
        <f>IF(E5 + F4 &lt; 0, E5 + F4, 0)</f>
        <v>0</v>
      </c>
      <c r="G5" s="1">
        <v>217519.29635613</v>
      </c>
      <c r="H5" s="1">
        <f>IF(G5 + H4 &lt; 0, G5 + H4, 0)</f>
        <v>0</v>
      </c>
      <c r="I5" s="1">
        <v>0</v>
      </c>
      <c r="J5" s="1">
        <f>IF(I5 + J4 &lt; 0, I5 + J4, 0)</f>
        <v>0</v>
      </c>
      <c r="K5" s="1">
        <v>0</v>
      </c>
      <c r="L5" s="1">
        <f>IF(K5 + L4 &lt; 0, K5 + L4, 0)</f>
        <v>0</v>
      </c>
    </row>
    <row r="6" spans="1:12" s="1" customFormat="1">
      <c r="A6" s="3">
        <v>44938</v>
      </c>
      <c r="B6" s="1" t="s">
        <v>16</v>
      </c>
      <c r="C6" s="1">
        <v>4</v>
      </c>
      <c r="D6" s="1">
        <v>8</v>
      </c>
      <c r="E6" s="1">
        <v>330435.2408051428</v>
      </c>
      <c r="F6" s="1">
        <f>IF(E6 + F5 &lt; 0, E6 + F5, 0)</f>
        <v>0</v>
      </c>
      <c r="G6" s="1">
        <v>330435.2408051428</v>
      </c>
      <c r="H6" s="1">
        <f>IF(G6 + H5 &lt; 0, G6 + H5, 0)</f>
        <v>0</v>
      </c>
      <c r="I6" s="1">
        <v>0</v>
      </c>
      <c r="J6" s="1">
        <f>IF(I6 + J5 &lt; 0, I6 + J5, 0)</f>
        <v>0</v>
      </c>
      <c r="K6" s="1">
        <v>0</v>
      </c>
      <c r="L6" s="1">
        <f>IF(K6 + L5 &lt; 0, K6 + L5, 0)</f>
        <v>0</v>
      </c>
    </row>
    <row r="7" spans="1:12" s="1" customFormat="1">
      <c r="A7" s="3">
        <v>44939</v>
      </c>
      <c r="B7" s="1" t="s">
        <v>15</v>
      </c>
      <c r="C7" s="1">
        <v>3</v>
      </c>
      <c r="D7" s="1">
        <v>7</v>
      </c>
      <c r="E7" s="1">
        <v>279763.3590450594</v>
      </c>
      <c r="F7" s="1">
        <f>IF(E7 + F6 &lt; 0, E7 + F6, 0)</f>
        <v>0</v>
      </c>
      <c r="G7" s="1">
        <v>279763.3590450594</v>
      </c>
      <c r="H7" s="1">
        <f>IF(G7 + H6 &lt; 0, G7 + H6, 0)</f>
        <v>0</v>
      </c>
      <c r="I7" s="1">
        <v>0</v>
      </c>
      <c r="J7" s="1">
        <f>IF(I7 + J6 &lt; 0, I7 + J6, 0)</f>
        <v>0</v>
      </c>
      <c r="K7" s="1">
        <v>0</v>
      </c>
      <c r="L7" s="1">
        <f>IF(K7 + L6 &lt; 0, K7 + L6, 0)</f>
        <v>0</v>
      </c>
    </row>
    <row r="8" spans="1:12" s="1" customFormat="1">
      <c r="A8" s="3">
        <v>44942</v>
      </c>
      <c r="B8" s="1" t="s">
        <v>12</v>
      </c>
      <c r="C8" s="1">
        <v>2</v>
      </c>
      <c r="D8" s="1">
        <v>6</v>
      </c>
      <c r="E8" s="1">
        <v>120607.6550087692</v>
      </c>
      <c r="F8" s="1">
        <f>IF(E8 + F7 &lt; 0, E8 + F7, 0)</f>
        <v>0</v>
      </c>
      <c r="G8" s="1">
        <v>200488.3249080092</v>
      </c>
      <c r="H8" s="1">
        <f>IF(G8 + H7 &lt; 0, G8 + H7, 0)</f>
        <v>0</v>
      </c>
      <c r="I8" s="1">
        <v>168449.1978609626</v>
      </c>
      <c r="J8" s="1">
        <f>IF(I8 + J7 &lt; 0, I8 + J7, 0)</f>
        <v>0</v>
      </c>
      <c r="K8" s="1">
        <v>168449.1978609626</v>
      </c>
      <c r="L8" s="1">
        <f>IF(K8 + L7 &lt; 0, K8 + L7, 0)</f>
        <v>0</v>
      </c>
    </row>
    <row r="9" spans="1:12" s="1" customFormat="1">
      <c r="A9" s="3">
        <v>44943</v>
      </c>
      <c r="B9" s="1" t="s">
        <v>13</v>
      </c>
      <c r="C9" s="1">
        <v>1</v>
      </c>
      <c r="D9" s="1">
        <v>5</v>
      </c>
      <c r="E9" s="1">
        <v>446461.8600507162</v>
      </c>
      <c r="F9" s="1">
        <f>IF(E9 + F8 &lt; 0, E9 + F8, 0)</f>
        <v>0</v>
      </c>
      <c r="G9" s="1">
        <v>497015.283393873</v>
      </c>
      <c r="H9" s="1">
        <f>IF(G9 + H8 &lt; 0, G9 + H8, 0)</f>
        <v>0</v>
      </c>
      <c r="I9" s="1">
        <v>-34553.40071018848</v>
      </c>
      <c r="J9" s="1">
        <f>IF(I9 + J8 &lt; 0, I9 + J8, 0)</f>
        <v>0</v>
      </c>
      <c r="K9" s="1">
        <v>-34553.40071018848</v>
      </c>
      <c r="L9" s="1">
        <f>IF(K9 + L8 &lt; 0, K9 + L8, 0)</f>
        <v>0</v>
      </c>
    </row>
    <row r="10" spans="1:12" s="1" customFormat="1">
      <c r="A10" s="3">
        <v>44944</v>
      </c>
      <c r="B10" s="1" t="s">
        <v>14</v>
      </c>
      <c r="C10" s="1">
        <v>20</v>
      </c>
      <c r="D10" s="1">
        <v>4</v>
      </c>
      <c r="E10" s="1">
        <v>0</v>
      </c>
      <c r="F10" s="1">
        <f>IF(E10 + F9 &lt; 0, E10 + F9, 0)</f>
        <v>0</v>
      </c>
      <c r="G10" s="1">
        <v>0</v>
      </c>
      <c r="H10" s="1">
        <f>IF(G10 + H9 &lt; 0, G10 + H9, 0)</f>
        <v>0</v>
      </c>
      <c r="I10" s="1">
        <v>180659.9832915624</v>
      </c>
      <c r="J10" s="1">
        <f>IF(I10 + J9 &lt; 0, I10 + J9, 0)</f>
        <v>0</v>
      </c>
      <c r="K10" s="1">
        <v>180659.9832915624</v>
      </c>
      <c r="L10" s="1">
        <f>IF(K10 + L9 &lt; 0, K10 + L9, 0)</f>
        <v>0</v>
      </c>
    </row>
    <row r="11" spans="1:12" s="1" customFormat="1">
      <c r="A11" s="3">
        <v>44945</v>
      </c>
      <c r="B11" s="1" t="s">
        <v>16</v>
      </c>
      <c r="C11" s="1">
        <v>19</v>
      </c>
      <c r="D11" s="1">
        <v>3</v>
      </c>
      <c r="E11" s="1">
        <v>0</v>
      </c>
      <c r="F11" s="1">
        <f>IF(E11 + F10 &lt; 0, E11 + F10, 0)</f>
        <v>0</v>
      </c>
      <c r="G11" s="1">
        <v>0</v>
      </c>
      <c r="H11" s="1">
        <f>IF(G11 + H10 &lt; 0, G11 + H10, 0)</f>
        <v>0</v>
      </c>
      <c r="I11" s="1">
        <v>111692.3076923077</v>
      </c>
      <c r="J11" s="1">
        <f>IF(I11 + J10 &lt; 0, I11 + J10, 0)</f>
        <v>0</v>
      </c>
      <c r="K11" s="1">
        <v>111692.3076923077</v>
      </c>
      <c r="L11" s="1">
        <f>IF(K11 + L10 &lt; 0, K11 + L10, 0)</f>
        <v>0</v>
      </c>
    </row>
    <row r="12" spans="1:12" s="1" customFormat="1">
      <c r="A12" s="3">
        <v>44946</v>
      </c>
      <c r="B12" s="1" t="s">
        <v>15</v>
      </c>
      <c r="C12" s="1">
        <v>18</v>
      </c>
      <c r="D12" s="1">
        <v>2</v>
      </c>
      <c r="E12" s="1">
        <v>0</v>
      </c>
      <c r="F12" s="1">
        <f>IF(E12 + F11 &lt; 0, E12 + F11, 0)</f>
        <v>0</v>
      </c>
      <c r="G12" s="1">
        <v>0</v>
      </c>
      <c r="H12" s="1">
        <f>IF(G12 + H11 &lt; 0, G12 + H11, 0)</f>
        <v>0</v>
      </c>
      <c r="I12" s="1">
        <v>-269936.4069952304</v>
      </c>
      <c r="J12" s="1">
        <f>IF(I12 + J11 &lt; 0, I12 + J11, 0)</f>
        <v>0</v>
      </c>
      <c r="K12" s="1">
        <v>-276271.8600953894</v>
      </c>
      <c r="L12" s="1">
        <f>IF(K12 + L11 &lt; 0, K12 + L11, 0)</f>
        <v>0</v>
      </c>
    </row>
    <row r="13" spans="1:12" s="1" customFormat="1">
      <c r="A13" s="3">
        <v>44949</v>
      </c>
      <c r="B13" s="1" t="s">
        <v>12</v>
      </c>
      <c r="C13" s="1">
        <v>17</v>
      </c>
      <c r="D13" s="1">
        <v>1</v>
      </c>
      <c r="E13" s="1">
        <v>0</v>
      </c>
      <c r="F13" s="1">
        <f>IF(E13 + F12 &lt; 0, E13 + F12, 0)</f>
        <v>0</v>
      </c>
      <c r="G13" s="1">
        <v>0</v>
      </c>
      <c r="H13" s="1">
        <f>IF(G13 + H12 &lt; 0, G13 + H12, 0)</f>
        <v>0</v>
      </c>
      <c r="I13" s="1">
        <v>26612.41711874619</v>
      </c>
      <c r="J13" s="1">
        <f>IF(I13 + J12 &lt; 0, I13 + J12, 0)</f>
        <v>0</v>
      </c>
      <c r="K13" s="1">
        <v>136784.2073538276</v>
      </c>
      <c r="L13" s="1">
        <f>IF(K13 + L12 &lt; 0, K13 + L12, 0)</f>
        <v>0</v>
      </c>
    </row>
    <row r="14" spans="1:12" s="1" customFormat="1">
      <c r="A14" s="3">
        <v>44950</v>
      </c>
      <c r="B14" s="1" t="s">
        <v>13</v>
      </c>
      <c r="C14" s="1">
        <v>16</v>
      </c>
      <c r="D14" s="1">
        <v>20</v>
      </c>
      <c r="E14" s="1">
        <v>0</v>
      </c>
      <c r="F14" s="1">
        <f>IF(E14 + F13 &lt; 0, E14 + F13, 0)</f>
        <v>0</v>
      </c>
      <c r="G14" s="1">
        <v>0</v>
      </c>
      <c r="H14" s="1">
        <f>IF(G14 + H13 &lt; 0, G14 + H13, 0)</f>
        <v>0</v>
      </c>
      <c r="I14" s="1">
        <v>0</v>
      </c>
      <c r="J14" s="1">
        <f>IF(I14 + J13 &lt; 0, I14 + J13, 0)</f>
        <v>0</v>
      </c>
      <c r="K14" s="1">
        <v>0</v>
      </c>
      <c r="L14" s="1">
        <f>IF(K14 + L13 &lt; 0, K14 + L13, 0)</f>
        <v>0</v>
      </c>
    </row>
    <row r="15" spans="1:12" s="1" customFormat="1">
      <c r="A15" s="3">
        <v>44951</v>
      </c>
      <c r="B15" s="1" t="s">
        <v>14</v>
      </c>
      <c r="C15" s="1">
        <v>15</v>
      </c>
      <c r="D15" s="1">
        <v>19</v>
      </c>
      <c r="E15" s="1">
        <v>0</v>
      </c>
      <c r="F15" s="1">
        <f>IF(E15 + F14 &lt; 0, E15 + F14, 0)</f>
        <v>0</v>
      </c>
      <c r="G15" s="1">
        <v>0</v>
      </c>
      <c r="H15" s="1">
        <f>IF(G15 + H14 &lt; 0, G15 + H14, 0)</f>
        <v>0</v>
      </c>
      <c r="I15" s="1">
        <v>0</v>
      </c>
      <c r="J15" s="1">
        <f>IF(I15 + J14 &lt; 0, I15 + J14, 0)</f>
        <v>0</v>
      </c>
      <c r="K15" s="1">
        <v>0</v>
      </c>
      <c r="L15" s="1">
        <f>IF(K15 + L14 &lt; 0, K15 + L14, 0)</f>
        <v>0</v>
      </c>
    </row>
    <row r="16" spans="1:12" s="1" customFormat="1">
      <c r="A16" s="3">
        <v>44953</v>
      </c>
      <c r="B16" s="1" t="s">
        <v>15</v>
      </c>
      <c r="C16" s="1">
        <v>14</v>
      </c>
      <c r="D16" s="1">
        <v>18</v>
      </c>
      <c r="E16" s="1">
        <v>0</v>
      </c>
      <c r="F16" s="1">
        <f>IF(E16 + F15 &lt; 0, E16 + F15, 0)</f>
        <v>0</v>
      </c>
      <c r="G16" s="1">
        <v>0</v>
      </c>
      <c r="H16" s="1">
        <f>IF(G16 + H15 &lt; 0, G16 + H15, 0)</f>
        <v>0</v>
      </c>
      <c r="I16" s="1">
        <v>0</v>
      </c>
      <c r="J16" s="1">
        <f>IF(I16 + J15 &lt; 0, I16 + J15, 0)</f>
        <v>0</v>
      </c>
      <c r="K16" s="1">
        <v>0</v>
      </c>
      <c r="L16" s="1">
        <f>IF(K16 + L15 &lt; 0, K16 + L15, 0)</f>
        <v>0</v>
      </c>
    </row>
    <row r="17" spans="1:12" s="1" customFormat="1">
      <c r="A17" s="3">
        <v>44956</v>
      </c>
      <c r="B17" s="1" t="s">
        <v>12</v>
      </c>
      <c r="C17" s="1">
        <v>0</v>
      </c>
      <c r="D17" s="1">
        <v>0</v>
      </c>
      <c r="E17" s="1">
        <v>0</v>
      </c>
      <c r="F17" s="1">
        <f>IF(E17 + F16 &lt; 0, E17 + F16, 0)</f>
        <v>0</v>
      </c>
      <c r="G17" s="1">
        <v>0</v>
      </c>
      <c r="H17" s="1">
        <f>IF(G17 + H16 &lt; 0, G17 + H16, 0)</f>
        <v>0</v>
      </c>
      <c r="I17" s="1">
        <v>0</v>
      </c>
      <c r="J17" s="1">
        <f>IF(I17 + J16 &lt; 0, I17 + J16, 0)</f>
        <v>0</v>
      </c>
      <c r="K17" s="1">
        <v>0</v>
      </c>
      <c r="L17" s="1">
        <f>IF(K17 + L16 &lt; 0, K17 + L16, 0)</f>
        <v>0</v>
      </c>
    </row>
    <row r="18" spans="1:12" s="1" customFormat="1">
      <c r="A18" s="3">
        <v>44957</v>
      </c>
      <c r="B18" s="1" t="s">
        <v>13</v>
      </c>
      <c r="C18" s="1">
        <v>12</v>
      </c>
      <c r="D18" s="1">
        <v>16</v>
      </c>
      <c r="E18" s="1">
        <v>0</v>
      </c>
      <c r="F18" s="1">
        <f>IF(E18 + F17 &lt; 0, E18 + F17, 0)</f>
        <v>0</v>
      </c>
      <c r="G18" s="1">
        <v>0</v>
      </c>
      <c r="H18" s="1">
        <f>IF(G18 + H17 &lt; 0, G18 + H17, 0)</f>
        <v>0</v>
      </c>
      <c r="I18" s="1">
        <v>0</v>
      </c>
      <c r="J18" s="1">
        <f>IF(I18 + J17 &lt; 0, I18 + J17, 0)</f>
        <v>0</v>
      </c>
      <c r="K18" s="1">
        <v>0</v>
      </c>
      <c r="L18" s="1">
        <f>IF(K18 + L17 &lt; 0, K18 + L17, 0)</f>
        <v>0</v>
      </c>
    </row>
    <row r="19" spans="1:12" s="1" customFormat="1">
      <c r="A19" s="3">
        <v>44958</v>
      </c>
      <c r="B19" s="1" t="s">
        <v>14</v>
      </c>
      <c r="C19" s="1">
        <v>11</v>
      </c>
      <c r="D19" s="1">
        <v>15</v>
      </c>
      <c r="E19" s="1">
        <v>0</v>
      </c>
      <c r="F19" s="1">
        <f>IF(E19 + F18 &lt; 0, E19 + F18, 0)</f>
        <v>0</v>
      </c>
      <c r="G19" s="1">
        <v>0</v>
      </c>
      <c r="H19" s="1">
        <f>IF(G19 + H18 &lt; 0, G19 + H18, 0)</f>
        <v>0</v>
      </c>
      <c r="I19" s="1">
        <v>0</v>
      </c>
      <c r="J19" s="1">
        <f>IF(I19 + J18 &lt; 0, I19 + J18, 0)</f>
        <v>0</v>
      </c>
      <c r="K19" s="1">
        <v>0</v>
      </c>
      <c r="L19" s="1">
        <f>IF(K19 + L18 &lt; 0, K19 + L18, 0)</f>
        <v>0</v>
      </c>
    </row>
    <row r="20" spans="1:12" s="1" customFormat="1">
      <c r="A20" s="3">
        <v>44959</v>
      </c>
      <c r="B20" s="1" t="s">
        <v>16</v>
      </c>
      <c r="C20" s="1">
        <v>10</v>
      </c>
      <c r="D20" s="1">
        <v>14</v>
      </c>
      <c r="E20" s="1">
        <v>-1176.635875100977</v>
      </c>
      <c r="F20" s="1">
        <f>IF(E20 + F19 &lt; 0, E20 + F19, 0)</f>
        <v>0</v>
      </c>
      <c r="G20" s="1">
        <v>-1176.635875100977</v>
      </c>
      <c r="H20" s="1">
        <f>IF(G20 + H19 &lt; 0, G20 + H19, 0)</f>
        <v>0</v>
      </c>
      <c r="I20" s="1">
        <v>0</v>
      </c>
      <c r="J20" s="1">
        <f>IF(I20 + J19 &lt; 0, I20 + J19, 0)</f>
        <v>0</v>
      </c>
      <c r="K20" s="1">
        <v>0</v>
      </c>
      <c r="L20" s="1">
        <f>IF(K20 + L19 &lt; 0, K20 + L19, 0)</f>
        <v>0</v>
      </c>
    </row>
    <row r="21" spans="1:12" s="1" customFormat="1">
      <c r="A21" s="3">
        <v>44960</v>
      </c>
      <c r="B21" s="1" t="s">
        <v>15</v>
      </c>
      <c r="C21" s="1">
        <v>9</v>
      </c>
      <c r="D21" s="1">
        <v>13</v>
      </c>
      <c r="E21" s="1">
        <v>-297828.3635072774</v>
      </c>
      <c r="F21" s="1">
        <f>IF(E21 + F20 &lt; 0, E21 + F20, 0)</f>
        <v>0</v>
      </c>
      <c r="G21" s="1">
        <v>26428.82499112532</v>
      </c>
      <c r="H21" s="1">
        <f>IF(G21 + H20 &lt; 0, G21 + H20, 0)</f>
        <v>0</v>
      </c>
      <c r="I21" s="1">
        <v>0</v>
      </c>
      <c r="J21" s="1">
        <f>IF(I21 + J20 &lt; 0, I21 + J20, 0)</f>
        <v>0</v>
      </c>
      <c r="K21" s="1">
        <v>0</v>
      </c>
      <c r="L21" s="1">
        <f>IF(K21 + L20 &lt; 0, K21 + L20, 0)</f>
        <v>0</v>
      </c>
    </row>
    <row r="22" spans="1:12" s="1" customFormat="1">
      <c r="A22" s="3">
        <v>44963</v>
      </c>
      <c r="B22" s="1" t="s">
        <v>12</v>
      </c>
      <c r="C22" s="1">
        <v>8</v>
      </c>
      <c r="D22" s="1">
        <v>12</v>
      </c>
      <c r="E22" s="1">
        <v>139992.7020616676</v>
      </c>
      <c r="F22" s="1">
        <f>IF(E22 + F21 &lt; 0, E22 + F21, 0)</f>
        <v>0</v>
      </c>
      <c r="G22" s="1">
        <v>139992.7020616676</v>
      </c>
      <c r="H22" s="1">
        <f>IF(G22 + H21 &lt; 0, G22 + H21, 0)</f>
        <v>0</v>
      </c>
      <c r="I22" s="1">
        <v>0</v>
      </c>
      <c r="J22" s="1">
        <f>IF(I22 + J21 &lt; 0, I22 + J21, 0)</f>
        <v>0</v>
      </c>
      <c r="K22" s="1">
        <v>0</v>
      </c>
      <c r="L22" s="1">
        <f>IF(K22 + L21 &lt; 0, K22 + L21, 0)</f>
        <v>0</v>
      </c>
    </row>
    <row r="23" spans="1:12" s="1" customFormat="1">
      <c r="A23" s="3">
        <v>44964</v>
      </c>
      <c r="B23" s="1" t="s">
        <v>13</v>
      </c>
      <c r="C23" s="1">
        <v>7</v>
      </c>
      <c r="D23" s="1">
        <v>11</v>
      </c>
      <c r="E23" s="1">
        <v>699536.2080080222</v>
      </c>
      <c r="F23" s="1">
        <f>IF(E23 + F22 &lt; 0, E23 + F22, 0)</f>
        <v>0</v>
      </c>
      <c r="G23" s="1">
        <v>699536.2080080222</v>
      </c>
      <c r="H23" s="1">
        <f>IF(G23 + H22 &lt; 0, G23 + H22, 0)</f>
        <v>0</v>
      </c>
      <c r="I23" s="1">
        <v>0</v>
      </c>
      <c r="J23" s="1">
        <f>IF(I23 + J22 &lt; 0, I23 + J22, 0)</f>
        <v>0</v>
      </c>
      <c r="K23" s="1">
        <v>0</v>
      </c>
      <c r="L23" s="1">
        <f>IF(K23 + L22 &lt; 0, K23 + L22, 0)</f>
        <v>0</v>
      </c>
    </row>
    <row r="24" spans="1:12" s="1" customFormat="1">
      <c r="A24" s="3">
        <v>44965</v>
      </c>
      <c r="B24" s="1" t="s">
        <v>14</v>
      </c>
      <c r="C24" s="1">
        <v>6</v>
      </c>
      <c r="D24" s="1">
        <v>10</v>
      </c>
      <c r="E24" s="1">
        <v>141419.76813007</v>
      </c>
      <c r="F24" s="1">
        <f>IF(E24 + F23 &lt; 0, E24 + F23, 0)</f>
        <v>0</v>
      </c>
      <c r="G24" s="1">
        <v>141419.76813007</v>
      </c>
      <c r="H24" s="1">
        <f>IF(G24 + H23 &lt; 0, G24 + H23, 0)</f>
        <v>0</v>
      </c>
      <c r="I24" s="1">
        <v>0</v>
      </c>
      <c r="J24" s="1">
        <f>IF(I24 + J23 &lt; 0, I24 + J23, 0)</f>
        <v>0</v>
      </c>
      <c r="K24" s="1">
        <v>0</v>
      </c>
      <c r="L24" s="1">
        <f>IF(K24 + L23 &lt; 0, K24 + L23, 0)</f>
        <v>0</v>
      </c>
    </row>
    <row r="25" spans="1:12" s="1" customFormat="1">
      <c r="A25" s="3">
        <v>44966</v>
      </c>
      <c r="B25" s="1" t="s">
        <v>16</v>
      </c>
      <c r="C25" s="1">
        <v>5</v>
      </c>
      <c r="D25" s="1">
        <v>9</v>
      </c>
      <c r="E25" s="1">
        <v>19682.8582209873</v>
      </c>
      <c r="F25" s="1">
        <f>IF(E25 + F24 &lt; 0, E25 + F24, 0)</f>
        <v>0</v>
      </c>
      <c r="G25" s="1">
        <v>75846.45466707832</v>
      </c>
      <c r="H25" s="1">
        <f>IF(G25 + H24 &lt; 0, G25 + H24, 0)</f>
        <v>0</v>
      </c>
      <c r="I25" s="1">
        <v>0</v>
      </c>
      <c r="J25" s="1">
        <f>IF(I25 + J24 &lt; 0, I25 + J24, 0)</f>
        <v>0</v>
      </c>
      <c r="K25" s="1">
        <v>0</v>
      </c>
      <c r="L25" s="1">
        <f>IF(K25 + L24 &lt; 0, K25 + L24, 0)</f>
        <v>0</v>
      </c>
    </row>
    <row r="26" spans="1:12" s="1" customFormat="1">
      <c r="A26" s="3">
        <v>44967</v>
      </c>
      <c r="B26" s="1" t="s">
        <v>15</v>
      </c>
      <c r="C26" s="1">
        <v>4</v>
      </c>
      <c r="D26" s="1">
        <v>8</v>
      </c>
      <c r="E26" s="1">
        <v>383525.38150109</v>
      </c>
      <c r="F26" s="1">
        <f>IF(E26 + F25 &lt; 0, E26 + F25, 0)</f>
        <v>0</v>
      </c>
      <c r="G26" s="1">
        <v>383525.38150109</v>
      </c>
      <c r="H26" s="1">
        <f>IF(G26 + H25 &lt; 0, G26 + H25, 0)</f>
        <v>0</v>
      </c>
      <c r="I26" s="1">
        <v>0</v>
      </c>
      <c r="J26" s="1">
        <f>IF(I26 + J25 &lt; 0, I26 + J25, 0)</f>
        <v>0</v>
      </c>
      <c r="K26" s="1">
        <v>0</v>
      </c>
      <c r="L26" s="1">
        <f>IF(K26 + L25 &lt; 0, K26 + L25, 0)</f>
        <v>0</v>
      </c>
    </row>
    <row r="27" spans="1:12" s="1" customFormat="1">
      <c r="A27" s="3">
        <v>44970</v>
      </c>
      <c r="B27" s="1" t="s">
        <v>12</v>
      </c>
      <c r="C27" s="1">
        <v>3</v>
      </c>
      <c r="D27" s="1">
        <v>7</v>
      </c>
      <c r="E27" s="1">
        <v>142314.160494666</v>
      </c>
      <c r="F27" s="1">
        <f>IF(E27 + F26 &lt; 0, E27 + F26, 0)</f>
        <v>0</v>
      </c>
      <c r="G27" s="1">
        <v>109278.3855405313</v>
      </c>
      <c r="H27" s="1">
        <f>IF(G27 + H26 &lt; 0, G27 + H26, 0)</f>
        <v>0</v>
      </c>
      <c r="I27" s="1">
        <v>0</v>
      </c>
      <c r="J27" s="1">
        <f>IF(I27 + J26 &lt; 0, I27 + J26, 0)</f>
        <v>0</v>
      </c>
      <c r="K27" s="1">
        <v>0</v>
      </c>
      <c r="L27" s="1">
        <f>IF(K27 + L26 &lt; 0, K27 + L26, 0)</f>
        <v>0</v>
      </c>
    </row>
    <row r="28" spans="1:12" s="1" customFormat="1">
      <c r="A28" s="3">
        <v>44971</v>
      </c>
      <c r="B28" s="1" t="s">
        <v>13</v>
      </c>
      <c r="C28" s="1">
        <v>2</v>
      </c>
      <c r="D28" s="1">
        <v>6</v>
      </c>
      <c r="E28" s="1">
        <v>69144.8552126828</v>
      </c>
      <c r="F28" s="1">
        <f>IF(E28 + F27 &lt; 0, E28 + F27, 0)</f>
        <v>0</v>
      </c>
      <c r="G28" s="1">
        <v>460569.6438877006</v>
      </c>
      <c r="H28" s="1">
        <f>IF(G28 + H27 &lt; 0, G28 + H27, 0)</f>
        <v>0</v>
      </c>
      <c r="I28" s="1">
        <v>19167.35366859027</v>
      </c>
      <c r="J28" s="1">
        <f>IF(I28 + J27 &lt; 0, I28 + J27, 0)</f>
        <v>0</v>
      </c>
      <c r="K28" s="1">
        <v>19167.35366859027</v>
      </c>
      <c r="L28" s="1">
        <f>IF(K28 + L27 &lt; 0, K28 + L27, 0)</f>
        <v>0</v>
      </c>
    </row>
    <row r="29" spans="1:12" s="1" customFormat="1">
      <c r="A29" s="3">
        <v>44972</v>
      </c>
      <c r="B29" s="1" t="s">
        <v>14</v>
      </c>
      <c r="C29" s="1">
        <v>1</v>
      </c>
      <c r="D29" s="1">
        <v>5</v>
      </c>
      <c r="E29" s="1">
        <v>38538.12117086456</v>
      </c>
      <c r="F29" s="1">
        <f>IF(E29 + F28 &lt; 0, E29 + F28, 0)</f>
        <v>0</v>
      </c>
      <c r="G29" s="1">
        <v>535369.2988427503</v>
      </c>
      <c r="H29" s="1">
        <f>IF(G29 + H28 &lt; 0, G29 + H28, 0)</f>
        <v>0</v>
      </c>
      <c r="I29" s="1">
        <v>89153.33593445182</v>
      </c>
      <c r="J29" s="1">
        <f>IF(I29 + J28 &lt; 0, I29 + J28, 0)</f>
        <v>0</v>
      </c>
      <c r="K29" s="1">
        <v>89153.33593445182</v>
      </c>
      <c r="L29" s="1">
        <f>IF(K29 + L28 &lt; 0, K29 + L28, 0)</f>
        <v>0</v>
      </c>
    </row>
    <row r="30" spans="1:12" s="1" customFormat="1">
      <c r="A30" s="3">
        <v>44973</v>
      </c>
      <c r="B30" s="1" t="s">
        <v>16</v>
      </c>
      <c r="C30" s="1">
        <v>20</v>
      </c>
      <c r="D30" s="1">
        <v>4</v>
      </c>
      <c r="E30" s="1">
        <v>0</v>
      </c>
      <c r="F30" s="1">
        <f>IF(E30 + F29 &lt; 0, E30 + F29, 0)</f>
        <v>0</v>
      </c>
      <c r="G30" s="1">
        <v>0</v>
      </c>
      <c r="H30" s="1">
        <f>IF(G30 + H29 &lt; 0, G30 + H29, 0)</f>
        <v>0</v>
      </c>
      <c r="I30" s="1">
        <v>213017.0316301702</v>
      </c>
      <c r="J30" s="1">
        <f>IF(I30 + J29 &lt; 0, I30 + J29, 0)</f>
        <v>0</v>
      </c>
      <c r="K30" s="1">
        <v>213017.0316301702</v>
      </c>
      <c r="L30" s="1">
        <f>IF(K30 + L29 &lt; 0, K30 + L29, 0)</f>
        <v>0</v>
      </c>
    </row>
    <row r="31" spans="1:12" s="1" customFormat="1">
      <c r="A31" s="3">
        <v>44974</v>
      </c>
      <c r="B31" s="1" t="s">
        <v>15</v>
      </c>
      <c r="C31" s="1">
        <v>19</v>
      </c>
      <c r="D31" s="1">
        <v>3</v>
      </c>
      <c r="E31" s="1">
        <v>0</v>
      </c>
      <c r="F31" s="1">
        <f>IF(E31 + F30 &lt; 0, E31 + F30, 0)</f>
        <v>0</v>
      </c>
      <c r="G31" s="1">
        <v>0</v>
      </c>
      <c r="H31" s="1">
        <f>IF(G31 + H30 &lt; 0, G31 + H30, 0)</f>
        <v>0</v>
      </c>
      <c r="I31" s="1">
        <v>162780.548628429</v>
      </c>
      <c r="J31" s="1">
        <f>IF(I31 + J30 &lt; 0, I31 + J30, 0)</f>
        <v>0</v>
      </c>
      <c r="K31" s="1">
        <v>162780.548628429</v>
      </c>
      <c r="L31" s="1">
        <f>IF(K31 + L30 &lt; 0, K31 + L30, 0)</f>
        <v>0</v>
      </c>
    </row>
    <row r="32" spans="1:12" s="1" customFormat="1">
      <c r="A32" s="3">
        <v>44977</v>
      </c>
      <c r="B32" s="1" t="s">
        <v>12</v>
      </c>
      <c r="C32" s="1">
        <v>18</v>
      </c>
      <c r="D32" s="1">
        <v>2</v>
      </c>
      <c r="E32" s="1">
        <v>0</v>
      </c>
      <c r="F32" s="1">
        <f>IF(E32 + F31 &lt; 0, E32 + F31, 0)</f>
        <v>0</v>
      </c>
      <c r="G32" s="1">
        <v>0</v>
      </c>
      <c r="H32" s="1">
        <f>IF(G32 + H31 &lt; 0, G32 + H31, 0)</f>
        <v>0</v>
      </c>
      <c r="I32" s="1">
        <v>169681.5718157182</v>
      </c>
      <c r="J32" s="1">
        <f>IF(I32 + J31 &lt; 0, I32 + J31, 0)</f>
        <v>0</v>
      </c>
      <c r="K32" s="1">
        <v>169681.5718157182</v>
      </c>
      <c r="L32" s="1">
        <f>IF(K32 + L31 &lt; 0, K32 + L31, 0)</f>
        <v>0</v>
      </c>
    </row>
    <row r="33" spans="1:12" s="1" customFormat="1">
      <c r="A33" s="3">
        <v>44978</v>
      </c>
      <c r="B33" s="1" t="s">
        <v>13</v>
      </c>
      <c r="C33" s="1">
        <v>17</v>
      </c>
      <c r="D33" s="1">
        <v>1</v>
      </c>
      <c r="E33" s="1">
        <v>0</v>
      </c>
      <c r="F33" s="1">
        <f>IF(E33 + F32 &lt; 0, E33 + F32, 0)</f>
        <v>0</v>
      </c>
      <c r="G33" s="1">
        <v>0</v>
      </c>
      <c r="H33" s="1">
        <f>IF(G33 + H32 &lt; 0, G33 + H32, 0)</f>
        <v>0</v>
      </c>
      <c r="I33" s="1">
        <v>32278.91156462587</v>
      </c>
      <c r="J33" s="1">
        <f>IF(I33 + J32 &lt; 0, I33 + J32, 0)</f>
        <v>0</v>
      </c>
      <c r="K33" s="1">
        <v>-234223.3560090703</v>
      </c>
      <c r="L33" s="1">
        <f>IF(K33 + L32 &lt; 0, K33 + L32, 0)</f>
        <v>0</v>
      </c>
    </row>
    <row r="34" spans="1:12" s="1" customFormat="1">
      <c r="A34" s="3">
        <v>44979</v>
      </c>
      <c r="B34" s="1" t="s">
        <v>14</v>
      </c>
      <c r="C34" s="1">
        <v>16</v>
      </c>
      <c r="D34" s="1">
        <v>22</v>
      </c>
      <c r="E34" s="1">
        <v>0</v>
      </c>
      <c r="F34" s="1">
        <f>IF(E34 + F33 &lt; 0, E34 + F33, 0)</f>
        <v>0</v>
      </c>
      <c r="G34" s="1">
        <v>0</v>
      </c>
      <c r="H34" s="1">
        <f>IF(G34 + H33 &lt; 0, G34 + H33, 0)</f>
        <v>0</v>
      </c>
      <c r="I34" s="1">
        <v>0</v>
      </c>
      <c r="J34" s="1">
        <f>IF(I34 + J33 &lt; 0, I34 + J33, 0)</f>
        <v>0</v>
      </c>
      <c r="K34" s="1">
        <v>0</v>
      </c>
      <c r="L34" s="1">
        <f>IF(K34 + L33 &lt; 0, K34 + L33, 0)</f>
        <v>0</v>
      </c>
    </row>
    <row r="35" spans="1:12" s="1" customFormat="1">
      <c r="A35" s="3">
        <v>44980</v>
      </c>
      <c r="B35" s="1" t="s">
        <v>16</v>
      </c>
      <c r="C35" s="1">
        <v>15</v>
      </c>
      <c r="D35" s="1">
        <v>21</v>
      </c>
      <c r="E35" s="1">
        <v>0</v>
      </c>
      <c r="F35" s="1">
        <f>IF(E35 + F34 &lt; 0, E35 + F34, 0)</f>
        <v>0</v>
      </c>
      <c r="G35" s="1">
        <v>0</v>
      </c>
      <c r="H35" s="1">
        <f>IF(G35 + H34 &lt; 0, G35 + H34, 0)</f>
        <v>0</v>
      </c>
      <c r="I35" s="1">
        <v>0</v>
      </c>
      <c r="J35" s="1">
        <f>IF(I35 + J34 &lt; 0, I35 + J34, 0)</f>
        <v>0</v>
      </c>
      <c r="K35" s="1">
        <v>0</v>
      </c>
      <c r="L35" s="1">
        <f>IF(K35 + L34 &lt; 0, K35 + L34, 0)</f>
        <v>0</v>
      </c>
    </row>
    <row r="36" spans="1:12" s="1" customFormat="1">
      <c r="A36" s="3">
        <v>44981</v>
      </c>
      <c r="B36" s="1" t="s">
        <v>15</v>
      </c>
      <c r="C36" s="1">
        <v>14</v>
      </c>
      <c r="D36" s="1">
        <v>20</v>
      </c>
      <c r="E36" s="1">
        <v>0</v>
      </c>
      <c r="F36" s="1">
        <f>IF(E36 + F35 &lt; 0, E36 + F35, 0)</f>
        <v>0</v>
      </c>
      <c r="G36" s="1">
        <v>0</v>
      </c>
      <c r="H36" s="1">
        <f>IF(G36 + H35 &lt; 0, G36 + H35, 0)</f>
        <v>0</v>
      </c>
      <c r="I36" s="1">
        <v>0</v>
      </c>
      <c r="J36" s="1">
        <f>IF(I36 + J35 &lt; 0, I36 + J35, 0)</f>
        <v>0</v>
      </c>
      <c r="K36" s="1">
        <v>0</v>
      </c>
      <c r="L36" s="1">
        <f>IF(K36 + L35 &lt; 0, K36 + L35, 0)</f>
        <v>0</v>
      </c>
    </row>
    <row r="37" spans="1:12" s="1" customFormat="1">
      <c r="A37" s="3">
        <v>44984</v>
      </c>
      <c r="B37" s="1" t="s">
        <v>12</v>
      </c>
      <c r="C37" s="1">
        <v>13</v>
      </c>
      <c r="D37" s="1">
        <v>19</v>
      </c>
      <c r="E37" s="1">
        <v>0</v>
      </c>
      <c r="F37" s="1">
        <f>IF(E37 + F36 &lt; 0, E37 + F36, 0)</f>
        <v>0</v>
      </c>
      <c r="G37" s="1">
        <v>0</v>
      </c>
      <c r="H37" s="1">
        <f>IF(G37 + H36 &lt; 0, G37 + H36, 0)</f>
        <v>0</v>
      </c>
      <c r="I37" s="1">
        <v>0</v>
      </c>
      <c r="J37" s="1">
        <f>IF(I37 + J36 &lt; 0, I37 + J36, 0)</f>
        <v>0</v>
      </c>
      <c r="K37" s="1">
        <v>0</v>
      </c>
      <c r="L37" s="1">
        <f>IF(K37 + L36 &lt; 0, K37 + L36, 0)</f>
        <v>0</v>
      </c>
    </row>
    <row r="38" spans="1:12" s="1" customFormat="1">
      <c r="A38" s="3">
        <v>44985</v>
      </c>
      <c r="B38" s="1" t="s">
        <v>13</v>
      </c>
      <c r="C38" s="1">
        <v>12</v>
      </c>
      <c r="D38" s="1">
        <v>18</v>
      </c>
      <c r="E38" s="1">
        <v>0</v>
      </c>
      <c r="F38" s="1">
        <f>IF(E38 + F37 &lt; 0, E38 + F37, 0)</f>
        <v>0</v>
      </c>
      <c r="G38" s="1">
        <v>0</v>
      </c>
      <c r="H38" s="1">
        <f>IF(G38 + H37 &lt; 0, G38 + H37, 0)</f>
        <v>0</v>
      </c>
      <c r="I38" s="1">
        <v>0</v>
      </c>
      <c r="J38" s="1">
        <f>IF(I38 + J37 &lt; 0, I38 + J37, 0)</f>
        <v>0</v>
      </c>
      <c r="K38" s="1">
        <v>0</v>
      </c>
      <c r="L38" s="1">
        <f>IF(K38 + L37 &lt; 0, K38 + L37, 0)</f>
        <v>0</v>
      </c>
    </row>
    <row r="39" spans="1:12" s="1" customFormat="1">
      <c r="A39" s="3">
        <v>44986</v>
      </c>
      <c r="B39" s="1" t="s">
        <v>14</v>
      </c>
      <c r="C39" s="1">
        <v>11</v>
      </c>
      <c r="D39" s="1">
        <v>17</v>
      </c>
      <c r="E39" s="1">
        <v>0</v>
      </c>
      <c r="F39" s="1">
        <f>IF(E39 + F38 &lt; 0, E39 + F38, 0)</f>
        <v>0</v>
      </c>
      <c r="G39" s="1">
        <v>0</v>
      </c>
      <c r="H39" s="1">
        <f>IF(G39 + H38 &lt; 0, G39 + H38, 0)</f>
        <v>0</v>
      </c>
      <c r="I39" s="1">
        <v>0</v>
      </c>
      <c r="J39" s="1">
        <f>IF(I39 + J38 &lt; 0, I39 + J38, 0)</f>
        <v>0</v>
      </c>
      <c r="K39" s="1">
        <v>0</v>
      </c>
      <c r="L39" s="1">
        <f>IF(K39 + L38 &lt; 0, K39 + L38, 0)</f>
        <v>0</v>
      </c>
    </row>
    <row r="40" spans="1:12" s="1" customFormat="1">
      <c r="A40" s="3">
        <v>44987</v>
      </c>
      <c r="B40" s="1" t="s">
        <v>16</v>
      </c>
      <c r="C40" s="1">
        <v>10</v>
      </c>
      <c r="D40" s="1">
        <v>16</v>
      </c>
      <c r="E40" s="1">
        <v>187845.8771444383</v>
      </c>
      <c r="F40" s="1">
        <f>IF(E40 + F39 &lt; 0, E40 + F39, 0)</f>
        <v>0</v>
      </c>
      <c r="G40" s="1">
        <v>187845.8771444383</v>
      </c>
      <c r="H40" s="1">
        <f>IF(G40 + H39 &lt; 0, G40 + H39, 0)</f>
        <v>0</v>
      </c>
      <c r="I40" s="1">
        <v>0</v>
      </c>
      <c r="J40" s="1">
        <f>IF(I40 + J39 &lt; 0, I40 + J39, 0)</f>
        <v>0</v>
      </c>
      <c r="K40" s="1">
        <v>0</v>
      </c>
      <c r="L40" s="1">
        <f>IF(K40 + L39 &lt; 0, K40 + L39, 0)</f>
        <v>0</v>
      </c>
    </row>
    <row r="41" spans="1:12" s="1" customFormat="1">
      <c r="A41" s="3">
        <v>44991</v>
      </c>
      <c r="B41" s="1" t="s">
        <v>12</v>
      </c>
      <c r="C41" s="1">
        <v>9</v>
      </c>
      <c r="D41" s="1">
        <v>15</v>
      </c>
      <c r="E41" s="1">
        <v>-7891.890964020888</v>
      </c>
      <c r="F41" s="1">
        <f>IF(E41 + F40 &lt; 0, E41 + F40, 0)</f>
        <v>0</v>
      </c>
      <c r="G41" s="1">
        <v>7123.729744575664</v>
      </c>
      <c r="H41" s="1">
        <f>IF(G41 + H40 &lt; 0, G41 + H40, 0)</f>
        <v>0</v>
      </c>
      <c r="I41" s="1">
        <v>0</v>
      </c>
      <c r="J41" s="1">
        <f>IF(I41 + J40 &lt; 0, I41 + J40, 0)</f>
        <v>0</v>
      </c>
      <c r="K41" s="1">
        <v>0</v>
      </c>
      <c r="L41" s="1">
        <f>IF(K41 + L40 &lt; 0, K41 + L40, 0)</f>
        <v>0</v>
      </c>
    </row>
    <row r="42" spans="1:12" s="1" customFormat="1">
      <c r="A42" s="3">
        <v>44992</v>
      </c>
      <c r="B42" s="1" t="s">
        <v>13</v>
      </c>
      <c r="C42" s="1">
        <v>8</v>
      </c>
      <c r="D42" s="1">
        <v>14</v>
      </c>
      <c r="E42" s="1">
        <v>-54193.67978004831</v>
      </c>
      <c r="F42" s="1">
        <f>IF(E42 + F41 &lt; 0, E42 + F41, 0)</f>
        <v>0</v>
      </c>
      <c r="G42" s="1">
        <v>-52323.41061063784</v>
      </c>
      <c r="H42" s="1">
        <f>IF(G42 + H41 &lt; 0, G42 + H41, 0)</f>
        <v>0</v>
      </c>
      <c r="I42" s="1">
        <v>0</v>
      </c>
      <c r="J42" s="1">
        <f>IF(I42 + J41 &lt; 0, I42 + J41, 0)</f>
        <v>0</v>
      </c>
      <c r="K42" s="1">
        <v>0</v>
      </c>
      <c r="L42" s="1">
        <f>IF(K42 + L41 &lt; 0, K42 + L41, 0)</f>
        <v>0</v>
      </c>
    </row>
    <row r="43" spans="1:12" s="1" customFormat="1">
      <c r="A43" s="3">
        <v>44993</v>
      </c>
      <c r="B43" s="1" t="s">
        <v>14</v>
      </c>
      <c r="C43" s="1">
        <v>7</v>
      </c>
      <c r="D43" s="1">
        <v>13</v>
      </c>
      <c r="E43" s="1">
        <v>-127270.8333333333</v>
      </c>
      <c r="F43" s="1">
        <f>IF(E43 + F42 &lt; 0, E43 + F42, 0)</f>
        <v>0</v>
      </c>
      <c r="G43" s="1">
        <v>25503.47222222222</v>
      </c>
      <c r="H43" s="1">
        <f>IF(G43 + H42 &lt; 0, G43 + H42, 0)</f>
        <v>0</v>
      </c>
      <c r="I43" s="1">
        <v>0</v>
      </c>
      <c r="J43" s="1">
        <f>IF(I43 + J42 &lt; 0, I43 + J42, 0)</f>
        <v>0</v>
      </c>
      <c r="K43" s="1">
        <v>0</v>
      </c>
      <c r="L43" s="1">
        <f>IF(K43 + L42 &lt; 0, K43 + L42, 0)</f>
        <v>0</v>
      </c>
    </row>
    <row r="44" spans="1:12" s="1" customFormat="1">
      <c r="A44" s="3">
        <v>44994</v>
      </c>
      <c r="B44" s="1" t="s">
        <v>16</v>
      </c>
      <c r="C44" s="1">
        <v>6</v>
      </c>
      <c r="D44" s="1">
        <v>12</v>
      </c>
      <c r="E44" s="1">
        <v>166130.74204947</v>
      </c>
      <c r="F44" s="1">
        <f>IF(E44 + F43 &lt; 0, E44 + F43, 0)</f>
        <v>0</v>
      </c>
      <c r="G44" s="1">
        <v>166130.74204947</v>
      </c>
      <c r="H44" s="1">
        <f>IF(G44 + H43 &lt; 0, G44 + H43, 0)</f>
        <v>0</v>
      </c>
      <c r="I44" s="1">
        <v>0</v>
      </c>
      <c r="J44" s="1">
        <f>IF(I44 + J43 &lt; 0, I44 + J43, 0)</f>
        <v>0</v>
      </c>
      <c r="K44" s="1">
        <v>0</v>
      </c>
      <c r="L44" s="1">
        <f>IF(K44 + L43 &lt; 0, K44 + L43, 0)</f>
        <v>0</v>
      </c>
    </row>
    <row r="45" spans="1:12" s="1" customFormat="1">
      <c r="A45" s="3">
        <v>44995</v>
      </c>
      <c r="B45" s="1" t="s">
        <v>15</v>
      </c>
      <c r="C45" s="1">
        <v>5</v>
      </c>
      <c r="D45" s="1">
        <v>11</v>
      </c>
      <c r="E45" s="1">
        <v>122060.8277741913</v>
      </c>
      <c r="F45" s="1">
        <f>IF(E45 + F44 &lt; 0, E45 + F44, 0)</f>
        <v>0</v>
      </c>
      <c r="G45" s="1">
        <v>125726.2750161395</v>
      </c>
      <c r="H45" s="1">
        <f>IF(G45 + H44 &lt; 0, G45 + H44, 0)</f>
        <v>0</v>
      </c>
      <c r="I45" s="1">
        <v>0</v>
      </c>
      <c r="J45" s="1">
        <f>IF(I45 + J44 &lt; 0, I45 + J44, 0)</f>
        <v>0</v>
      </c>
      <c r="K45" s="1">
        <v>0</v>
      </c>
      <c r="L45" s="1">
        <f>IF(K45 + L44 &lt; 0, K45 + L44, 0)</f>
        <v>0</v>
      </c>
    </row>
    <row r="46" spans="1:12" s="1" customFormat="1">
      <c r="A46" s="3">
        <v>44998</v>
      </c>
      <c r="B46" s="1" t="s">
        <v>12</v>
      </c>
      <c r="C46" s="1">
        <v>4</v>
      </c>
      <c r="D46" s="1">
        <v>10</v>
      </c>
      <c r="E46" s="1">
        <v>-658182.443879712</v>
      </c>
      <c r="F46" s="1">
        <f>IF(E46 + F45 &lt; 0, E46 + F45, 0)</f>
        <v>0</v>
      </c>
      <c r="G46" s="1">
        <v>-778113.087674714</v>
      </c>
      <c r="H46" s="1">
        <f>IF(G46 + H45 &lt; 0, G46 + H45, 0)</f>
        <v>0</v>
      </c>
      <c r="I46" s="1">
        <v>0</v>
      </c>
      <c r="J46" s="1">
        <f>IF(I46 + J45 &lt; 0, I46 + J45, 0)</f>
        <v>0</v>
      </c>
      <c r="K46" s="1">
        <v>0</v>
      </c>
      <c r="L46" s="1">
        <f>IF(K46 + L45 &lt; 0, K46 + L45, 0)</f>
        <v>0</v>
      </c>
    </row>
    <row r="47" spans="1:12" s="1" customFormat="1">
      <c r="A47" s="3">
        <v>44999</v>
      </c>
      <c r="B47" s="1" t="s">
        <v>13</v>
      </c>
      <c r="C47" s="1">
        <v>3</v>
      </c>
      <c r="D47" s="1">
        <v>9</v>
      </c>
      <c r="E47" s="1">
        <v>536744.1097089502</v>
      </c>
      <c r="F47" s="1">
        <f>IF(E47 + F46 &lt; 0, E47 + F46, 0)</f>
        <v>0</v>
      </c>
      <c r="G47" s="1">
        <v>536744.1097089502</v>
      </c>
      <c r="H47" s="1">
        <f>IF(G47 + H46 &lt; 0, G47 + H46, 0)</f>
        <v>0</v>
      </c>
      <c r="I47" s="1">
        <v>0</v>
      </c>
      <c r="J47" s="1">
        <f>IF(I47 + J46 &lt; 0, I47 + J46, 0)</f>
        <v>0</v>
      </c>
      <c r="K47" s="1">
        <v>0</v>
      </c>
      <c r="L47" s="1">
        <f>IF(K47 + L46 &lt; 0, K47 + L46, 0)</f>
        <v>0</v>
      </c>
    </row>
    <row r="48" spans="1:12" s="1" customFormat="1">
      <c r="A48" s="3">
        <v>45000</v>
      </c>
      <c r="B48" s="1" t="s">
        <v>14</v>
      </c>
      <c r="C48" s="1">
        <v>2</v>
      </c>
      <c r="D48" s="1">
        <v>8</v>
      </c>
      <c r="E48" s="1">
        <v>341317.9448994789</v>
      </c>
      <c r="F48" s="1">
        <f>IF(E48 + F47 &lt; 0, E48 + F47, 0)</f>
        <v>0</v>
      </c>
      <c r="G48" s="1">
        <v>-652549.3298585254</v>
      </c>
      <c r="H48" s="1">
        <f>IF(G48 + H47 &lt; 0, G48 + H47, 0)</f>
        <v>0</v>
      </c>
      <c r="I48" s="1">
        <v>0</v>
      </c>
      <c r="J48" s="1">
        <f>IF(I48 + J47 &lt; 0, I48 + J47, 0)</f>
        <v>0</v>
      </c>
      <c r="K48" s="1">
        <v>0</v>
      </c>
      <c r="L48" s="1">
        <f>IF(K48 + L47 &lt; 0, K48 + L47, 0)</f>
        <v>0</v>
      </c>
    </row>
    <row r="49" spans="1:12" s="1" customFormat="1">
      <c r="A49" s="3">
        <v>45001</v>
      </c>
      <c r="B49" s="1" t="s">
        <v>16</v>
      </c>
      <c r="C49" s="1">
        <v>1</v>
      </c>
      <c r="D49" s="1">
        <v>7</v>
      </c>
      <c r="E49" s="1">
        <v>-175491.6256157635</v>
      </c>
      <c r="F49" s="1">
        <f>IF(E49 + F48 &lt; 0, E49 + F48, 0)</f>
        <v>0</v>
      </c>
      <c r="G49" s="1">
        <v>499302.4630541873</v>
      </c>
      <c r="H49" s="1">
        <f>IF(G49 + H48 &lt; 0, G49 + H48, 0)</f>
        <v>0</v>
      </c>
      <c r="I49" s="1">
        <v>0</v>
      </c>
      <c r="J49" s="1">
        <f>IF(I49 + J48 &lt; 0, I49 + J48, 0)</f>
        <v>0</v>
      </c>
      <c r="K49" s="1">
        <v>0</v>
      </c>
      <c r="L49" s="1">
        <f>IF(K49 + L48 &lt; 0, K49 + L48, 0)</f>
        <v>0</v>
      </c>
    </row>
    <row r="50" spans="1:12" s="1" customFormat="1">
      <c r="A50" s="3">
        <v>45002</v>
      </c>
      <c r="B50" s="1" t="s">
        <v>15</v>
      </c>
      <c r="C50" s="1">
        <v>21</v>
      </c>
      <c r="D50" s="1">
        <v>6</v>
      </c>
      <c r="E50" s="1">
        <v>0</v>
      </c>
      <c r="F50" s="1">
        <f>IF(E50 + F49 &lt; 0, E50 + F49, 0)</f>
        <v>0</v>
      </c>
      <c r="G50" s="1">
        <v>0</v>
      </c>
      <c r="H50" s="1">
        <f>IF(G50 + H49 &lt; 0, G50 + H49, 0)</f>
        <v>0</v>
      </c>
      <c r="I50" s="1">
        <v>187056.5962534874</v>
      </c>
      <c r="J50" s="1">
        <f>IF(I50 + J49 &lt; 0, I50 + J49, 0)</f>
        <v>0</v>
      </c>
      <c r="K50" s="1">
        <v>187056.5962534874</v>
      </c>
      <c r="L50" s="1">
        <f>IF(K50 + L49 &lt; 0, K50 + L49, 0)</f>
        <v>0</v>
      </c>
    </row>
    <row r="51" spans="1:12" s="1" customFormat="1">
      <c r="A51" s="3">
        <v>45005</v>
      </c>
      <c r="B51" s="1" t="s">
        <v>12</v>
      </c>
      <c r="C51" s="1">
        <v>20</v>
      </c>
      <c r="D51" s="1">
        <v>5</v>
      </c>
      <c r="E51" s="1">
        <v>0</v>
      </c>
      <c r="F51" s="1">
        <f>IF(E51 + F50 &lt; 0, E51 + F50, 0)</f>
        <v>0</v>
      </c>
      <c r="G51" s="1">
        <v>0</v>
      </c>
      <c r="H51" s="1">
        <f>IF(G51 + H50 &lt; 0, G51 + H50, 0)</f>
        <v>0</v>
      </c>
      <c r="I51" s="1">
        <v>-216405.2564646036</v>
      </c>
      <c r="J51" s="1">
        <f>IF(I51 + J50 &lt; 0, I51 + J50, 0)</f>
        <v>0</v>
      </c>
      <c r="K51" s="1">
        <v>-237621.873675286</v>
      </c>
      <c r="L51" s="1">
        <f>IF(K51 + L50 &lt; 0, K51 + L50, 0)</f>
        <v>0</v>
      </c>
    </row>
    <row r="52" spans="1:12" s="1" customFormat="1">
      <c r="A52" s="3">
        <v>45006</v>
      </c>
      <c r="B52" s="1" t="s">
        <v>13</v>
      </c>
      <c r="C52" s="1">
        <v>19</v>
      </c>
      <c r="D52" s="1">
        <v>4</v>
      </c>
      <c r="E52" s="1">
        <v>0</v>
      </c>
      <c r="F52" s="1">
        <f>IF(E52 + F51 &lt; 0, E52 + F51, 0)</f>
        <v>0</v>
      </c>
      <c r="G52" s="1">
        <v>0</v>
      </c>
      <c r="H52" s="1">
        <f>IF(G52 + H51 &lt; 0, G52 + H51, 0)</f>
        <v>0</v>
      </c>
      <c r="I52" s="1">
        <v>224395.1612903226</v>
      </c>
      <c r="J52" s="1">
        <f>IF(I52 + J51 &lt; 0, I52 + J51, 0)</f>
        <v>0</v>
      </c>
      <c r="K52" s="1">
        <v>224395.1612903226</v>
      </c>
      <c r="L52" s="1">
        <f>IF(K52 + L51 &lt; 0, K52 + L51, 0)</f>
        <v>0</v>
      </c>
    </row>
    <row r="53" spans="1:12" s="1" customFormat="1">
      <c r="A53" s="3">
        <v>45007</v>
      </c>
      <c r="B53" s="1" t="s">
        <v>14</v>
      </c>
      <c r="C53" s="1">
        <v>18</v>
      </c>
      <c r="D53" s="1">
        <v>3</v>
      </c>
      <c r="E53" s="1">
        <v>0</v>
      </c>
      <c r="F53" s="1">
        <f>IF(E53 + F52 &lt; 0, E53 + F52, 0)</f>
        <v>0</v>
      </c>
      <c r="G53" s="1">
        <v>0</v>
      </c>
      <c r="H53" s="1">
        <f>IF(G53 + H52 &lt; 0, G53 + H52, 0)</f>
        <v>0</v>
      </c>
      <c r="I53" s="1">
        <v>148684.7873739588</v>
      </c>
      <c r="J53" s="1">
        <f>IF(I53 + J52 &lt; 0, I53 + J52, 0)</f>
        <v>0</v>
      </c>
      <c r="K53" s="1">
        <v>148684.7873739588</v>
      </c>
      <c r="L53" s="1">
        <f>IF(K53 + L52 &lt; 0, K53 + L52, 0)</f>
        <v>0</v>
      </c>
    </row>
    <row r="54" spans="1:12" s="1" customFormat="1">
      <c r="A54" s="3">
        <v>45008</v>
      </c>
      <c r="B54" s="1" t="s">
        <v>16</v>
      </c>
      <c r="C54" s="1">
        <v>17</v>
      </c>
      <c r="D54" s="1">
        <v>2</v>
      </c>
      <c r="E54" s="1">
        <v>0</v>
      </c>
      <c r="F54" s="1">
        <f>IF(E54 + F53 &lt; 0, E54 + F53, 0)</f>
        <v>0</v>
      </c>
      <c r="G54" s="1">
        <v>0</v>
      </c>
      <c r="H54" s="1">
        <f>IF(G54 + H53 &lt; 0, G54 + H53, 0)</f>
        <v>0</v>
      </c>
      <c r="I54" s="1">
        <v>186164.3835616437</v>
      </c>
      <c r="J54" s="1">
        <f>IF(I54 + J53 &lt; 0, I54 + J53, 0)</f>
        <v>0</v>
      </c>
      <c r="K54" s="1">
        <v>186164.3835616437</v>
      </c>
      <c r="L54" s="1">
        <f>IF(K54 + L53 &lt; 0, K54 + L53, 0)</f>
        <v>0</v>
      </c>
    </row>
    <row r="55" spans="1:12" s="1" customFormat="1">
      <c r="A55" s="3">
        <v>45009</v>
      </c>
      <c r="B55" s="1" t="s">
        <v>15</v>
      </c>
      <c r="C55" s="1">
        <v>16</v>
      </c>
      <c r="D55" s="1">
        <v>1</v>
      </c>
      <c r="E55" s="1">
        <v>0</v>
      </c>
      <c r="F55" s="1">
        <f>IF(E55 + F54 &lt; 0, E55 + F54, 0)</f>
        <v>0</v>
      </c>
      <c r="G55" s="1">
        <v>0</v>
      </c>
      <c r="H55" s="1">
        <f>IF(G55 + H54 &lt; 0, G55 + H54, 0)</f>
        <v>0</v>
      </c>
      <c r="I55" s="1">
        <v>214156.626506024</v>
      </c>
      <c r="J55" s="1">
        <f>IF(I55 + J54 &lt; 0, I55 + J54, 0)</f>
        <v>0</v>
      </c>
      <c r="K55" s="1">
        <v>214156.626506024</v>
      </c>
      <c r="L55" s="1">
        <f>IF(K55 + L54 &lt; 0, K55 + L54, 0)</f>
        <v>0</v>
      </c>
    </row>
    <row r="56" spans="1:12" s="1" customFormat="1">
      <c r="A56" s="3">
        <v>45012</v>
      </c>
      <c r="B56" s="1" t="s">
        <v>12</v>
      </c>
      <c r="C56" s="1">
        <v>15</v>
      </c>
      <c r="D56" s="1">
        <v>19</v>
      </c>
      <c r="E56" s="1">
        <v>0</v>
      </c>
      <c r="F56" s="1">
        <f>IF(E56 + F55 &lt; 0, E56 + F55, 0)</f>
        <v>0</v>
      </c>
      <c r="G56" s="1">
        <v>0</v>
      </c>
      <c r="H56" s="1">
        <f>IF(G56 + H55 &lt; 0, G56 + H55, 0)</f>
        <v>0</v>
      </c>
      <c r="I56" s="1">
        <v>0</v>
      </c>
      <c r="J56" s="1">
        <f>IF(I56 + J55 &lt; 0, I56 + J55, 0)</f>
        <v>0</v>
      </c>
      <c r="K56" s="1">
        <v>0</v>
      </c>
      <c r="L56" s="1">
        <f>IF(K56 + L55 &lt; 0, K56 + L55, 0)</f>
        <v>0</v>
      </c>
    </row>
    <row r="57" spans="1:12" s="1" customFormat="1">
      <c r="A57" s="3">
        <v>45013</v>
      </c>
      <c r="B57" s="1" t="s">
        <v>13</v>
      </c>
      <c r="C57" s="1">
        <v>14</v>
      </c>
      <c r="D57" s="1">
        <v>18</v>
      </c>
      <c r="E57" s="1">
        <v>0</v>
      </c>
      <c r="F57" s="1">
        <f>IF(E57 + F56 &lt; 0, E57 + F56, 0)</f>
        <v>0</v>
      </c>
      <c r="G57" s="1">
        <v>0</v>
      </c>
      <c r="H57" s="1">
        <f>IF(G57 + H56 &lt; 0, G57 + H56, 0)</f>
        <v>0</v>
      </c>
      <c r="I57" s="1">
        <v>0</v>
      </c>
      <c r="J57" s="1">
        <f>IF(I57 + J56 &lt; 0, I57 + J56, 0)</f>
        <v>0</v>
      </c>
      <c r="K57" s="1">
        <v>0</v>
      </c>
      <c r="L57" s="1">
        <f>IF(K57 + L56 &lt; 0, K57 + L56, 0)</f>
        <v>0</v>
      </c>
    </row>
    <row r="58" spans="1:12" s="1" customFormat="1">
      <c r="A58" s="3">
        <v>45014</v>
      </c>
      <c r="B58" s="1" t="s">
        <v>14</v>
      </c>
      <c r="C58" s="1">
        <v>13</v>
      </c>
      <c r="D58" s="1">
        <v>17</v>
      </c>
      <c r="E58" s="1">
        <v>0</v>
      </c>
      <c r="F58" s="1">
        <f>IF(E58 + F57 &lt; 0, E58 + F57, 0)</f>
        <v>0</v>
      </c>
      <c r="G58" s="1">
        <v>0</v>
      </c>
      <c r="H58" s="1">
        <f>IF(G58 + H57 &lt; 0, G58 + H57, 0)</f>
        <v>0</v>
      </c>
      <c r="I58" s="1">
        <v>0</v>
      </c>
      <c r="J58" s="1">
        <f>IF(I58 + J57 &lt; 0, I58 + J57, 0)</f>
        <v>0</v>
      </c>
      <c r="K58" s="1">
        <v>0</v>
      </c>
      <c r="L58" s="1">
        <f>IF(K58 + L57 &lt; 0, K58 + L57, 0)</f>
        <v>0</v>
      </c>
    </row>
    <row r="59" spans="1:12" s="1" customFormat="1">
      <c r="A59" s="3">
        <v>45015</v>
      </c>
      <c r="B59" s="1" t="s">
        <v>16</v>
      </c>
      <c r="C59" s="1">
        <v>12</v>
      </c>
      <c r="D59" s="1">
        <v>16</v>
      </c>
      <c r="E59" s="1">
        <v>0</v>
      </c>
      <c r="F59" s="1">
        <f>IF(E59 + F58 &lt; 0, E59 + F58, 0)</f>
        <v>0</v>
      </c>
      <c r="G59" s="1">
        <v>0</v>
      </c>
      <c r="H59" s="1">
        <f>IF(G59 + H58 &lt; 0, G59 + H58, 0)</f>
        <v>0</v>
      </c>
      <c r="I59" s="1">
        <v>0</v>
      </c>
      <c r="J59" s="1">
        <f>IF(I59 + J58 &lt; 0, I59 + J58, 0)</f>
        <v>0</v>
      </c>
      <c r="K59" s="1">
        <v>0</v>
      </c>
      <c r="L59" s="1">
        <f>IF(K59 + L58 &lt; 0, K59 + L58, 0)</f>
        <v>0</v>
      </c>
    </row>
    <row r="60" spans="1:12" s="1" customFormat="1">
      <c r="A60" s="3">
        <v>45016</v>
      </c>
      <c r="B60" s="1" t="s">
        <v>15</v>
      </c>
      <c r="C60" s="1">
        <v>11</v>
      </c>
      <c r="D60" s="1">
        <v>15</v>
      </c>
      <c r="E60" s="1">
        <v>0</v>
      </c>
      <c r="F60" s="1">
        <f>IF(E60 + F59 &lt; 0, E60 + F59, 0)</f>
        <v>0</v>
      </c>
      <c r="G60" s="1">
        <v>0</v>
      </c>
      <c r="H60" s="1">
        <f>IF(G60 + H59 &lt; 0, G60 + H59, 0)</f>
        <v>0</v>
      </c>
      <c r="I60" s="1">
        <v>0</v>
      </c>
      <c r="J60" s="1">
        <f>IF(I60 + J59 &lt; 0, I60 + J59, 0)</f>
        <v>0</v>
      </c>
      <c r="K60" s="1">
        <v>0</v>
      </c>
      <c r="L60" s="1">
        <f>IF(K60 + L59 &lt; 0, K60 + L59, 0)</f>
        <v>0</v>
      </c>
    </row>
    <row r="61" spans="1:12" s="1" customFormat="1">
      <c r="A61" s="3">
        <v>45019</v>
      </c>
      <c r="B61" s="1" t="s">
        <v>12</v>
      </c>
      <c r="C61" s="1">
        <v>10</v>
      </c>
      <c r="D61" s="1">
        <v>14</v>
      </c>
      <c r="E61" s="1">
        <v>145374.5983426349</v>
      </c>
      <c r="F61" s="1">
        <f>IF(E61 + F60 &lt; 0, E61 + F60, 0)</f>
        <v>0</v>
      </c>
      <c r="G61" s="1">
        <v>145374.5983426349</v>
      </c>
      <c r="H61" s="1">
        <f>IF(G61 + H60 &lt; 0, G61 + H60, 0)</f>
        <v>0</v>
      </c>
      <c r="I61" s="1">
        <v>0</v>
      </c>
      <c r="J61" s="1">
        <f>IF(I61 + J60 &lt; 0, I61 + J60, 0)</f>
        <v>0</v>
      </c>
      <c r="K61" s="1">
        <v>0</v>
      </c>
      <c r="L61" s="1">
        <f>IF(K61 + L60 &lt; 0, K61 + L60, 0)</f>
        <v>0</v>
      </c>
    </row>
    <row r="62" spans="1:12" s="1" customFormat="1">
      <c r="A62" s="3">
        <v>45020</v>
      </c>
      <c r="B62" s="1" t="s">
        <v>13</v>
      </c>
      <c r="C62" s="1">
        <v>9</v>
      </c>
      <c r="D62" s="1">
        <v>13</v>
      </c>
      <c r="E62" s="1">
        <v>58488.30233953211</v>
      </c>
      <c r="F62" s="1">
        <f>IF(E62 + F61 &lt; 0, E62 + F61, 0)</f>
        <v>0</v>
      </c>
      <c r="G62" s="1">
        <v>94147.83709924683</v>
      </c>
      <c r="H62" s="1">
        <f>IF(G62 + H61 &lt; 0, G62 + H61, 0)</f>
        <v>0</v>
      </c>
      <c r="I62" s="1">
        <v>0</v>
      </c>
      <c r="J62" s="1">
        <f>IF(I62 + J61 &lt; 0, I62 + J61, 0)</f>
        <v>0</v>
      </c>
      <c r="K62" s="1">
        <v>0</v>
      </c>
      <c r="L62" s="1">
        <f>IF(K62 + L61 &lt; 0, K62 + L61, 0)</f>
        <v>0</v>
      </c>
    </row>
    <row r="63" spans="1:12" s="1" customFormat="1">
      <c r="A63" s="3">
        <v>45021</v>
      </c>
      <c r="B63" s="1" t="s">
        <v>14</v>
      </c>
      <c r="C63" s="1">
        <v>8</v>
      </c>
      <c r="D63" s="1">
        <v>12</v>
      </c>
      <c r="E63" s="1">
        <v>99849.84984984987</v>
      </c>
      <c r="F63" s="1">
        <f>IF(E63 + F62 &lt; 0, E63 + F62, 0)</f>
        <v>0</v>
      </c>
      <c r="G63" s="1">
        <v>99849.84984984987</v>
      </c>
      <c r="H63" s="1">
        <f>IF(G63 + H62 &lt; 0, G63 + H62, 0)</f>
        <v>0</v>
      </c>
      <c r="I63" s="1">
        <v>0</v>
      </c>
      <c r="J63" s="1">
        <f>IF(I63 + J62 &lt; 0, I63 + J62, 0)</f>
        <v>0</v>
      </c>
      <c r="K63" s="1">
        <v>0</v>
      </c>
      <c r="L63" s="1">
        <f>IF(K63 + L62 &lt; 0, K63 + L62, 0)</f>
        <v>0</v>
      </c>
    </row>
    <row r="64" spans="1:12" s="1" customFormat="1">
      <c r="A64" s="3">
        <v>45022</v>
      </c>
      <c r="B64" s="1" t="s">
        <v>16</v>
      </c>
      <c r="C64" s="1">
        <v>7</v>
      </c>
      <c r="D64" s="1">
        <v>11</v>
      </c>
      <c r="E64" s="1">
        <v>188473.1503782354</v>
      </c>
      <c r="F64" s="1">
        <f>IF(E64 + F63 &lt; 0, E64 + F63, 0)</f>
        <v>0</v>
      </c>
      <c r="G64" s="1">
        <v>188473.1503782354</v>
      </c>
      <c r="H64" s="1">
        <f>IF(G64 + H63 &lt; 0, G64 + H63, 0)</f>
        <v>0</v>
      </c>
      <c r="I64" s="1">
        <v>0</v>
      </c>
      <c r="J64" s="1">
        <f>IF(I64 + J63 &lt; 0, I64 + J63, 0)</f>
        <v>0</v>
      </c>
      <c r="K64" s="1">
        <v>0</v>
      </c>
      <c r="L64" s="1">
        <f>IF(K64 + L63 &lt; 0, K64 + L63, 0)</f>
        <v>0</v>
      </c>
    </row>
    <row r="65" spans="1:12" s="1" customFormat="1">
      <c r="A65" s="3">
        <v>45026</v>
      </c>
      <c r="B65" s="1" t="s">
        <v>12</v>
      </c>
      <c r="C65" s="1">
        <v>6</v>
      </c>
      <c r="D65" s="1">
        <v>10</v>
      </c>
      <c r="E65" s="1">
        <v>197536.4809759714</v>
      </c>
      <c r="F65" s="1">
        <f>IF(E65 + F64 &lt; 0, E65 + F64, 0)</f>
        <v>0</v>
      </c>
      <c r="G65" s="1">
        <v>197536.4809759714</v>
      </c>
      <c r="H65" s="1">
        <f>IF(G65 + H64 &lt; 0, G65 + H64, 0)</f>
        <v>0</v>
      </c>
      <c r="I65" s="1">
        <v>0</v>
      </c>
      <c r="J65" s="1">
        <f>IF(I65 + J64 &lt; 0, I65 + J64, 0)</f>
        <v>0</v>
      </c>
      <c r="K65" s="1">
        <v>0</v>
      </c>
      <c r="L65" s="1">
        <f>IF(K65 + L64 &lt; 0, K65 + L64, 0)</f>
        <v>0</v>
      </c>
    </row>
    <row r="66" spans="1:12" s="1" customFormat="1">
      <c r="A66" s="3">
        <v>45027</v>
      </c>
      <c r="B66" s="1" t="s">
        <v>13</v>
      </c>
      <c r="C66" s="1">
        <v>5</v>
      </c>
      <c r="D66" s="1">
        <v>9</v>
      </c>
      <c r="E66" s="1">
        <v>89687.12029161601</v>
      </c>
      <c r="F66" s="1">
        <f>IF(E66 + F65 &lt; 0, E66 + F65, 0)</f>
        <v>0</v>
      </c>
      <c r="G66" s="1">
        <v>35506.9528824085</v>
      </c>
      <c r="H66" s="1">
        <f>IF(G66 + H65 &lt; 0, G66 + H65, 0)</f>
        <v>0</v>
      </c>
      <c r="I66" s="1">
        <v>0</v>
      </c>
      <c r="J66" s="1">
        <f>IF(I66 + J65 &lt; 0, I66 + J65, 0)</f>
        <v>0</v>
      </c>
      <c r="K66" s="1">
        <v>0</v>
      </c>
      <c r="L66" s="1">
        <f>IF(K66 + L65 &lt; 0, K66 + L65, 0)</f>
        <v>0</v>
      </c>
    </row>
    <row r="67" spans="1:12" s="1" customFormat="1">
      <c r="A67" s="3">
        <v>45028</v>
      </c>
      <c r="B67" s="1" t="s">
        <v>14</v>
      </c>
      <c r="C67" s="1">
        <v>4</v>
      </c>
      <c r="D67" s="1">
        <v>8</v>
      </c>
      <c r="E67" s="1">
        <v>109735.9324625254</v>
      </c>
      <c r="F67" s="1">
        <f>IF(E67 + F66 &lt; 0, E67 + F66, 0)</f>
        <v>0</v>
      </c>
      <c r="G67" s="1">
        <v>33868.4481669824</v>
      </c>
      <c r="H67" s="1">
        <f>IF(G67 + H66 &lt; 0, G67 + H66, 0)</f>
        <v>0</v>
      </c>
      <c r="I67" s="1">
        <v>0</v>
      </c>
      <c r="J67" s="1">
        <f>IF(I67 + J66 &lt; 0, I67 + J66, 0)</f>
        <v>0</v>
      </c>
      <c r="K67" s="1">
        <v>0</v>
      </c>
      <c r="L67" s="1">
        <f>IF(K67 + L66 &lt; 0, K67 + L66, 0)</f>
        <v>0</v>
      </c>
    </row>
    <row r="68" spans="1:12" s="1" customFormat="1">
      <c r="A68" s="3">
        <v>45029</v>
      </c>
      <c r="B68" s="1" t="s">
        <v>16</v>
      </c>
      <c r="C68" s="1">
        <v>3</v>
      </c>
      <c r="D68" s="1">
        <v>7</v>
      </c>
      <c r="E68" s="1">
        <v>326852.1239429262</v>
      </c>
      <c r="F68" s="1">
        <f>IF(E68 + F67 &lt; 0, E68 + F67, 0)</f>
        <v>0</v>
      </c>
      <c r="G68" s="1">
        <v>326852.1239429262</v>
      </c>
      <c r="H68" s="1">
        <f>IF(G68 + H67 &lt; 0, G68 + H67, 0)</f>
        <v>0</v>
      </c>
      <c r="I68" s="1">
        <v>0</v>
      </c>
      <c r="J68" s="1">
        <f>IF(I68 + J67 &lt; 0, I68 + J67, 0)</f>
        <v>0</v>
      </c>
      <c r="K68" s="1">
        <v>0</v>
      </c>
      <c r="L68" s="1">
        <f>IF(K68 + L67 &lt; 0, K68 + L67, 0)</f>
        <v>0</v>
      </c>
    </row>
    <row r="69" spans="1:12" s="1" customFormat="1">
      <c r="A69" s="3">
        <v>45030</v>
      </c>
      <c r="B69" s="1" t="s">
        <v>15</v>
      </c>
      <c r="C69" s="1">
        <v>2</v>
      </c>
      <c r="D69" s="1">
        <v>6</v>
      </c>
      <c r="E69" s="1">
        <v>295710.068929125</v>
      </c>
      <c r="F69" s="1">
        <f>IF(E69 + F68 &lt; 0, E69 + F68, 0)</f>
        <v>0</v>
      </c>
      <c r="G69" s="1">
        <v>369908.6441740048</v>
      </c>
      <c r="H69" s="1">
        <f>IF(G69 + H68 &lt; 0, G69 + H68, 0)</f>
        <v>0</v>
      </c>
      <c r="I69" s="1">
        <v>-39728.58565737054</v>
      </c>
      <c r="J69" s="1">
        <f>IF(I69 + J68 &lt; 0, I69 + J68, 0)</f>
        <v>0</v>
      </c>
      <c r="K69" s="1">
        <v>-36603.58565737054</v>
      </c>
      <c r="L69" s="1">
        <f>IF(K69 + L68 &lt; 0, K69 + L68, 0)</f>
        <v>0</v>
      </c>
    </row>
    <row r="70" spans="1:12" s="1" customFormat="1">
      <c r="A70" s="3">
        <v>45033</v>
      </c>
      <c r="B70" s="1" t="s">
        <v>12</v>
      </c>
      <c r="C70" s="1">
        <v>1</v>
      </c>
      <c r="D70" s="1">
        <v>5</v>
      </c>
      <c r="E70" s="1">
        <v>8057.19921104537</v>
      </c>
      <c r="F70" s="1">
        <f>IF(E70 + F69 &lt; 0, E70 + F69, 0)</f>
        <v>0</v>
      </c>
      <c r="G70" s="1">
        <v>-407117.0282708745</v>
      </c>
      <c r="H70" s="1">
        <f>IF(G70 + H69 &lt; 0, G70 + H69, 0)</f>
        <v>0</v>
      </c>
      <c r="I70" s="1">
        <v>-110893.6915887851</v>
      </c>
      <c r="J70" s="1">
        <f>IF(I70 + J69 &lt; 0, I70 + J69, 0)</f>
        <v>0</v>
      </c>
      <c r="K70" s="1">
        <v>-255595.7943925234</v>
      </c>
      <c r="L70" s="1">
        <f>IF(K70 + L69 &lt; 0, K70 + L69, 0)</f>
        <v>0</v>
      </c>
    </row>
    <row r="71" spans="1:12" s="1" customFormat="1">
      <c r="A71" s="3">
        <v>45034</v>
      </c>
      <c r="B71" s="1" t="s">
        <v>13</v>
      </c>
      <c r="C71" s="1">
        <v>22</v>
      </c>
      <c r="D71" s="1">
        <v>4</v>
      </c>
      <c r="E71" s="1">
        <v>0</v>
      </c>
      <c r="F71" s="1">
        <f>IF(E71 + F70 &lt; 0, E71 + F70, 0)</f>
        <v>0</v>
      </c>
      <c r="G71" s="1">
        <v>0</v>
      </c>
      <c r="H71" s="1">
        <f>IF(G71 + H70 &lt; 0, G71 + H70, 0)</f>
        <v>0</v>
      </c>
      <c r="I71" s="1">
        <v>-5695.430346051449</v>
      </c>
      <c r="J71" s="1">
        <f>IF(I71 + J70 &lt; 0, I71 + J70, 0)</f>
        <v>0</v>
      </c>
      <c r="K71" s="1">
        <v>61889.97338065664</v>
      </c>
      <c r="L71" s="1">
        <f>IF(K71 + L70 &lt; 0, K71 + L70, 0)</f>
        <v>0</v>
      </c>
    </row>
    <row r="72" spans="1:12" s="1" customFormat="1">
      <c r="A72" s="3">
        <v>45035</v>
      </c>
      <c r="B72" s="1" t="s">
        <v>14</v>
      </c>
      <c r="C72" s="1">
        <v>21</v>
      </c>
      <c r="D72" s="1">
        <v>3</v>
      </c>
      <c r="E72" s="1">
        <v>0</v>
      </c>
      <c r="F72" s="1">
        <f>IF(E72 + F71 &lt; 0, E72 + F71, 0)</f>
        <v>0</v>
      </c>
      <c r="G72" s="1">
        <v>0</v>
      </c>
      <c r="H72" s="1">
        <f>IF(G72 + H71 &lt; 0, G72 + H71, 0)</f>
        <v>0</v>
      </c>
      <c r="I72" s="1">
        <v>-171611.8986254295</v>
      </c>
      <c r="J72" s="1">
        <f>IF(I72 + J71 &lt; 0, I72 + J71, 0)</f>
        <v>0</v>
      </c>
      <c r="K72" s="1">
        <v>-237210.0515463916</v>
      </c>
      <c r="L72" s="1">
        <f>IF(K72 + L71 &lt; 0, K72 + L71, 0)</f>
        <v>0</v>
      </c>
    </row>
    <row r="73" spans="1:12" s="1" customFormat="1">
      <c r="A73" s="3">
        <v>45036</v>
      </c>
      <c r="B73" s="1" t="s">
        <v>16</v>
      </c>
      <c r="C73" s="1">
        <v>20</v>
      </c>
      <c r="D73" s="1">
        <v>2</v>
      </c>
      <c r="E73" s="1">
        <v>0</v>
      </c>
      <c r="F73" s="1">
        <f>IF(E73 + F72 &lt; 0, E73 + F72, 0)</f>
        <v>0</v>
      </c>
      <c r="G73" s="1">
        <v>0</v>
      </c>
      <c r="H73" s="1">
        <f>IF(G73 + H72 &lt; 0, G73 + H72, 0)</f>
        <v>0</v>
      </c>
      <c r="I73" s="1">
        <v>76415.74585635361</v>
      </c>
      <c r="J73" s="1">
        <f>IF(I73 + J72 &lt; 0, I73 + J72, 0)</f>
        <v>0</v>
      </c>
      <c r="K73" s="1">
        <v>196788.6740331492</v>
      </c>
      <c r="L73" s="1">
        <f>IF(K73 + L72 &lt; 0, K73 + L72, 0)</f>
        <v>0</v>
      </c>
    </row>
    <row r="74" spans="1:12" s="1" customFormat="1">
      <c r="A74" s="3">
        <v>45037</v>
      </c>
      <c r="B74" s="1" t="s">
        <v>15</v>
      </c>
      <c r="C74" s="1">
        <v>19</v>
      </c>
      <c r="D74" s="1">
        <v>1</v>
      </c>
      <c r="E74" s="1">
        <v>0</v>
      </c>
      <c r="F74" s="1">
        <f>IF(E74 + F73 &lt; 0, E74 + F73, 0)</f>
        <v>0</v>
      </c>
      <c r="G74" s="1">
        <v>0</v>
      </c>
      <c r="H74" s="1">
        <f>IF(G74 + H73 &lt; 0, G74 + H73, 0)</f>
        <v>0</v>
      </c>
      <c r="I74" s="1">
        <v>-3632.92011019283</v>
      </c>
      <c r="J74" s="1">
        <f>IF(I74 + J73 &lt; 0, I74 + J73, 0)</f>
        <v>0</v>
      </c>
      <c r="K74" s="1">
        <v>-291873.2782369146</v>
      </c>
      <c r="L74" s="1">
        <f>IF(K74 + L73 &lt; 0, K74 + L73, 0)</f>
        <v>0</v>
      </c>
    </row>
    <row r="75" spans="1:12" s="1" customFormat="1">
      <c r="A75" s="3">
        <v>45040</v>
      </c>
      <c r="B75" s="1" t="s">
        <v>12</v>
      </c>
      <c r="C75" s="1">
        <v>18</v>
      </c>
      <c r="D75" s="1">
        <v>21</v>
      </c>
      <c r="E75" s="1">
        <v>0</v>
      </c>
      <c r="F75" s="1">
        <f>IF(E75 + F74 &lt; 0, E75 + F74, 0)</f>
        <v>0</v>
      </c>
      <c r="G75" s="1">
        <v>0</v>
      </c>
      <c r="H75" s="1">
        <f>IF(G75 + H74 &lt; 0, G75 + H74, 0)</f>
        <v>0</v>
      </c>
      <c r="I75" s="1">
        <v>0</v>
      </c>
      <c r="J75" s="1">
        <f>IF(I75 + J74 &lt; 0, I75 + J74, 0)</f>
        <v>0</v>
      </c>
      <c r="K75" s="1">
        <v>0</v>
      </c>
      <c r="L75" s="1">
        <f>IF(K75 + L74 &lt; 0, K75 + L74, 0)</f>
        <v>0</v>
      </c>
    </row>
    <row r="76" spans="1:12" s="1" customFormat="1">
      <c r="A76" s="3">
        <v>45041</v>
      </c>
      <c r="B76" s="1" t="s">
        <v>13</v>
      </c>
      <c r="C76" s="1">
        <v>17</v>
      </c>
      <c r="D76" s="1">
        <v>20</v>
      </c>
      <c r="E76" s="1">
        <v>0</v>
      </c>
      <c r="F76" s="1">
        <f>IF(E76 + F75 &lt; 0, E76 + F75, 0)</f>
        <v>0</v>
      </c>
      <c r="G76" s="1">
        <v>0</v>
      </c>
      <c r="H76" s="1">
        <f>IF(G76 + H75 &lt; 0, G76 + H75, 0)</f>
        <v>0</v>
      </c>
      <c r="I76" s="1">
        <v>0</v>
      </c>
      <c r="J76" s="1">
        <f>IF(I76 + J75 &lt; 0, I76 + J75, 0)</f>
        <v>0</v>
      </c>
      <c r="K76" s="1">
        <v>0</v>
      </c>
      <c r="L76" s="1">
        <f>IF(K76 + L75 &lt; 0, K76 + L75, 0)</f>
        <v>0</v>
      </c>
    </row>
    <row r="77" spans="1:12" s="1" customFormat="1">
      <c r="A77" s="3">
        <v>45042</v>
      </c>
      <c r="B77" s="1" t="s">
        <v>14</v>
      </c>
      <c r="C77" s="1">
        <v>16</v>
      </c>
      <c r="D77" s="1">
        <v>19</v>
      </c>
      <c r="E77" s="1">
        <v>0</v>
      </c>
      <c r="F77" s="1">
        <f>IF(E77 + F76 &lt; 0, E77 + F76, 0)</f>
        <v>0</v>
      </c>
      <c r="G77" s="1">
        <v>0</v>
      </c>
      <c r="H77" s="1">
        <f>IF(G77 + H76 &lt; 0, G77 + H76, 0)</f>
        <v>0</v>
      </c>
      <c r="I77" s="1">
        <v>0</v>
      </c>
      <c r="J77" s="1">
        <f>IF(I77 + J76 &lt; 0, I77 + J76, 0)</f>
        <v>0</v>
      </c>
      <c r="K77" s="1">
        <v>0</v>
      </c>
      <c r="L77" s="1">
        <f>IF(K77 + L76 &lt; 0, K77 + L76, 0)</f>
        <v>0</v>
      </c>
    </row>
    <row r="78" spans="1:12" s="1" customFormat="1">
      <c r="A78" s="3">
        <v>45043</v>
      </c>
      <c r="B78" s="1" t="s">
        <v>16</v>
      </c>
      <c r="C78" s="1">
        <v>15</v>
      </c>
      <c r="D78" s="1">
        <v>18</v>
      </c>
      <c r="E78" s="1">
        <v>0</v>
      </c>
      <c r="F78" s="1">
        <f>IF(E78 + F77 &lt; 0, E78 + F77, 0)</f>
        <v>0</v>
      </c>
      <c r="G78" s="1">
        <v>0</v>
      </c>
      <c r="H78" s="1">
        <f>IF(G78 + H77 &lt; 0, G78 + H77, 0)</f>
        <v>0</v>
      </c>
      <c r="I78" s="1">
        <v>0</v>
      </c>
      <c r="J78" s="1">
        <f>IF(I78 + J77 &lt; 0, I78 + J77, 0)</f>
        <v>0</v>
      </c>
      <c r="K78" s="1">
        <v>0</v>
      </c>
      <c r="L78" s="1">
        <f>IF(K78 + L77 &lt; 0, K78 + L77, 0)</f>
        <v>0</v>
      </c>
    </row>
    <row r="79" spans="1:12" s="1" customFormat="1">
      <c r="A79" s="3">
        <v>45044</v>
      </c>
      <c r="B79" s="1" t="s">
        <v>15</v>
      </c>
      <c r="C79" s="1">
        <v>14</v>
      </c>
      <c r="D79" s="1">
        <v>17</v>
      </c>
      <c r="E79" s="1">
        <v>0</v>
      </c>
      <c r="F79" s="1">
        <f>IF(E79 + F78 &lt; 0, E79 + F78, 0)</f>
        <v>0</v>
      </c>
      <c r="G79" s="1">
        <v>0</v>
      </c>
      <c r="H79" s="1">
        <f>IF(G79 + H78 &lt; 0, G79 + H78, 0)</f>
        <v>0</v>
      </c>
      <c r="I79" s="1">
        <v>0</v>
      </c>
      <c r="J79" s="1">
        <f>IF(I79 + J78 &lt; 0, I79 + J78, 0)</f>
        <v>0</v>
      </c>
      <c r="K79" s="1">
        <v>0</v>
      </c>
      <c r="L79" s="1">
        <f>IF(K79 + L78 &lt; 0, K79 + L78, 0)</f>
        <v>0</v>
      </c>
    </row>
    <row r="80" spans="1:12" s="1" customFormat="1">
      <c r="A80" s="3">
        <v>45047</v>
      </c>
      <c r="B80" s="1" t="s">
        <v>12</v>
      </c>
      <c r="C80" s="1">
        <v>13</v>
      </c>
      <c r="D80" s="1">
        <v>16</v>
      </c>
      <c r="E80" s="1">
        <v>0</v>
      </c>
      <c r="F80" s="1">
        <f>IF(E80 + F79 &lt; 0, E80 + F79, 0)</f>
        <v>0</v>
      </c>
      <c r="G80" s="1">
        <v>0</v>
      </c>
      <c r="H80" s="1">
        <f>IF(G80 + H79 &lt; 0, G80 + H79, 0)</f>
        <v>0</v>
      </c>
      <c r="I80" s="1">
        <v>0</v>
      </c>
      <c r="J80" s="1">
        <f>IF(I80 + J79 &lt; 0, I80 + J79, 0)</f>
        <v>0</v>
      </c>
      <c r="K80" s="1">
        <v>0</v>
      </c>
      <c r="L80" s="1">
        <f>IF(K80 + L79 &lt; 0, K80 + L79, 0)</f>
        <v>0</v>
      </c>
    </row>
    <row r="81" spans="1:12" s="1" customFormat="1">
      <c r="A81" s="3">
        <v>45048</v>
      </c>
      <c r="B81" s="1" t="s">
        <v>13</v>
      </c>
      <c r="C81" s="1">
        <v>12</v>
      </c>
      <c r="D81" s="1">
        <v>15</v>
      </c>
      <c r="E81" s="1">
        <v>0</v>
      </c>
      <c r="F81" s="1">
        <f>IF(E81 + F80 &lt; 0, E81 + F80, 0)</f>
        <v>0</v>
      </c>
      <c r="G81" s="1">
        <v>0</v>
      </c>
      <c r="H81" s="1">
        <f>IF(G81 + H80 &lt; 0, G81 + H80, 0)</f>
        <v>0</v>
      </c>
      <c r="I81" s="1">
        <v>0</v>
      </c>
      <c r="J81" s="1">
        <f>IF(I81 + J80 &lt; 0, I81 + J80, 0)</f>
        <v>0</v>
      </c>
      <c r="K81" s="1">
        <v>0</v>
      </c>
      <c r="L81" s="1">
        <f>IF(K81 + L80 &lt; 0, K81 + L80, 0)</f>
        <v>0</v>
      </c>
    </row>
    <row r="82" spans="1:12" s="1" customFormat="1">
      <c r="A82" s="3">
        <v>45049</v>
      </c>
      <c r="B82" s="1" t="s">
        <v>14</v>
      </c>
      <c r="C82" s="1">
        <v>11</v>
      </c>
      <c r="D82" s="1">
        <v>14</v>
      </c>
      <c r="E82" s="1">
        <v>0</v>
      </c>
      <c r="F82" s="1">
        <f>IF(E82 + F81 &lt; 0, E82 + F81, 0)</f>
        <v>0</v>
      </c>
      <c r="G82" s="1">
        <v>0</v>
      </c>
      <c r="H82" s="1">
        <f>IF(G82 + H81 &lt; 0, G82 + H81, 0)</f>
        <v>0</v>
      </c>
      <c r="I82" s="1">
        <v>0</v>
      </c>
      <c r="J82" s="1">
        <f>IF(I82 + J81 &lt; 0, I82 + J81, 0)</f>
        <v>0</v>
      </c>
      <c r="K82" s="1">
        <v>0</v>
      </c>
      <c r="L82" s="1">
        <f>IF(K82 + L81 &lt; 0, K82 + L81, 0)</f>
        <v>0</v>
      </c>
    </row>
    <row r="83" spans="1:12" s="1" customFormat="1">
      <c r="A83" s="3">
        <v>45050</v>
      </c>
      <c r="B83" s="1" t="s">
        <v>16</v>
      </c>
      <c r="C83" s="1">
        <v>10</v>
      </c>
      <c r="D83" s="1">
        <v>13</v>
      </c>
      <c r="E83" s="1">
        <v>205405.7251005442</v>
      </c>
      <c r="F83" s="1">
        <f>IF(E83 + F82 &lt; 0, E83 + F82, 0)</f>
        <v>0</v>
      </c>
      <c r="G83" s="1">
        <v>205405.7251005442</v>
      </c>
      <c r="H83" s="1">
        <f>IF(G83 + H82 &lt; 0, G83 + H82, 0)</f>
        <v>0</v>
      </c>
      <c r="I83" s="1">
        <v>0</v>
      </c>
      <c r="J83" s="1">
        <f>IF(I83 + J82 &lt; 0, I83 + J82, 0)</f>
        <v>0</v>
      </c>
      <c r="K83" s="1">
        <v>0</v>
      </c>
      <c r="L83" s="1">
        <f>IF(K83 + L82 &lt; 0, K83 + L82, 0)</f>
        <v>0</v>
      </c>
    </row>
    <row r="84" spans="1:12" s="1" customFormat="1">
      <c r="A84" s="3">
        <v>45051</v>
      </c>
      <c r="B84" s="1" t="s">
        <v>15</v>
      </c>
      <c r="C84" s="1">
        <v>9</v>
      </c>
      <c r="D84" s="1">
        <v>12</v>
      </c>
      <c r="E84" s="1">
        <v>249754.5265307726</v>
      </c>
      <c r="F84" s="1">
        <f>IF(E84 + F83 &lt; 0, E84 + F83, 0)</f>
        <v>0</v>
      </c>
      <c r="G84" s="1">
        <v>249754.5265307726</v>
      </c>
      <c r="H84" s="1">
        <f>IF(G84 + H83 &lt; 0, G84 + H83, 0)</f>
        <v>0</v>
      </c>
      <c r="I84" s="1">
        <v>0</v>
      </c>
      <c r="J84" s="1">
        <f>IF(I84 + J83 &lt; 0, I84 + J83, 0)</f>
        <v>0</v>
      </c>
      <c r="K84" s="1">
        <v>0</v>
      </c>
      <c r="L84" s="1">
        <f>IF(K84 + L83 &lt; 0, K84 + L83, 0)</f>
        <v>0</v>
      </c>
    </row>
    <row r="85" spans="1:12" s="1" customFormat="1">
      <c r="A85" s="3">
        <v>45054</v>
      </c>
      <c r="B85" s="1" t="s">
        <v>12</v>
      </c>
      <c r="C85" s="1">
        <v>8</v>
      </c>
      <c r="D85" s="1">
        <v>11</v>
      </c>
      <c r="E85" s="1">
        <v>100345.5608718766</v>
      </c>
      <c r="F85" s="1">
        <f>IF(E85 + F84 &lt; 0, E85 + F84, 0)</f>
        <v>0</v>
      </c>
      <c r="G85" s="1">
        <v>100345.5608718766</v>
      </c>
      <c r="H85" s="1">
        <f>IF(G85 + H84 &lt; 0, G85 + H84, 0)</f>
        <v>0</v>
      </c>
      <c r="I85" s="1">
        <v>0</v>
      </c>
      <c r="J85" s="1">
        <f>IF(I85 + J84 &lt; 0, I85 + J84, 0)</f>
        <v>0</v>
      </c>
      <c r="K85" s="1">
        <v>0</v>
      </c>
      <c r="L85" s="1">
        <f>IF(K85 + L84 &lt; 0, K85 + L84, 0)</f>
        <v>0</v>
      </c>
    </row>
    <row r="86" spans="1:12" s="1" customFormat="1">
      <c r="A86" s="3">
        <v>45055</v>
      </c>
      <c r="B86" s="1" t="s">
        <v>13</v>
      </c>
      <c r="C86" s="1">
        <v>7</v>
      </c>
      <c r="D86" s="1">
        <v>10</v>
      </c>
      <c r="E86" s="1">
        <v>30485.99242030168</v>
      </c>
      <c r="F86" s="1">
        <f>IF(E86 + F85 &lt; 0, E86 + F85, 0)</f>
        <v>0</v>
      </c>
      <c r="G86" s="1">
        <v>30485.99242030168</v>
      </c>
      <c r="H86" s="1">
        <f>IF(G86 + H85 &lt; 0, G86 + H85, 0)</f>
        <v>0</v>
      </c>
      <c r="I86" s="1">
        <v>0</v>
      </c>
      <c r="J86" s="1">
        <f>IF(I86 + J85 &lt; 0, I86 + J85, 0)</f>
        <v>0</v>
      </c>
      <c r="K86" s="1">
        <v>0</v>
      </c>
      <c r="L86" s="1">
        <f>IF(K86 + L85 &lt; 0, K86 + L85, 0)</f>
        <v>0</v>
      </c>
    </row>
    <row r="87" spans="1:12" s="1" customFormat="1">
      <c r="A87" s="3">
        <v>45056</v>
      </c>
      <c r="B87" s="1" t="s">
        <v>14</v>
      </c>
      <c r="C87" s="1">
        <v>6</v>
      </c>
      <c r="D87" s="1">
        <v>9</v>
      </c>
      <c r="E87" s="1">
        <v>75127.52273231315</v>
      </c>
      <c r="F87" s="1">
        <f>IF(E87 + F86 &lt; 0, E87 + F86, 0)</f>
        <v>0</v>
      </c>
      <c r="G87" s="1">
        <v>75127.52273231315</v>
      </c>
      <c r="H87" s="1">
        <f>IF(G87 + H86 &lt; 0, G87 + H86, 0)</f>
        <v>0</v>
      </c>
      <c r="I87" s="1">
        <v>0</v>
      </c>
      <c r="J87" s="1">
        <f>IF(I87 + J86 &lt; 0, I87 + J86, 0)</f>
        <v>0</v>
      </c>
      <c r="K87" s="1">
        <v>0</v>
      </c>
      <c r="L87" s="1">
        <f>IF(K87 + L86 &lt; 0, K87 + L86, 0)</f>
        <v>0</v>
      </c>
    </row>
    <row r="88" spans="1:12" s="1" customFormat="1">
      <c r="A88" s="3">
        <v>45057</v>
      </c>
      <c r="B88" s="1" t="s">
        <v>16</v>
      </c>
      <c r="C88" s="1">
        <v>5</v>
      </c>
      <c r="D88" s="1">
        <v>8</v>
      </c>
      <c r="E88" s="1">
        <v>-93423.39337335996</v>
      </c>
      <c r="F88" s="1">
        <f>IF(E88 + F87 &lt; 0, E88 + F87, 0)</f>
        <v>0</v>
      </c>
      <c r="G88" s="1">
        <v>-224186.4947001704</v>
      </c>
      <c r="H88" s="1">
        <f>IF(G88 + H87 &lt; 0, G88 + H87, 0)</f>
        <v>0</v>
      </c>
      <c r="I88" s="1">
        <v>0</v>
      </c>
      <c r="J88" s="1">
        <f>IF(I88 + J87 &lt; 0, I88 + J87, 0)</f>
        <v>0</v>
      </c>
      <c r="K88" s="1">
        <v>0</v>
      </c>
      <c r="L88" s="1">
        <f>IF(K88 + L87 &lt; 0, K88 + L87, 0)</f>
        <v>0</v>
      </c>
    </row>
    <row r="89" spans="1:12" s="1" customFormat="1">
      <c r="A89" s="3">
        <v>45058</v>
      </c>
      <c r="B89" s="1" t="s">
        <v>15</v>
      </c>
      <c r="C89" s="1">
        <v>4</v>
      </c>
      <c r="D89" s="1">
        <v>7</v>
      </c>
      <c r="E89" s="1">
        <v>179207.1659996189</v>
      </c>
      <c r="F89" s="1">
        <f>IF(E89 + F88 &lt; 0, E89 + F88, 0)</f>
        <v>0</v>
      </c>
      <c r="G89" s="1">
        <v>179207.1659996189</v>
      </c>
      <c r="H89" s="1">
        <f>IF(G89 + H88 &lt; 0, G89 + H88, 0)</f>
        <v>0</v>
      </c>
      <c r="I89" s="1">
        <v>0</v>
      </c>
      <c r="J89" s="1">
        <f>IF(I89 + J88 &lt; 0, I89 + J88, 0)</f>
        <v>0</v>
      </c>
      <c r="K89" s="1">
        <v>0</v>
      </c>
      <c r="L89" s="1">
        <f>IF(K89 + L88 &lt; 0, K89 + L88, 0)</f>
        <v>0</v>
      </c>
    </row>
    <row r="90" spans="1:12" s="1" customFormat="1">
      <c r="A90" s="3">
        <v>45061</v>
      </c>
      <c r="B90" s="1" t="s">
        <v>12</v>
      </c>
      <c r="C90" s="1">
        <v>3</v>
      </c>
      <c r="D90" s="1">
        <v>6</v>
      </c>
      <c r="E90" s="1">
        <v>281128.5819535461</v>
      </c>
      <c r="F90" s="1">
        <f>IF(E90 + F89 &lt; 0, E90 + F89, 0)</f>
        <v>0</v>
      </c>
      <c r="G90" s="1">
        <v>355674.9001512272</v>
      </c>
      <c r="H90" s="1">
        <f>IF(G90 + H89 &lt; 0, G90 + H89, 0)</f>
        <v>0</v>
      </c>
      <c r="I90" s="1">
        <v>33717.834960071</v>
      </c>
      <c r="J90" s="1">
        <f>IF(I90 + J89 &lt; 0, I90 + J89, 0)</f>
        <v>0</v>
      </c>
      <c r="K90" s="1">
        <v>33717.834960071</v>
      </c>
      <c r="L90" s="1">
        <f>IF(K90 + L89 &lt; 0, K90 + L89, 0)</f>
        <v>0</v>
      </c>
    </row>
    <row r="91" spans="1:12" s="1" customFormat="1">
      <c r="A91" s="3">
        <v>45062</v>
      </c>
      <c r="B91" s="1" t="s">
        <v>13</v>
      </c>
      <c r="C91" s="1">
        <v>2</v>
      </c>
      <c r="D91" s="1">
        <v>5</v>
      </c>
      <c r="E91" s="1">
        <v>411158.5873099902</v>
      </c>
      <c r="F91" s="1">
        <f>IF(E91 + F90 &lt; 0, E91 + F90, 0)</f>
        <v>0</v>
      </c>
      <c r="G91" s="1">
        <v>411158.5873099902</v>
      </c>
      <c r="H91" s="1">
        <f>IF(G91 + H90 &lt; 0, G91 + H90, 0)</f>
        <v>0</v>
      </c>
      <c r="I91" s="1">
        <v>62736.05150214591</v>
      </c>
      <c r="J91" s="1">
        <f>IF(I91 + J90 &lt; 0, I91 + J90, 0)</f>
        <v>0</v>
      </c>
      <c r="K91" s="1">
        <v>208744.635193133</v>
      </c>
      <c r="L91" s="1">
        <f>IF(K91 + L90 &lt; 0, K91 + L90, 0)</f>
        <v>0</v>
      </c>
    </row>
    <row r="92" spans="1:12" s="1" customFormat="1">
      <c r="A92" s="3">
        <v>45063</v>
      </c>
      <c r="B92" s="1" t="s">
        <v>14</v>
      </c>
      <c r="C92" s="1">
        <v>1</v>
      </c>
      <c r="D92" s="1">
        <v>4</v>
      </c>
      <c r="E92" s="1">
        <v>-179793.2688646921</v>
      </c>
      <c r="F92" s="1">
        <f>IF(E92 + F91 &lt; 0, E92 + F91, 0)</f>
        <v>0</v>
      </c>
      <c r="G92" s="1">
        <v>-477328.1047742328</v>
      </c>
      <c r="H92" s="1">
        <f>IF(G92 + H91 &lt; 0, G92 + H91, 0)</f>
        <v>0</v>
      </c>
      <c r="I92" s="1">
        <v>184413.9115500215</v>
      </c>
      <c r="J92" s="1">
        <f>IF(I92 + J91 &lt; 0, I92 + J91, 0)</f>
        <v>0</v>
      </c>
      <c r="K92" s="1">
        <v>184413.9115500215</v>
      </c>
      <c r="L92" s="1">
        <f>IF(K92 + L91 &lt; 0, K92 + L91, 0)</f>
        <v>0</v>
      </c>
    </row>
    <row r="93" spans="1:12" s="1" customFormat="1">
      <c r="A93" s="3">
        <v>45064</v>
      </c>
      <c r="B93" s="1" t="s">
        <v>16</v>
      </c>
      <c r="C93" s="1">
        <v>19</v>
      </c>
      <c r="D93" s="1">
        <v>3</v>
      </c>
      <c r="E93" s="1">
        <v>0</v>
      </c>
      <c r="F93" s="1">
        <f>IF(E93 + F92 &lt; 0, E93 + F92, 0)</f>
        <v>0</v>
      </c>
      <c r="G93" s="1">
        <v>0</v>
      </c>
      <c r="H93" s="1">
        <f>IF(G93 + H92 &lt; 0, G93 + H92, 0)</f>
        <v>0</v>
      </c>
      <c r="I93" s="1">
        <v>-181191.5887850468</v>
      </c>
      <c r="J93" s="1">
        <f>IF(I93 + J92 &lt; 0, I93 + J92, 0)</f>
        <v>0</v>
      </c>
      <c r="K93" s="1">
        <v>-231138.4876805438</v>
      </c>
      <c r="L93" s="1">
        <f>IF(K93 + L92 &lt; 0, K93 + L92, 0)</f>
        <v>0</v>
      </c>
    </row>
    <row r="94" spans="1:12" s="1" customFormat="1">
      <c r="A94" s="3">
        <v>45065</v>
      </c>
      <c r="B94" s="1" t="s">
        <v>15</v>
      </c>
      <c r="C94" s="1">
        <v>18</v>
      </c>
      <c r="D94" s="1">
        <v>2</v>
      </c>
      <c r="E94" s="1">
        <v>0</v>
      </c>
      <c r="F94" s="1">
        <f>IF(E94 + F93 &lt; 0, E94 + F93, 0)</f>
        <v>0</v>
      </c>
      <c r="G94" s="1">
        <v>0</v>
      </c>
      <c r="H94" s="1">
        <f>IF(G94 + H93 &lt; 0, G94 + H93, 0)</f>
        <v>0</v>
      </c>
      <c r="I94" s="1">
        <v>7514.563106796122</v>
      </c>
      <c r="J94" s="1">
        <f>IF(I94 + J93 &lt; 0, I94 + J93, 0)</f>
        <v>0</v>
      </c>
      <c r="K94" s="1">
        <v>207378.640776699</v>
      </c>
      <c r="L94" s="1">
        <f>IF(K94 + L93 &lt; 0, K94 + L93, 0)</f>
        <v>0</v>
      </c>
    </row>
    <row r="95" spans="1:12" s="1" customFormat="1">
      <c r="A95" s="3">
        <v>45069</v>
      </c>
      <c r="B95" s="1" t="s">
        <v>13</v>
      </c>
      <c r="C95" s="1">
        <v>17</v>
      </c>
      <c r="D95" s="1">
        <v>1</v>
      </c>
      <c r="E95" s="1">
        <v>0</v>
      </c>
      <c r="F95" s="1">
        <f>IF(E95 + F94 &lt; 0, E95 + F94, 0)</f>
        <v>0</v>
      </c>
      <c r="G95" s="1">
        <v>0</v>
      </c>
      <c r="H95" s="1">
        <f>IF(G95 + H94 &lt; 0, G95 + H94, 0)</f>
        <v>0</v>
      </c>
      <c r="I95" s="1">
        <v>182130.8724832215</v>
      </c>
      <c r="J95" s="1">
        <f>IF(I95 + J94 &lt; 0, I95 + J94, 0)</f>
        <v>0</v>
      </c>
      <c r="K95" s="1">
        <v>174748.322147651</v>
      </c>
      <c r="L95" s="1">
        <f>IF(K95 + L94 &lt; 0, K95 + L94, 0)</f>
        <v>0</v>
      </c>
    </row>
    <row r="96" spans="1:12" s="1" customFormat="1">
      <c r="A96" s="3">
        <v>45070</v>
      </c>
      <c r="B96" s="1" t="s">
        <v>14</v>
      </c>
      <c r="C96" s="1">
        <v>16</v>
      </c>
      <c r="D96" s="1">
        <v>23</v>
      </c>
      <c r="E96" s="1">
        <v>0</v>
      </c>
      <c r="F96" s="1">
        <f>IF(E96 + F95 &lt; 0, E96 + F95, 0)</f>
        <v>0</v>
      </c>
      <c r="G96" s="1">
        <v>0</v>
      </c>
      <c r="H96" s="1">
        <f>IF(G96 + H95 &lt; 0, G96 + H95, 0)</f>
        <v>0</v>
      </c>
      <c r="I96" s="1">
        <v>0</v>
      </c>
      <c r="J96" s="1">
        <f>IF(I96 + J95 &lt; 0, I96 + J95, 0)</f>
        <v>0</v>
      </c>
      <c r="K96" s="1">
        <v>0</v>
      </c>
      <c r="L96" s="1">
        <f>IF(K96 + L95 &lt; 0, K96 + L95, 0)</f>
        <v>0</v>
      </c>
    </row>
    <row r="97" spans="1:12" s="1" customFormat="1">
      <c r="A97" s="3">
        <v>45071</v>
      </c>
      <c r="B97" s="1" t="s">
        <v>16</v>
      </c>
      <c r="C97" s="1">
        <v>15</v>
      </c>
      <c r="D97" s="1">
        <v>22</v>
      </c>
      <c r="E97" s="1">
        <v>0</v>
      </c>
      <c r="F97" s="1">
        <f>IF(E97 + F96 &lt; 0, E97 + F96, 0)</f>
        <v>0</v>
      </c>
      <c r="G97" s="1">
        <v>0</v>
      </c>
      <c r="H97" s="1">
        <f>IF(G97 + H96 &lt; 0, G97 + H96, 0)</f>
        <v>0</v>
      </c>
      <c r="I97" s="1">
        <v>0</v>
      </c>
      <c r="J97" s="1">
        <f>IF(I97 + J96 &lt; 0, I97 + J96, 0)</f>
        <v>0</v>
      </c>
      <c r="K97" s="1">
        <v>0</v>
      </c>
      <c r="L97" s="1">
        <f>IF(K97 + L96 &lt; 0, K97 + L96, 0)</f>
        <v>0</v>
      </c>
    </row>
    <row r="98" spans="1:12" s="1" customFormat="1">
      <c r="A98" s="3">
        <v>45072</v>
      </c>
      <c r="B98" s="1" t="s">
        <v>15</v>
      </c>
      <c r="C98" s="1">
        <v>14</v>
      </c>
      <c r="D98" s="1">
        <v>21</v>
      </c>
      <c r="E98" s="1">
        <v>0</v>
      </c>
      <c r="F98" s="1">
        <f>IF(E98 + F97 &lt; 0, E98 + F97, 0)</f>
        <v>0</v>
      </c>
      <c r="G98" s="1">
        <v>0</v>
      </c>
      <c r="H98" s="1">
        <f>IF(G98 + H97 &lt; 0, G98 + H97, 0)</f>
        <v>0</v>
      </c>
      <c r="I98" s="1">
        <v>0</v>
      </c>
      <c r="J98" s="1">
        <f>IF(I98 + J97 &lt; 0, I98 + J97, 0)</f>
        <v>0</v>
      </c>
      <c r="K98" s="1">
        <v>0</v>
      </c>
      <c r="L98" s="1">
        <f>IF(K98 + L97 &lt; 0, K98 + L97, 0)</f>
        <v>0</v>
      </c>
    </row>
    <row r="99" spans="1:12" s="1" customFormat="1">
      <c r="A99" s="3">
        <v>45075</v>
      </c>
      <c r="B99" s="1" t="s">
        <v>12</v>
      </c>
      <c r="C99" s="1">
        <v>13</v>
      </c>
      <c r="D99" s="1">
        <v>20</v>
      </c>
      <c r="E99" s="1">
        <v>0</v>
      </c>
      <c r="F99" s="1">
        <f>IF(E99 + F98 &lt; 0, E99 + F98, 0)</f>
        <v>0</v>
      </c>
      <c r="G99" s="1">
        <v>0</v>
      </c>
      <c r="H99" s="1">
        <f>IF(G99 + H98 &lt; 0, G99 + H98, 0)</f>
        <v>0</v>
      </c>
      <c r="I99" s="1">
        <v>0</v>
      </c>
      <c r="J99" s="1">
        <f>IF(I99 + J98 &lt; 0, I99 + J98, 0)</f>
        <v>0</v>
      </c>
      <c r="K99" s="1">
        <v>0</v>
      </c>
      <c r="L99" s="1">
        <f>IF(K99 + L98 &lt; 0, K99 + L98, 0)</f>
        <v>0</v>
      </c>
    </row>
    <row r="100" spans="1:12" s="1" customFormat="1">
      <c r="A100" s="3">
        <v>45076</v>
      </c>
      <c r="B100" s="1" t="s">
        <v>13</v>
      </c>
      <c r="C100" s="1">
        <v>12</v>
      </c>
      <c r="D100" s="1">
        <v>19</v>
      </c>
      <c r="E100" s="1">
        <v>0</v>
      </c>
      <c r="F100" s="1">
        <f>IF(E100 + F99 &lt; 0, E100 + F99, 0)</f>
        <v>0</v>
      </c>
      <c r="G100" s="1">
        <v>0</v>
      </c>
      <c r="H100" s="1">
        <f>IF(G100 + H99 &lt; 0, G100 + H99, 0)</f>
        <v>0</v>
      </c>
      <c r="I100" s="1">
        <v>0</v>
      </c>
      <c r="J100" s="1">
        <f>IF(I100 + J99 &lt; 0, I100 + J99, 0)</f>
        <v>0</v>
      </c>
      <c r="K100" s="1">
        <v>0</v>
      </c>
      <c r="L100" s="1">
        <f>IF(K100 + L99 &lt; 0, K100 + L99, 0)</f>
        <v>0</v>
      </c>
    </row>
    <row r="101" spans="1:12" s="1" customFormat="1">
      <c r="A101" s="3">
        <v>45077</v>
      </c>
      <c r="B101" s="1" t="s">
        <v>14</v>
      </c>
      <c r="C101" s="1">
        <v>11</v>
      </c>
      <c r="D101" s="1">
        <v>18</v>
      </c>
      <c r="E101" s="1">
        <v>0</v>
      </c>
      <c r="F101" s="1">
        <f>IF(E101 + F100 &lt; 0, E101 + F100, 0)</f>
        <v>0</v>
      </c>
      <c r="G101" s="1">
        <v>0</v>
      </c>
      <c r="H101" s="1">
        <f>IF(G101 + H100 &lt; 0, G101 + H100, 0)</f>
        <v>0</v>
      </c>
      <c r="I101" s="1">
        <v>0</v>
      </c>
      <c r="J101" s="1">
        <f>IF(I101 + J100 &lt; 0, I101 + J100, 0)</f>
        <v>0</v>
      </c>
      <c r="K101" s="1">
        <v>0</v>
      </c>
      <c r="L101" s="1">
        <f>IF(K101 + L100 &lt; 0, K101 + L100, 0)</f>
        <v>0</v>
      </c>
    </row>
    <row r="102" spans="1:12" s="1" customFormat="1">
      <c r="A102" s="3">
        <v>45078</v>
      </c>
      <c r="B102" s="1" t="s">
        <v>16</v>
      </c>
      <c r="C102" s="1">
        <v>10</v>
      </c>
      <c r="D102" s="1">
        <v>17</v>
      </c>
      <c r="E102" s="1">
        <v>-138194.4444444445</v>
      </c>
      <c r="F102" s="1">
        <f>IF(E102 + F101 &lt; 0, E102 + F101, 0)</f>
        <v>0</v>
      </c>
      <c r="G102" s="1">
        <v>-404420.9702660408</v>
      </c>
      <c r="H102" s="1">
        <f>IF(G102 + H101 &lt; 0, G102 + H101, 0)</f>
        <v>0</v>
      </c>
      <c r="I102" s="1">
        <v>0</v>
      </c>
      <c r="J102" s="1">
        <f>IF(I102 + J101 &lt; 0, I102 + J101, 0)</f>
        <v>0</v>
      </c>
      <c r="K102" s="1">
        <v>0</v>
      </c>
      <c r="L102" s="1">
        <f>IF(K102 + L101 &lt; 0, K102 + L101, 0)</f>
        <v>0</v>
      </c>
    </row>
    <row r="103" spans="1:12" s="1" customFormat="1">
      <c r="A103" s="3">
        <v>45079</v>
      </c>
      <c r="B103" s="1" t="s">
        <v>15</v>
      </c>
      <c r="C103" s="1">
        <v>9</v>
      </c>
      <c r="D103" s="1">
        <v>16</v>
      </c>
      <c r="E103" s="1">
        <v>45510.10274626638</v>
      </c>
      <c r="F103" s="1">
        <f>IF(E103 + F102 &lt; 0, E103 + F102, 0)</f>
        <v>0</v>
      </c>
      <c r="G103" s="1">
        <v>45510.10274626638</v>
      </c>
      <c r="H103" s="1">
        <f>IF(G103 + H102 &lt; 0, G103 + H102, 0)</f>
        <v>0</v>
      </c>
      <c r="I103" s="1">
        <v>0</v>
      </c>
      <c r="J103" s="1">
        <f>IF(I103 + J102 &lt; 0, I103 + J102, 0)</f>
        <v>0</v>
      </c>
      <c r="K103" s="1">
        <v>0</v>
      </c>
      <c r="L103" s="1">
        <f>IF(K103 + L102 &lt; 0, K103 + L102, 0)</f>
        <v>0</v>
      </c>
    </row>
    <row r="104" spans="1:12" s="1" customFormat="1">
      <c r="A104" s="3">
        <v>45082</v>
      </c>
      <c r="B104" s="1" t="s">
        <v>12</v>
      </c>
      <c r="C104" s="1">
        <v>8</v>
      </c>
      <c r="D104" s="1">
        <v>15</v>
      </c>
      <c r="E104" s="1">
        <v>74408.07541007941</v>
      </c>
      <c r="F104" s="1">
        <f>IF(E104 + F103 &lt; 0, E104 + F103, 0)</f>
        <v>0</v>
      </c>
      <c r="G104" s="1">
        <v>74408.07541007941</v>
      </c>
      <c r="H104" s="1">
        <f>IF(G104 + H103 &lt; 0, G104 + H103, 0)</f>
        <v>0</v>
      </c>
      <c r="I104" s="1">
        <v>0</v>
      </c>
      <c r="J104" s="1">
        <f>IF(I104 + J103 &lt; 0, I104 + J103, 0)</f>
        <v>0</v>
      </c>
      <c r="K104" s="1">
        <v>0</v>
      </c>
      <c r="L104" s="1">
        <f>IF(K104 + L103 &lt; 0, K104 + L103, 0)</f>
        <v>0</v>
      </c>
    </row>
    <row r="105" spans="1:12" s="1" customFormat="1">
      <c r="A105" s="3">
        <v>45083</v>
      </c>
      <c r="B105" s="1" t="s">
        <v>13</v>
      </c>
      <c r="C105" s="1">
        <v>7</v>
      </c>
      <c r="D105" s="1">
        <v>14</v>
      </c>
      <c r="E105" s="1">
        <v>177293.3467741935</v>
      </c>
      <c r="F105" s="1">
        <f>IF(E105 + F104 &lt; 0, E105 + F104, 0)</f>
        <v>0</v>
      </c>
      <c r="G105" s="1">
        <v>223043.6081242532</v>
      </c>
      <c r="H105" s="1">
        <f>IF(G105 + H104 &lt; 0, G105 + H104, 0)</f>
        <v>0</v>
      </c>
      <c r="I105" s="1">
        <v>0</v>
      </c>
      <c r="J105" s="1">
        <f>IF(I105 + J104 &lt; 0, I105 + J104, 0)</f>
        <v>0</v>
      </c>
      <c r="K105" s="1">
        <v>0</v>
      </c>
      <c r="L105" s="1">
        <f>IF(K105 + L104 &lt; 0, K105 + L104, 0)</f>
        <v>0</v>
      </c>
    </row>
    <row r="106" spans="1:12" s="1" customFormat="1">
      <c r="A106" s="3">
        <v>45084</v>
      </c>
      <c r="B106" s="1" t="s">
        <v>14</v>
      </c>
      <c r="C106" s="1">
        <v>6</v>
      </c>
      <c r="D106" s="1">
        <v>13</v>
      </c>
      <c r="E106" s="1">
        <v>156746.7027392627</v>
      </c>
      <c r="F106" s="1">
        <f>IF(E106 + F105 &lt; 0, E106 + F105, 0)</f>
        <v>0</v>
      </c>
      <c r="G106" s="1">
        <v>156746.7027392627</v>
      </c>
      <c r="H106" s="1">
        <f>IF(G106 + H105 &lt; 0, G106 + H105, 0)</f>
        <v>0</v>
      </c>
      <c r="I106" s="1">
        <v>0</v>
      </c>
      <c r="J106" s="1">
        <f>IF(I106 + J105 &lt; 0, I106 + J105, 0)</f>
        <v>0</v>
      </c>
      <c r="K106" s="1">
        <v>0</v>
      </c>
      <c r="L106" s="1">
        <f>IF(K106 + L105 &lt; 0, K106 + L105, 0)</f>
        <v>0</v>
      </c>
    </row>
    <row r="107" spans="1:12" s="1" customFormat="1">
      <c r="A107" s="3">
        <v>45085</v>
      </c>
      <c r="B107" s="1" t="s">
        <v>16</v>
      </c>
      <c r="C107" s="1">
        <v>5</v>
      </c>
      <c r="D107" s="1">
        <v>12</v>
      </c>
      <c r="E107" s="1">
        <v>-260351.9976236447</v>
      </c>
      <c r="F107" s="1">
        <f>IF(E107 + F106 &lt; 0, E107 + F106, 0)</f>
        <v>0</v>
      </c>
      <c r="G107" s="1">
        <v>-741729.1697608792</v>
      </c>
      <c r="H107" s="1">
        <f>IF(G107 + H106 &lt; 0, G107 + H106, 0)</f>
        <v>0</v>
      </c>
      <c r="I107" s="1">
        <v>0</v>
      </c>
      <c r="J107" s="1">
        <f>IF(I107 + J106 &lt; 0, I107 + J106, 0)</f>
        <v>0</v>
      </c>
      <c r="K107" s="1">
        <v>0</v>
      </c>
      <c r="L107" s="1">
        <f>IF(K107 + L106 &lt; 0, K107 + L106, 0)</f>
        <v>0</v>
      </c>
    </row>
    <row r="108" spans="1:12" s="1" customFormat="1">
      <c r="A108" s="3">
        <v>45086</v>
      </c>
      <c r="B108" s="1" t="s">
        <v>15</v>
      </c>
      <c r="C108" s="1">
        <v>4</v>
      </c>
      <c r="D108" s="1">
        <v>11</v>
      </c>
      <c r="E108" s="1">
        <v>114618.8850967008</v>
      </c>
      <c r="F108" s="1">
        <f>IF(E108 + F107 &lt; 0, E108 + F107, 0)</f>
        <v>0</v>
      </c>
      <c r="G108" s="1">
        <v>116609.7838452787</v>
      </c>
      <c r="H108" s="1">
        <f>IF(G108 + H107 &lt; 0, G108 + H107, 0)</f>
        <v>0</v>
      </c>
      <c r="I108" s="1">
        <v>0</v>
      </c>
      <c r="J108" s="1">
        <f>IF(I108 + J107 &lt; 0, I108 + J107, 0)</f>
        <v>0</v>
      </c>
      <c r="K108" s="1">
        <v>0</v>
      </c>
      <c r="L108" s="1">
        <f>IF(K108 + L107 &lt; 0, K108 + L107, 0)</f>
        <v>0</v>
      </c>
    </row>
    <row r="109" spans="1:12" s="1" customFormat="1">
      <c r="A109" s="3">
        <v>45089</v>
      </c>
      <c r="B109" s="1" t="s">
        <v>12</v>
      </c>
      <c r="C109" s="1">
        <v>3</v>
      </c>
      <c r="D109" s="1">
        <v>10</v>
      </c>
      <c r="E109" s="1">
        <v>-260458.541497231</v>
      </c>
      <c r="F109" s="1">
        <f>IF(E109 + F108 &lt; 0, E109 + F108, 0)</f>
        <v>0</v>
      </c>
      <c r="G109" s="1">
        <v>-627878.4710119672</v>
      </c>
      <c r="H109" s="1">
        <f>IF(G109 + H108 &lt; 0, G109 + H108, 0)</f>
        <v>0</v>
      </c>
      <c r="I109" s="1">
        <v>0</v>
      </c>
      <c r="J109" s="1">
        <f>IF(I109 + J108 &lt; 0, I109 + J108, 0)</f>
        <v>0</v>
      </c>
      <c r="K109" s="1">
        <v>0</v>
      </c>
      <c r="L109" s="1">
        <f>IF(K109 + L108 &lt; 0, K109 + L108, 0)</f>
        <v>0</v>
      </c>
    </row>
    <row r="110" spans="1:12" s="1" customFormat="1">
      <c r="A110" s="3">
        <v>45090</v>
      </c>
      <c r="B110" s="1" t="s">
        <v>13</v>
      </c>
      <c r="C110" s="1">
        <v>2</v>
      </c>
      <c r="D110" s="1">
        <v>9</v>
      </c>
      <c r="E110" s="1">
        <v>342728.07052535</v>
      </c>
      <c r="F110" s="1">
        <f>IF(E110 + F109 &lt; 0, E110 + F109, 0)</f>
        <v>0</v>
      </c>
      <c r="G110" s="1">
        <v>370337.8674857394</v>
      </c>
      <c r="H110" s="1">
        <f>IF(G110 + H109 &lt; 0, G110 + H109, 0)</f>
        <v>0</v>
      </c>
      <c r="I110" s="1">
        <v>0</v>
      </c>
      <c r="J110" s="1">
        <f>IF(I110 + J109 &lt; 0, I110 + J109, 0)</f>
        <v>0</v>
      </c>
      <c r="K110" s="1">
        <v>0</v>
      </c>
      <c r="L110" s="1">
        <f>IF(K110 + L109 &lt; 0, K110 + L109, 0)</f>
        <v>0</v>
      </c>
    </row>
    <row r="111" spans="1:12" s="1" customFormat="1">
      <c r="A111" s="3">
        <v>45091</v>
      </c>
      <c r="B111" s="1" t="s">
        <v>14</v>
      </c>
      <c r="C111" s="1">
        <v>1</v>
      </c>
      <c r="D111" s="1">
        <v>8</v>
      </c>
      <c r="E111" s="1">
        <v>-175848.0668350496</v>
      </c>
      <c r="F111" s="1">
        <f>IF(E111 + F110 &lt; 0, E111 + F110, 0)</f>
        <v>0</v>
      </c>
      <c r="G111" s="1">
        <v>-582022.5374004275</v>
      </c>
      <c r="H111" s="1">
        <f>IF(G111 + H110 &lt; 0, G111 + H110, 0)</f>
        <v>0</v>
      </c>
      <c r="I111" s="1">
        <v>0</v>
      </c>
      <c r="J111" s="1">
        <f>IF(I111 + J110 &lt; 0, I111 + J110, 0)</f>
        <v>0</v>
      </c>
      <c r="K111" s="1">
        <v>0</v>
      </c>
      <c r="L111" s="1">
        <f>IF(K111 + L110 &lt; 0, K111 + L110, 0)</f>
        <v>0</v>
      </c>
    </row>
    <row r="112" spans="1:12" s="1" customFormat="1">
      <c r="A112" s="3">
        <v>45092</v>
      </c>
      <c r="B112" s="1" t="s">
        <v>16</v>
      </c>
      <c r="C112" s="1">
        <v>21</v>
      </c>
      <c r="D112" s="1">
        <v>7</v>
      </c>
      <c r="E112" s="1">
        <v>0</v>
      </c>
      <c r="F112" s="1">
        <f>IF(E112 + F111 &lt; 0, E112 + F111, 0)</f>
        <v>0</v>
      </c>
      <c r="G112" s="1">
        <v>0</v>
      </c>
      <c r="H112" s="1">
        <f>IF(G112 + H111 &lt; 0, G112 + H111, 0)</f>
        <v>0</v>
      </c>
      <c r="I112" s="1">
        <v>0</v>
      </c>
      <c r="J112" s="1">
        <f>IF(I112 + J111 &lt; 0, I112 + J111, 0)</f>
        <v>0</v>
      </c>
      <c r="K112" s="1">
        <v>0</v>
      </c>
      <c r="L112" s="1">
        <f>IF(K112 + L111 &lt; 0, K112 + L111, 0)</f>
        <v>0</v>
      </c>
    </row>
    <row r="113" spans="1:12" s="1" customFormat="1">
      <c r="A113" s="3">
        <v>45093</v>
      </c>
      <c r="B113" s="1" t="s">
        <v>15</v>
      </c>
      <c r="C113" s="1">
        <v>20</v>
      </c>
      <c r="D113" s="1">
        <v>6</v>
      </c>
      <c r="E113" s="1">
        <v>0</v>
      </c>
      <c r="F113" s="1">
        <f>IF(E113 + F112 &lt; 0, E113 + F112, 0)</f>
        <v>0</v>
      </c>
      <c r="G113" s="1">
        <v>0</v>
      </c>
      <c r="H113" s="1">
        <f>IF(G113 + H112 &lt; 0, G113 + H112, 0)</f>
        <v>0</v>
      </c>
      <c r="I113" s="1">
        <v>153815.4214942069</v>
      </c>
      <c r="J113" s="1">
        <f>IF(I113 + J112 &lt; 0, I113 + J112, 0)</f>
        <v>0</v>
      </c>
      <c r="K113" s="1">
        <v>153815.4214942069</v>
      </c>
      <c r="L113" s="1">
        <f>IF(K113 + L112 &lt; 0, K113 + L112, 0)</f>
        <v>0</v>
      </c>
    </row>
    <row r="114" spans="1:12" s="1" customFormat="1">
      <c r="A114" s="3">
        <v>45096</v>
      </c>
      <c r="B114" s="1" t="s">
        <v>12</v>
      </c>
      <c r="C114" s="1">
        <v>19</v>
      </c>
      <c r="D114" s="1">
        <v>5</v>
      </c>
      <c r="E114" s="1">
        <v>0</v>
      </c>
      <c r="F114" s="1">
        <f>IF(E114 + F113 &lt; 0, E114 + F113, 0)</f>
        <v>0</v>
      </c>
      <c r="G114" s="1">
        <v>0</v>
      </c>
      <c r="H114" s="1">
        <f>IF(G114 + H113 &lt; 0, G114 + H113, 0)</f>
        <v>0</v>
      </c>
      <c r="I114" s="1">
        <v>111395.8990536278</v>
      </c>
      <c r="J114" s="1">
        <f>IF(I114 + J113 &lt; 0, I114 + J113, 0)</f>
        <v>0</v>
      </c>
      <c r="K114" s="1">
        <v>111395.8990536278</v>
      </c>
      <c r="L114" s="1">
        <f>IF(K114 + L113 &lt; 0, K114 + L113, 0)</f>
        <v>0</v>
      </c>
    </row>
    <row r="115" spans="1:12" s="1" customFormat="1">
      <c r="A115" s="3">
        <v>45097</v>
      </c>
      <c r="B115" s="1" t="s">
        <v>13</v>
      </c>
      <c r="C115" s="1">
        <v>18</v>
      </c>
      <c r="D115" s="1">
        <v>4</v>
      </c>
      <c r="E115" s="1">
        <v>0</v>
      </c>
      <c r="F115" s="1">
        <f>IF(E115 + F114 &lt; 0, E115 + F114, 0)</f>
        <v>0</v>
      </c>
      <c r="G115" s="1">
        <v>0</v>
      </c>
      <c r="H115" s="1">
        <f>IF(G115 + H114 &lt; 0, G115 + H114, 0)</f>
        <v>0</v>
      </c>
      <c r="I115" s="1">
        <v>28.790786948186</v>
      </c>
      <c r="J115" s="1">
        <f>IF(I115 + J114 &lt; 0, I115 + J114, 0)</f>
        <v>0</v>
      </c>
      <c r="K115" s="1">
        <v>-64299.42418426104</v>
      </c>
      <c r="L115" s="1">
        <f>IF(K115 + L114 &lt; 0, K115 + L114, 0)</f>
        <v>0</v>
      </c>
    </row>
    <row r="116" spans="1:12" s="1" customFormat="1">
      <c r="A116" s="3">
        <v>45098</v>
      </c>
      <c r="B116" s="1" t="s">
        <v>14</v>
      </c>
      <c r="C116" s="1">
        <v>17</v>
      </c>
      <c r="D116" s="1">
        <v>3</v>
      </c>
      <c r="E116" s="1">
        <v>0</v>
      </c>
      <c r="F116" s="1">
        <f>IF(E116 + F115 &lt; 0, E116 + F115, 0)</f>
        <v>0</v>
      </c>
      <c r="G116" s="1">
        <v>0</v>
      </c>
      <c r="H116" s="1">
        <f>IF(G116 + H115 &lt; 0, G116 + H115, 0)</f>
        <v>0</v>
      </c>
      <c r="I116" s="1">
        <v>190462.6623376623</v>
      </c>
      <c r="J116" s="1">
        <f>IF(I116 + J115 &lt; 0, I116 + J115, 0)</f>
        <v>0</v>
      </c>
      <c r="K116" s="1">
        <v>190462.6623376623</v>
      </c>
      <c r="L116" s="1">
        <f>IF(K116 + L115 &lt; 0, K116 + L115, 0)</f>
        <v>0</v>
      </c>
    </row>
    <row r="117" spans="1:12" s="1" customFormat="1">
      <c r="A117" s="3">
        <v>45099</v>
      </c>
      <c r="B117" s="1" t="s">
        <v>16</v>
      </c>
      <c r="C117" s="1">
        <v>16</v>
      </c>
      <c r="D117" s="1">
        <v>2</v>
      </c>
      <c r="E117" s="1">
        <v>0</v>
      </c>
      <c r="F117" s="1">
        <f>IF(E117 + F116 &lt; 0, E117 + F116, 0)</f>
        <v>0</v>
      </c>
      <c r="G117" s="1">
        <v>0</v>
      </c>
      <c r="H117" s="1">
        <f>IF(G117 + H116 &lt; 0, G117 + H116, 0)</f>
        <v>0</v>
      </c>
      <c r="I117" s="1">
        <v>190601.6882606989</v>
      </c>
      <c r="J117" s="1">
        <f>IF(I117 + J116 &lt; 0, I117 + J116, 0)</f>
        <v>0</v>
      </c>
      <c r="K117" s="1">
        <v>183745.5830388693</v>
      </c>
      <c r="L117" s="1">
        <f>IF(K117 + L116 &lt; 0, K117 + L116, 0)</f>
        <v>0</v>
      </c>
    </row>
    <row r="118" spans="1:12" s="1" customFormat="1">
      <c r="A118" s="3">
        <v>45100</v>
      </c>
      <c r="B118" s="1" t="s">
        <v>15</v>
      </c>
      <c r="C118" s="1">
        <v>15</v>
      </c>
      <c r="D118" s="1">
        <v>1</v>
      </c>
      <c r="E118" s="1">
        <v>0</v>
      </c>
      <c r="F118" s="1">
        <f>IF(E118 + F117 &lt; 0, E118 + F117, 0)</f>
        <v>0</v>
      </c>
      <c r="G118" s="1">
        <v>0</v>
      </c>
      <c r="H118" s="1">
        <f>IF(G118 + H117 &lt; 0, G118 + H117, 0)</f>
        <v>0</v>
      </c>
      <c r="I118" s="1">
        <v>-118623.2449297972</v>
      </c>
      <c r="J118" s="1">
        <f>IF(I118 + J117 &lt; 0, I118 + J117, 0)</f>
        <v>0</v>
      </c>
      <c r="K118" s="1">
        <v>-123868.9547581903</v>
      </c>
      <c r="L118" s="1">
        <f>IF(K118 + L117 &lt; 0, K118 + L117, 0)</f>
        <v>0</v>
      </c>
    </row>
    <row r="119" spans="1:12" s="1" customFormat="1">
      <c r="A119" s="3">
        <v>45103</v>
      </c>
      <c r="B119" s="1" t="s">
        <v>12</v>
      </c>
      <c r="C119" s="1">
        <v>14</v>
      </c>
      <c r="D119" s="1">
        <v>19</v>
      </c>
      <c r="E119" s="1">
        <v>0</v>
      </c>
      <c r="F119" s="1">
        <f>IF(E119 + F118 &lt; 0, E119 + F118, 0)</f>
        <v>0</v>
      </c>
      <c r="G119" s="1">
        <v>0</v>
      </c>
      <c r="H119" s="1">
        <f>IF(G119 + H118 &lt; 0, G119 + H118, 0)</f>
        <v>0</v>
      </c>
      <c r="I119" s="1">
        <v>0</v>
      </c>
      <c r="J119" s="1">
        <f>IF(I119 + J118 &lt; 0, I119 + J118, 0)</f>
        <v>0</v>
      </c>
      <c r="K119" s="1">
        <v>0</v>
      </c>
      <c r="L119" s="1">
        <f>IF(K119 + L118 &lt; 0, K119 + L118, 0)</f>
        <v>0</v>
      </c>
    </row>
    <row r="120" spans="1:12" s="1" customFormat="1">
      <c r="A120" s="3">
        <v>45104</v>
      </c>
      <c r="B120" s="1" t="s">
        <v>13</v>
      </c>
      <c r="C120" s="1">
        <v>13</v>
      </c>
      <c r="D120" s="1">
        <v>18</v>
      </c>
      <c r="E120" s="1">
        <v>0</v>
      </c>
      <c r="F120" s="1">
        <f>IF(E120 + F119 &lt; 0, E120 + F119, 0)</f>
        <v>0</v>
      </c>
      <c r="G120" s="1">
        <v>0</v>
      </c>
      <c r="H120" s="1">
        <f>IF(G120 + H119 &lt; 0, G120 + H119, 0)</f>
        <v>0</v>
      </c>
      <c r="I120" s="1">
        <v>0</v>
      </c>
      <c r="J120" s="1">
        <f>IF(I120 + J119 &lt; 0, I120 + J119, 0)</f>
        <v>0</v>
      </c>
      <c r="K120" s="1">
        <v>0</v>
      </c>
      <c r="L120" s="1">
        <f>IF(K120 + L119 &lt; 0, K120 + L119, 0)</f>
        <v>0</v>
      </c>
    </row>
    <row r="121" spans="1:12" s="1" customFormat="1">
      <c r="A121" s="3">
        <v>45105</v>
      </c>
      <c r="B121" s="1" t="s">
        <v>14</v>
      </c>
      <c r="C121" s="1">
        <v>12</v>
      </c>
      <c r="D121" s="1">
        <v>17</v>
      </c>
      <c r="E121" s="1">
        <v>0</v>
      </c>
      <c r="F121" s="1">
        <f>IF(E121 + F120 &lt; 0, E121 + F120, 0)</f>
        <v>0</v>
      </c>
      <c r="G121" s="1">
        <v>0</v>
      </c>
      <c r="H121" s="1">
        <f>IF(G121 + H120 &lt; 0, G121 + H120, 0)</f>
        <v>0</v>
      </c>
      <c r="I121" s="1">
        <v>0</v>
      </c>
      <c r="J121" s="1">
        <f>IF(I121 + J120 &lt; 0, I121 + J120, 0)</f>
        <v>0</v>
      </c>
      <c r="K121" s="1">
        <v>0</v>
      </c>
      <c r="L121" s="1">
        <f>IF(K121 + L120 &lt; 0, K121 + L120, 0)</f>
        <v>0</v>
      </c>
    </row>
    <row r="122" spans="1:12" s="1" customFormat="1">
      <c r="A122" s="3">
        <v>45106</v>
      </c>
      <c r="B122" s="1" t="s">
        <v>16</v>
      </c>
      <c r="C122" s="1">
        <v>11</v>
      </c>
      <c r="D122" s="1">
        <v>16</v>
      </c>
      <c r="E122" s="1">
        <v>0</v>
      </c>
      <c r="F122" s="1">
        <f>IF(E122 + F121 &lt; 0, E122 + F121, 0)</f>
        <v>0</v>
      </c>
      <c r="G122" s="1">
        <v>0</v>
      </c>
      <c r="H122" s="1">
        <f>IF(G122 + H121 &lt; 0, G122 + H121, 0)</f>
        <v>0</v>
      </c>
      <c r="I122" s="1">
        <v>0</v>
      </c>
      <c r="J122" s="1">
        <f>IF(I122 + J121 &lt; 0, I122 + J121, 0)</f>
        <v>0</v>
      </c>
      <c r="K122" s="1">
        <v>0</v>
      </c>
      <c r="L122" s="1">
        <f>IF(K122 + L121 &lt; 0, K122 + L121, 0)</f>
        <v>0</v>
      </c>
    </row>
    <row r="123" spans="1:12" s="1" customFormat="1">
      <c r="A123" s="3">
        <v>45107</v>
      </c>
      <c r="B123" s="1" t="s">
        <v>15</v>
      </c>
      <c r="C123" s="1">
        <v>10</v>
      </c>
      <c r="D123" s="1">
        <v>15</v>
      </c>
      <c r="E123" s="1">
        <v>126325.5311764933</v>
      </c>
      <c r="F123" s="1">
        <f>IF(E123 + F122 &lt; 0, E123 + F122, 0)</f>
        <v>0</v>
      </c>
      <c r="G123" s="1">
        <v>126325.5311764933</v>
      </c>
      <c r="H123" s="1">
        <f>IF(G123 + H122 &lt; 0, G123 + H122, 0)</f>
        <v>0</v>
      </c>
      <c r="I123" s="1">
        <v>0</v>
      </c>
      <c r="J123" s="1">
        <f>IF(I123 + J122 &lt; 0, I123 + J122, 0)</f>
        <v>0</v>
      </c>
      <c r="K123" s="1">
        <v>0</v>
      </c>
      <c r="L123" s="1">
        <f>IF(K123 + L122 &lt; 0, K123 + L122, 0)</f>
        <v>0</v>
      </c>
    </row>
    <row r="124" spans="1:12" s="1" customFormat="1">
      <c r="A124" s="3">
        <v>45110</v>
      </c>
      <c r="B124" s="1" t="s">
        <v>12</v>
      </c>
      <c r="C124" s="1">
        <v>9</v>
      </c>
      <c r="D124" s="1">
        <v>14</v>
      </c>
      <c r="E124" s="1">
        <v>32927.48296194194</v>
      </c>
      <c r="F124" s="1">
        <f>IF(E124 + F123 &lt; 0, E124 + F123, 0)</f>
        <v>0</v>
      </c>
      <c r="G124" s="1">
        <v>32927.48296194194</v>
      </c>
      <c r="H124" s="1">
        <f>IF(G124 + H123 &lt; 0, G124 + H123, 0)</f>
        <v>0</v>
      </c>
      <c r="I124" s="1">
        <v>0</v>
      </c>
      <c r="J124" s="1">
        <f>IF(I124 + J123 &lt; 0, I124 + J123, 0)</f>
        <v>0</v>
      </c>
      <c r="K124" s="1">
        <v>0</v>
      </c>
      <c r="L124" s="1">
        <f>IF(K124 + L123 &lt; 0, K124 + L123, 0)</f>
        <v>0</v>
      </c>
    </row>
    <row r="125" spans="1:12" s="1" customFormat="1">
      <c r="A125" s="3">
        <v>45112</v>
      </c>
      <c r="B125" s="1" t="s">
        <v>14</v>
      </c>
      <c r="C125" s="1">
        <v>8</v>
      </c>
      <c r="D125" s="1">
        <v>13</v>
      </c>
      <c r="E125" s="1">
        <v>119299.3168721139</v>
      </c>
      <c r="F125" s="1">
        <f>IF(E125 + F124 &lt; 0, E125 + F124, 0)</f>
        <v>0</v>
      </c>
      <c r="G125" s="1">
        <v>119299.3168721139</v>
      </c>
      <c r="H125" s="1">
        <f>IF(G125 + H124 &lt; 0, G125 + H124, 0)</f>
        <v>0</v>
      </c>
      <c r="I125" s="1">
        <v>0</v>
      </c>
      <c r="J125" s="1">
        <f>IF(I125 + J124 &lt; 0, I125 + J124, 0)</f>
        <v>0</v>
      </c>
      <c r="K125" s="1">
        <v>0</v>
      </c>
      <c r="L125" s="1">
        <f>IF(K125 + L124 &lt; 0, K125 + L124, 0)</f>
        <v>0</v>
      </c>
    </row>
    <row r="126" spans="1:12" s="1" customFormat="1">
      <c r="A126" s="3">
        <v>45113</v>
      </c>
      <c r="B126" s="1" t="s">
        <v>16</v>
      </c>
      <c r="C126" s="1">
        <v>7</v>
      </c>
      <c r="D126" s="1">
        <v>12</v>
      </c>
      <c r="E126" s="1">
        <v>313710.4038432668</v>
      </c>
      <c r="F126" s="1">
        <f>IF(E126 + F125 &lt; 0, E126 + F125, 0)</f>
        <v>0</v>
      </c>
      <c r="G126" s="1">
        <v>313710.4038432668</v>
      </c>
      <c r="H126" s="1">
        <f>IF(G126 + H125 &lt; 0, G126 + H125, 0)</f>
        <v>0</v>
      </c>
      <c r="I126" s="1">
        <v>0</v>
      </c>
      <c r="J126" s="1">
        <f>IF(I126 + J125 &lt; 0, I126 + J125, 0)</f>
        <v>0</v>
      </c>
      <c r="K126" s="1">
        <v>0</v>
      </c>
      <c r="L126" s="1">
        <f>IF(K126 + L125 &lt; 0, K126 + L125, 0)</f>
        <v>0</v>
      </c>
    </row>
    <row r="127" spans="1:12" s="1" customFormat="1">
      <c r="A127" s="3">
        <v>45114</v>
      </c>
      <c r="B127" s="1" t="s">
        <v>15</v>
      </c>
      <c r="C127" s="1">
        <v>6</v>
      </c>
      <c r="D127" s="1">
        <v>11</v>
      </c>
      <c r="E127" s="1">
        <v>97599.67149469913</v>
      </c>
      <c r="F127" s="1">
        <f>IF(E127 + F126 &lt; 0, E127 + F126, 0)</f>
        <v>0</v>
      </c>
      <c r="G127" s="1">
        <v>97599.67149469913</v>
      </c>
      <c r="H127" s="1">
        <f>IF(G127 + H126 &lt; 0, G127 + H126, 0)</f>
        <v>0</v>
      </c>
      <c r="I127" s="1">
        <v>0</v>
      </c>
      <c r="J127" s="1">
        <f>IF(I127 + J126 &lt; 0, I127 + J126, 0)</f>
        <v>0</v>
      </c>
      <c r="K127" s="1">
        <v>0</v>
      </c>
      <c r="L127" s="1">
        <f>IF(K127 + L126 &lt; 0, K127 + L126, 0)</f>
        <v>0</v>
      </c>
    </row>
    <row r="128" spans="1:12" s="1" customFormat="1">
      <c r="A128" s="3">
        <v>45117</v>
      </c>
      <c r="B128" s="1" t="s">
        <v>12</v>
      </c>
      <c r="C128" s="1">
        <v>5</v>
      </c>
      <c r="D128" s="1">
        <v>10</v>
      </c>
      <c r="E128" s="1">
        <v>162486.2486248625</v>
      </c>
      <c r="F128" s="1">
        <f>IF(E128 + F127 &lt; 0, E128 + F127, 0)</f>
        <v>0</v>
      </c>
      <c r="G128" s="1">
        <v>162486.2486248625</v>
      </c>
      <c r="H128" s="1">
        <f>IF(G128 + H127 &lt; 0, G128 + H127, 0)</f>
        <v>0</v>
      </c>
      <c r="I128" s="1">
        <v>0</v>
      </c>
      <c r="J128" s="1">
        <f>IF(I128 + J127 &lt; 0, I128 + J127, 0)</f>
        <v>0</v>
      </c>
      <c r="K128" s="1">
        <v>0</v>
      </c>
      <c r="L128" s="1">
        <f>IF(K128 + L127 &lt; 0, K128 + L127, 0)</f>
        <v>0</v>
      </c>
    </row>
    <row r="129" spans="1:12" s="1" customFormat="1">
      <c r="A129" s="3">
        <v>45118</v>
      </c>
      <c r="B129" s="1" t="s">
        <v>13</v>
      </c>
      <c r="C129" s="1">
        <v>4</v>
      </c>
      <c r="D129" s="1">
        <v>9</v>
      </c>
      <c r="E129" s="1">
        <v>43126.67474213557</v>
      </c>
      <c r="F129" s="1">
        <f>IF(E129 + F128 &lt; 0, E129 + F128, 0)</f>
        <v>0</v>
      </c>
      <c r="G129" s="1">
        <v>49095.18041331716</v>
      </c>
      <c r="H129" s="1">
        <f>IF(G129 + H128 &lt; 0, G129 + H128, 0)</f>
        <v>0</v>
      </c>
      <c r="I129" s="1">
        <v>0</v>
      </c>
      <c r="J129" s="1">
        <f>IF(I129 + J128 &lt; 0, I129 + J128, 0)</f>
        <v>0</v>
      </c>
      <c r="K129" s="1">
        <v>0</v>
      </c>
      <c r="L129" s="1">
        <f>IF(K129 + L128 &lt; 0, K129 + L128, 0)</f>
        <v>0</v>
      </c>
    </row>
    <row r="130" spans="1:12" s="1" customFormat="1">
      <c r="A130" s="3">
        <v>45119</v>
      </c>
      <c r="B130" s="1" t="s">
        <v>14</v>
      </c>
      <c r="C130" s="1">
        <v>3</v>
      </c>
      <c r="D130" s="1">
        <v>8</v>
      </c>
      <c r="E130" s="1">
        <v>295893.371757925</v>
      </c>
      <c r="F130" s="1">
        <f>IF(E130 + F129 &lt; 0, E130 + F129, 0)</f>
        <v>0</v>
      </c>
      <c r="G130" s="1">
        <v>295893.371757925</v>
      </c>
      <c r="H130" s="1">
        <f>IF(G130 + H129 &lt; 0, G130 + H129, 0)</f>
        <v>0</v>
      </c>
      <c r="I130" s="1">
        <v>0</v>
      </c>
      <c r="J130" s="1">
        <f>IF(I130 + J129 &lt; 0, I130 + J129, 0)</f>
        <v>0</v>
      </c>
      <c r="K130" s="1">
        <v>0</v>
      </c>
      <c r="L130" s="1">
        <f>IF(K130 + L129 &lt; 0, K130 + L129, 0)</f>
        <v>0</v>
      </c>
    </row>
    <row r="131" spans="1:12" s="1" customFormat="1">
      <c r="A131" s="3">
        <v>45120</v>
      </c>
      <c r="B131" s="1" t="s">
        <v>16</v>
      </c>
      <c r="C131" s="1">
        <v>2</v>
      </c>
      <c r="D131" s="1">
        <v>7</v>
      </c>
      <c r="E131" s="1">
        <v>341017.6864926544</v>
      </c>
      <c r="F131" s="1">
        <f>IF(E131 + F130 &lt; 0, E131 + F130, 0)</f>
        <v>0</v>
      </c>
      <c r="G131" s="1">
        <v>341017.6864926544</v>
      </c>
      <c r="H131" s="1">
        <f>IF(G131 + H130 &lt; 0, G131 + H130, 0)</f>
        <v>0</v>
      </c>
      <c r="I131" s="1">
        <v>0</v>
      </c>
      <c r="J131" s="1">
        <f>IF(I131 + J130 &lt; 0, I131 + J130, 0)</f>
        <v>0</v>
      </c>
      <c r="K131" s="1">
        <v>0</v>
      </c>
      <c r="L131" s="1">
        <f>IF(K131 + L130 &lt; 0, K131 + L130, 0)</f>
        <v>0</v>
      </c>
    </row>
    <row r="132" spans="1:12" s="1" customFormat="1">
      <c r="A132" s="3">
        <v>45124</v>
      </c>
      <c r="B132" s="1" t="s">
        <v>12</v>
      </c>
      <c r="C132" s="1">
        <v>1</v>
      </c>
      <c r="D132" s="1">
        <v>6</v>
      </c>
      <c r="E132" s="1">
        <v>361408.6620151115</v>
      </c>
      <c r="F132" s="1">
        <f>IF(E132 + F131 &lt; 0, E132 + F131, 0)</f>
        <v>0</v>
      </c>
      <c r="G132" s="1">
        <v>505014.2800332598</v>
      </c>
      <c r="H132" s="1">
        <f>IF(G132 + H131 &lt; 0, G132 + H131, 0)</f>
        <v>0</v>
      </c>
      <c r="I132" s="1">
        <v>134882.7969805324</v>
      </c>
      <c r="J132" s="1">
        <f>IF(I132 + J131 &lt; 0, I132 + J131, 0)</f>
        <v>0</v>
      </c>
      <c r="K132" s="1">
        <v>134882.7969805324</v>
      </c>
      <c r="L132" s="1">
        <f>IF(K132 + L131 &lt; 0, K132 + L131, 0)</f>
        <v>0</v>
      </c>
    </row>
    <row r="133" spans="1:12" s="1" customFormat="1">
      <c r="A133" s="3">
        <v>45125</v>
      </c>
      <c r="B133" s="1" t="s">
        <v>13</v>
      </c>
      <c r="C133" s="1">
        <v>22</v>
      </c>
      <c r="D133" s="1">
        <v>5</v>
      </c>
      <c r="E133" s="1">
        <v>0</v>
      </c>
      <c r="F133" s="1">
        <f>IF(E133 + F132 &lt; 0, E133 + F132, 0)</f>
        <v>0</v>
      </c>
      <c r="G133" s="1">
        <v>0</v>
      </c>
      <c r="H133" s="1">
        <f>IF(G133 + H132 &lt; 0, G133 + H132, 0)</f>
        <v>0</v>
      </c>
      <c r="I133" s="1">
        <v>23780.97521982414</v>
      </c>
      <c r="J133" s="1">
        <f>IF(I133 + J132 &lt; 0, I133 + J132, 0)</f>
        <v>0</v>
      </c>
      <c r="K133" s="1">
        <v>23780.97521982414</v>
      </c>
      <c r="L133" s="1">
        <f>IF(K133 + L132 &lt; 0, K133 + L132, 0)</f>
        <v>0</v>
      </c>
    </row>
    <row r="134" spans="1:12" s="1" customFormat="1">
      <c r="A134" s="3">
        <v>45126</v>
      </c>
      <c r="B134" s="1" t="s">
        <v>14</v>
      </c>
      <c r="C134" s="1">
        <v>21</v>
      </c>
      <c r="D134" s="1">
        <v>4</v>
      </c>
      <c r="E134" s="1">
        <v>0</v>
      </c>
      <c r="F134" s="1">
        <f>IF(E134 + F133 &lt; 0, E134 + F133, 0)</f>
        <v>0</v>
      </c>
      <c r="G134" s="1">
        <v>0</v>
      </c>
      <c r="H134" s="1">
        <f>IF(G134 + H133 &lt; 0, G134 + H133, 0)</f>
        <v>0</v>
      </c>
      <c r="I134" s="1">
        <v>148919.7530864197</v>
      </c>
      <c r="J134" s="1">
        <f>IF(I134 + J133 &lt; 0, I134 + J133, 0)</f>
        <v>0</v>
      </c>
      <c r="K134" s="1">
        <v>148919.7530864197</v>
      </c>
      <c r="L134" s="1">
        <f>IF(K134 + L133 &lt; 0, K134 + L133, 0)</f>
        <v>0</v>
      </c>
    </row>
    <row r="135" spans="1:12" s="1" customFormat="1">
      <c r="A135" s="3">
        <v>45127</v>
      </c>
      <c r="B135" s="1" t="s">
        <v>16</v>
      </c>
      <c r="C135" s="1">
        <v>20</v>
      </c>
      <c r="D135" s="1">
        <v>3</v>
      </c>
      <c r="E135" s="1">
        <v>0</v>
      </c>
      <c r="F135" s="1">
        <f>IF(E135 + F134 &lt; 0, E135 + F134, 0)</f>
        <v>0</v>
      </c>
      <c r="G135" s="1">
        <v>0</v>
      </c>
      <c r="H135" s="1">
        <f>IF(G135 + H134 &lt; 0, G135 + H134, 0)</f>
        <v>0</v>
      </c>
      <c r="I135" s="1">
        <v>-118783.731688512</v>
      </c>
      <c r="J135" s="1">
        <f>IF(I135 + J134 &lt; 0, I135 + J134, 0)</f>
        <v>0</v>
      </c>
      <c r="K135" s="1">
        <v>41056.28373168852</v>
      </c>
      <c r="L135" s="1">
        <f>IF(K135 + L134 &lt; 0, K135 + L134, 0)</f>
        <v>0</v>
      </c>
    </row>
    <row r="136" spans="1:12" s="1" customFormat="1">
      <c r="A136" s="3">
        <v>45128</v>
      </c>
      <c r="B136" s="1" t="s">
        <v>15</v>
      </c>
      <c r="C136" s="1">
        <v>19</v>
      </c>
      <c r="D136" s="1">
        <v>2</v>
      </c>
      <c r="E136" s="1">
        <v>0</v>
      </c>
      <c r="F136" s="1">
        <f>IF(E136 + F135 &lt; 0, E136 + F135, 0)</f>
        <v>0</v>
      </c>
      <c r="G136" s="1">
        <v>0</v>
      </c>
      <c r="H136" s="1">
        <f>IF(G136 + H135 &lt; 0, G136 + H135, 0)</f>
        <v>0</v>
      </c>
      <c r="I136" s="1">
        <v>58943.0894308943</v>
      </c>
      <c r="J136" s="1">
        <f>IF(I136 + J135 &lt; 0, I136 + J135, 0)</f>
        <v>0</v>
      </c>
      <c r="K136" s="1">
        <v>58943.0894308943</v>
      </c>
      <c r="L136" s="1">
        <f>IF(K136 + L135 &lt; 0, K136 + L135, 0)</f>
        <v>0</v>
      </c>
    </row>
    <row r="137" spans="1:12" s="1" customFormat="1">
      <c r="A137" s="3">
        <v>45131</v>
      </c>
      <c r="B137" s="1" t="s">
        <v>12</v>
      </c>
      <c r="C137" s="1">
        <v>18</v>
      </c>
      <c r="D137" s="1">
        <v>1</v>
      </c>
      <c r="E137" s="1">
        <v>0</v>
      </c>
      <c r="F137" s="1">
        <f>IF(E137 + F136 &lt; 0, E137 + F136, 0)</f>
        <v>0</v>
      </c>
      <c r="G137" s="1">
        <v>0</v>
      </c>
      <c r="H137" s="1">
        <f>IF(G137 + H136 &lt; 0, G137 + H136, 0)</f>
        <v>0</v>
      </c>
      <c r="I137" s="1">
        <v>-158480.9649453449</v>
      </c>
      <c r="J137" s="1">
        <f>IF(I137 + J136 &lt; 0, I137 + J136, 0)</f>
        <v>0</v>
      </c>
      <c r="K137" s="1">
        <v>192122.125895213</v>
      </c>
      <c r="L137" s="1">
        <f>IF(K137 + L136 &lt; 0, K137 + L136, 0)</f>
        <v>0</v>
      </c>
    </row>
    <row r="138" spans="1:12" s="1" customFormat="1">
      <c r="A138" s="3">
        <v>45132</v>
      </c>
      <c r="B138" s="1" t="s">
        <v>13</v>
      </c>
      <c r="C138" s="1">
        <v>17</v>
      </c>
      <c r="D138" s="1">
        <v>22</v>
      </c>
      <c r="E138" s="1">
        <v>0</v>
      </c>
      <c r="F138" s="1">
        <f>IF(E138 + F137 &lt; 0, E138 + F137, 0)</f>
        <v>0</v>
      </c>
      <c r="G138" s="1">
        <v>0</v>
      </c>
      <c r="H138" s="1">
        <f>IF(G138 + H137 &lt; 0, G138 + H137, 0)</f>
        <v>0</v>
      </c>
      <c r="I138" s="1">
        <v>0</v>
      </c>
      <c r="J138" s="1">
        <f>IF(I138 + J137 &lt; 0, I138 + J137, 0)</f>
        <v>0</v>
      </c>
      <c r="K138" s="1">
        <v>0</v>
      </c>
      <c r="L138" s="1">
        <f>IF(K138 + L137 &lt; 0, K138 + L137, 0)</f>
        <v>0</v>
      </c>
    </row>
    <row r="139" spans="1:12" s="1" customFormat="1">
      <c r="A139" s="3">
        <v>45133</v>
      </c>
      <c r="B139" s="1" t="s">
        <v>14</v>
      </c>
      <c r="C139" s="1">
        <v>16</v>
      </c>
      <c r="D139" s="1">
        <v>21</v>
      </c>
      <c r="E139" s="1">
        <v>0</v>
      </c>
      <c r="F139" s="1">
        <f>IF(E139 + F138 &lt; 0, E139 + F138, 0)</f>
        <v>0</v>
      </c>
      <c r="G139" s="1">
        <v>0</v>
      </c>
      <c r="H139" s="1">
        <f>IF(G139 + H138 &lt; 0, G139 + H138, 0)</f>
        <v>0</v>
      </c>
      <c r="I139" s="1">
        <v>0</v>
      </c>
      <c r="J139" s="1">
        <f>IF(I139 + J138 &lt; 0, I139 + J138, 0)</f>
        <v>0</v>
      </c>
      <c r="K139" s="1">
        <v>0</v>
      </c>
      <c r="L139" s="1">
        <f>IF(K139 + L138 &lt; 0, K139 + L138, 0)</f>
        <v>0</v>
      </c>
    </row>
    <row r="140" spans="1:12" s="1" customFormat="1">
      <c r="A140" s="3">
        <v>45134</v>
      </c>
      <c r="B140" s="1" t="s">
        <v>16</v>
      </c>
      <c r="C140" s="1">
        <v>15</v>
      </c>
      <c r="D140" s="1">
        <v>20</v>
      </c>
      <c r="E140" s="1">
        <v>0</v>
      </c>
      <c r="F140" s="1">
        <f>IF(E140 + F139 &lt; 0, E140 + F139, 0)</f>
        <v>0</v>
      </c>
      <c r="G140" s="1">
        <v>0</v>
      </c>
      <c r="H140" s="1">
        <f>IF(G140 + H139 &lt; 0, G140 + H139, 0)</f>
        <v>0</v>
      </c>
      <c r="I140" s="1">
        <v>0</v>
      </c>
      <c r="J140" s="1">
        <f>IF(I140 + J139 &lt; 0, I140 + J139, 0)</f>
        <v>0</v>
      </c>
      <c r="K140" s="1">
        <v>0</v>
      </c>
      <c r="L140" s="1">
        <f>IF(K140 + L139 &lt; 0, K140 + L139, 0)</f>
        <v>0</v>
      </c>
    </row>
    <row r="141" spans="1:12" s="1" customFormat="1">
      <c r="A141" s="3">
        <v>45135</v>
      </c>
      <c r="B141" s="1" t="s">
        <v>15</v>
      </c>
      <c r="C141" s="1">
        <v>14</v>
      </c>
      <c r="D141" s="1">
        <v>19</v>
      </c>
      <c r="E141" s="1">
        <v>0</v>
      </c>
      <c r="F141" s="1">
        <f>IF(E141 + F140 &lt; 0, E141 + F140, 0)</f>
        <v>0</v>
      </c>
      <c r="G141" s="1">
        <v>0</v>
      </c>
      <c r="H141" s="1">
        <f>IF(G141 + H140 &lt; 0, G141 + H140, 0)</f>
        <v>0</v>
      </c>
      <c r="I141" s="1">
        <v>0</v>
      </c>
      <c r="J141" s="1">
        <f>IF(I141 + J140 &lt; 0, I141 + J140, 0)</f>
        <v>0</v>
      </c>
      <c r="K141" s="1">
        <v>0</v>
      </c>
      <c r="L141" s="1">
        <f>IF(K141 + L140 &lt; 0, K141 + L140, 0)</f>
        <v>0</v>
      </c>
    </row>
    <row r="142" spans="1:12" s="1" customFormat="1">
      <c r="A142" s="3">
        <v>45138</v>
      </c>
      <c r="B142" s="1" t="s">
        <v>12</v>
      </c>
      <c r="C142" s="1">
        <v>13</v>
      </c>
      <c r="D142" s="1">
        <v>18</v>
      </c>
      <c r="E142" s="1">
        <v>0</v>
      </c>
      <c r="F142" s="1">
        <f>IF(E142 + F141 &lt; 0, E142 + F141, 0)</f>
        <v>0</v>
      </c>
      <c r="G142" s="1">
        <v>0</v>
      </c>
      <c r="H142" s="1">
        <f>IF(G142 + H141 &lt; 0, G142 + H141, 0)</f>
        <v>0</v>
      </c>
      <c r="I142" s="1">
        <v>0</v>
      </c>
      <c r="J142" s="1">
        <f>IF(I142 + J141 &lt; 0, I142 + J141, 0)</f>
        <v>0</v>
      </c>
      <c r="K142" s="1">
        <v>0</v>
      </c>
      <c r="L142" s="1">
        <f>IF(K142 + L141 &lt; 0, K142 + L141, 0)</f>
        <v>0</v>
      </c>
    </row>
    <row r="143" spans="1:12" s="1" customFormat="1">
      <c r="A143" s="3">
        <v>45139</v>
      </c>
      <c r="B143" s="1" t="s">
        <v>13</v>
      </c>
      <c r="C143" s="1">
        <v>12</v>
      </c>
      <c r="D143" s="1">
        <v>17</v>
      </c>
      <c r="E143" s="1">
        <v>0</v>
      </c>
      <c r="F143" s="1">
        <f>IF(E143 + F142 &lt; 0, E143 + F142, 0)</f>
        <v>0</v>
      </c>
      <c r="G143" s="1">
        <v>0</v>
      </c>
      <c r="H143" s="1">
        <f>IF(G143 + H142 &lt; 0, G143 + H142, 0)</f>
        <v>0</v>
      </c>
      <c r="I143" s="1">
        <v>0</v>
      </c>
      <c r="J143" s="1">
        <f>IF(I143 + J142 &lt; 0, I143 + J142, 0)</f>
        <v>0</v>
      </c>
      <c r="K143" s="1">
        <v>0</v>
      </c>
      <c r="L143" s="1">
        <f>IF(K143 + L142 &lt; 0, K143 + L142, 0)</f>
        <v>0</v>
      </c>
    </row>
    <row r="144" spans="1:12" s="1" customFormat="1">
      <c r="A144" s="3">
        <v>45140</v>
      </c>
      <c r="B144" s="1" t="s">
        <v>14</v>
      </c>
      <c r="C144" s="1">
        <v>11</v>
      </c>
      <c r="D144" s="1">
        <v>16</v>
      </c>
      <c r="E144" s="1">
        <v>0</v>
      </c>
      <c r="F144" s="1">
        <f>IF(E144 + F143 &lt; 0, E144 + F143, 0)</f>
        <v>0</v>
      </c>
      <c r="G144" s="1">
        <v>0</v>
      </c>
      <c r="H144" s="1">
        <f>IF(G144 + H143 &lt; 0, G144 + H143, 0)</f>
        <v>0</v>
      </c>
      <c r="I144" s="1">
        <v>0</v>
      </c>
      <c r="J144" s="1">
        <f>IF(I144 + J143 &lt; 0, I144 + J143, 0)</f>
        <v>0</v>
      </c>
      <c r="K144" s="1">
        <v>0</v>
      </c>
      <c r="L144" s="1">
        <f>IF(K144 + L143 &lt; 0, K144 + L143, 0)</f>
        <v>0</v>
      </c>
    </row>
    <row r="145" spans="1:12" s="1" customFormat="1">
      <c r="A145" s="3">
        <v>45141</v>
      </c>
      <c r="B145" s="1" t="s">
        <v>16</v>
      </c>
      <c r="C145" s="1">
        <v>10</v>
      </c>
      <c r="D145" s="1">
        <v>15</v>
      </c>
      <c r="E145" s="1">
        <v>-123156.3048467667</v>
      </c>
      <c r="F145" s="1">
        <f>IF(E145 + F144 &lt; 0, E145 + F144, 0)</f>
        <v>0</v>
      </c>
      <c r="G145" s="1">
        <v>-282975.5636560012</v>
      </c>
      <c r="H145" s="1">
        <f>IF(G145 + H144 &lt; 0, G145 + H144, 0)</f>
        <v>0</v>
      </c>
      <c r="I145" s="1">
        <v>0</v>
      </c>
      <c r="J145" s="1">
        <f>IF(I145 + J144 &lt; 0, I145 + J144, 0)</f>
        <v>0</v>
      </c>
      <c r="K145" s="1">
        <v>0</v>
      </c>
      <c r="L145" s="1">
        <f>IF(K145 + L144 &lt; 0, K145 + L144, 0)</f>
        <v>0</v>
      </c>
    </row>
    <row r="146" spans="1:12" s="1" customFormat="1">
      <c r="A146" s="3">
        <v>45142</v>
      </c>
      <c r="B146" s="1" t="s">
        <v>15</v>
      </c>
      <c r="C146" s="1">
        <v>9</v>
      </c>
      <c r="D146" s="1">
        <v>14</v>
      </c>
      <c r="E146" s="1">
        <v>-1659.873783854836</v>
      </c>
      <c r="F146" s="1">
        <f>IF(E146 + F145 &lt; 0, E146 + F145, 0)</f>
        <v>0</v>
      </c>
      <c r="G146" s="1">
        <v>-1659.873783854836</v>
      </c>
      <c r="H146" s="1">
        <f>IF(G146 + H145 &lt; 0, G146 + H145, 0)</f>
        <v>0</v>
      </c>
      <c r="I146" s="1">
        <v>0</v>
      </c>
      <c r="J146" s="1">
        <f>IF(I146 + J145 &lt; 0, I146 + J145, 0)</f>
        <v>0</v>
      </c>
      <c r="K146" s="1">
        <v>0</v>
      </c>
      <c r="L146" s="1">
        <f>IF(K146 + L145 &lt; 0, K146 + L145, 0)</f>
        <v>0</v>
      </c>
    </row>
    <row r="147" spans="1:12" s="1" customFormat="1">
      <c r="A147" s="3">
        <v>45145</v>
      </c>
      <c r="B147" s="1" t="s">
        <v>12</v>
      </c>
      <c r="C147" s="1">
        <v>8</v>
      </c>
      <c r="D147" s="1">
        <v>13</v>
      </c>
      <c r="E147" s="1">
        <v>130819.1403081914</v>
      </c>
      <c r="F147" s="1">
        <f>IF(E147 + F146 &lt; 0, E147 + F146, 0)</f>
        <v>0</v>
      </c>
      <c r="G147" s="1">
        <v>130819.1403081914</v>
      </c>
      <c r="H147" s="1">
        <f>IF(G147 + H146 &lt; 0, G147 + H146, 0)</f>
        <v>0</v>
      </c>
      <c r="I147" s="1">
        <v>0</v>
      </c>
      <c r="J147" s="1">
        <f>IF(I147 + J146 &lt; 0, I147 + J146, 0)</f>
        <v>0</v>
      </c>
      <c r="K147" s="1">
        <v>0</v>
      </c>
      <c r="L147" s="1">
        <f>IF(K147 + L146 &lt; 0, K147 + L146, 0)</f>
        <v>0</v>
      </c>
    </row>
    <row r="148" spans="1:12" s="1" customFormat="1">
      <c r="A148" s="3">
        <v>45146</v>
      </c>
      <c r="B148" s="1" t="s">
        <v>13</v>
      </c>
      <c r="C148" s="1">
        <v>7</v>
      </c>
      <c r="D148" s="1">
        <v>12</v>
      </c>
      <c r="E148" s="1">
        <v>-81997.94178182882</v>
      </c>
      <c r="F148" s="1">
        <f>IF(E148 + F147 &lt; 0, E148 + F147, 0)</f>
        <v>0</v>
      </c>
      <c r="G148" s="1">
        <v>-242984.0896468358</v>
      </c>
      <c r="H148" s="1">
        <f>IF(G148 + H147 &lt; 0, G148 + H147, 0)</f>
        <v>0</v>
      </c>
      <c r="I148" s="1">
        <v>0</v>
      </c>
      <c r="J148" s="1">
        <f>IF(I148 + J147 &lt; 0, I148 + J147, 0)</f>
        <v>0</v>
      </c>
      <c r="K148" s="1">
        <v>0</v>
      </c>
      <c r="L148" s="1">
        <f>IF(K148 + L147 &lt; 0, K148 + L147, 0)</f>
        <v>0</v>
      </c>
    </row>
    <row r="149" spans="1:12" s="1" customFormat="1">
      <c r="A149" s="3">
        <v>45147</v>
      </c>
      <c r="B149" s="1" t="s">
        <v>14</v>
      </c>
      <c r="C149" s="1">
        <v>6</v>
      </c>
      <c r="D149" s="1">
        <v>11</v>
      </c>
      <c r="E149" s="1">
        <v>94111.92214111923</v>
      </c>
      <c r="F149" s="1">
        <f>IF(E149 + F148 &lt; 0, E149 + F148, 0)</f>
        <v>0</v>
      </c>
      <c r="G149" s="1">
        <v>94111.92214111923</v>
      </c>
      <c r="H149" s="1">
        <f>IF(G149 + H148 &lt; 0, G149 + H148, 0)</f>
        <v>0</v>
      </c>
      <c r="I149" s="1">
        <v>0</v>
      </c>
      <c r="J149" s="1">
        <f>IF(I149 + J148 &lt; 0, I149 + J148, 0)</f>
        <v>0</v>
      </c>
      <c r="K149" s="1">
        <v>0</v>
      </c>
      <c r="L149" s="1">
        <f>IF(K149 + L148 &lt; 0, K149 + L148, 0)</f>
        <v>0</v>
      </c>
    </row>
    <row r="150" spans="1:12" s="1" customFormat="1">
      <c r="A150" s="3">
        <v>45148</v>
      </c>
      <c r="B150" s="1" t="s">
        <v>16</v>
      </c>
      <c r="C150" s="1">
        <v>5</v>
      </c>
      <c r="D150" s="1">
        <v>10</v>
      </c>
      <c r="E150" s="1">
        <v>167378.4179998725</v>
      </c>
      <c r="F150" s="1">
        <f>IF(E150 + F149 &lt; 0, E150 + F149, 0)</f>
        <v>0</v>
      </c>
      <c r="G150" s="1">
        <v>167378.4179998725</v>
      </c>
      <c r="H150" s="1">
        <f>IF(G150 + H149 &lt; 0, G150 + H149, 0)</f>
        <v>0</v>
      </c>
      <c r="I150" s="1">
        <v>0</v>
      </c>
      <c r="J150" s="1">
        <f>IF(I150 + J149 &lt; 0, I150 + J149, 0)</f>
        <v>0</v>
      </c>
      <c r="K150" s="1">
        <v>0</v>
      </c>
      <c r="L150" s="1">
        <f>IF(K150 + L149 &lt; 0, K150 + L149, 0)</f>
        <v>0</v>
      </c>
    </row>
    <row r="151" spans="1:12" s="1" customFormat="1">
      <c r="A151" s="3">
        <v>45149</v>
      </c>
      <c r="B151" s="1" t="s">
        <v>15</v>
      </c>
      <c r="C151" s="1">
        <v>4</v>
      </c>
      <c r="D151" s="1">
        <v>9</v>
      </c>
      <c r="E151" s="1">
        <v>208994.6233076376</v>
      </c>
      <c r="F151" s="1">
        <f>IF(E151 + F150 &lt; 0, E151 + F150, 0)</f>
        <v>0</v>
      </c>
      <c r="G151" s="1">
        <v>208994.6233076376</v>
      </c>
      <c r="H151" s="1">
        <f>IF(G151 + H150 &lt; 0, G151 + H150, 0)</f>
        <v>0</v>
      </c>
      <c r="I151" s="1">
        <v>0</v>
      </c>
      <c r="J151" s="1">
        <f>IF(I151 + J150 &lt; 0, I151 + J150, 0)</f>
        <v>0</v>
      </c>
      <c r="K151" s="1">
        <v>0</v>
      </c>
      <c r="L151" s="1">
        <f>IF(K151 + L150 &lt; 0, K151 + L150, 0)</f>
        <v>0</v>
      </c>
    </row>
    <row r="152" spans="1:12" s="1" customFormat="1">
      <c r="A152" s="3">
        <v>45152</v>
      </c>
      <c r="B152" s="1" t="s">
        <v>12</v>
      </c>
      <c r="C152" s="1">
        <v>3</v>
      </c>
      <c r="D152" s="1">
        <v>8</v>
      </c>
      <c r="E152" s="1">
        <v>182012.9174645419</v>
      </c>
      <c r="F152" s="1">
        <f>IF(E152 + F151 &lt; 0, E152 + F151, 0)</f>
        <v>0</v>
      </c>
      <c r="G152" s="1">
        <v>182012.9174645419</v>
      </c>
      <c r="H152" s="1">
        <f>IF(G152 + H151 &lt; 0, G152 + H151, 0)</f>
        <v>0</v>
      </c>
      <c r="I152" s="1">
        <v>0</v>
      </c>
      <c r="J152" s="1">
        <f>IF(I152 + J151 &lt; 0, I152 + J151, 0)</f>
        <v>0</v>
      </c>
      <c r="K152" s="1">
        <v>0</v>
      </c>
      <c r="L152" s="1">
        <f>IF(K152 + L151 &lt; 0, K152 + L151, 0)</f>
        <v>0</v>
      </c>
    </row>
    <row r="153" spans="1:12" s="1" customFormat="1">
      <c r="A153" s="3">
        <v>45154</v>
      </c>
      <c r="B153" s="1" t="s">
        <v>14</v>
      </c>
      <c r="C153" s="1">
        <v>2</v>
      </c>
      <c r="D153" s="1">
        <v>7</v>
      </c>
      <c r="E153" s="1">
        <v>92945.01321003963</v>
      </c>
      <c r="F153" s="1">
        <f>IF(E153 + F152 &lt; 0, E153 + F152, 0)</f>
        <v>0</v>
      </c>
      <c r="G153" s="1">
        <v>43906.86922060766</v>
      </c>
      <c r="H153" s="1">
        <f>IF(G153 + H152 &lt; 0, G153 + H152, 0)</f>
        <v>0</v>
      </c>
      <c r="I153" s="1">
        <v>0</v>
      </c>
      <c r="J153" s="1">
        <f>IF(I153 + J152 &lt; 0, I153 + J152, 0)</f>
        <v>0</v>
      </c>
      <c r="K153" s="1">
        <v>0</v>
      </c>
      <c r="L153" s="1">
        <f>IF(K153 + L152 &lt; 0, K153 + L152, 0)</f>
        <v>0</v>
      </c>
    </row>
    <row r="154" spans="1:12" s="1" customFormat="1">
      <c r="A154" s="3">
        <v>45155</v>
      </c>
      <c r="B154" s="1" t="s">
        <v>16</v>
      </c>
      <c r="C154" s="1">
        <v>1</v>
      </c>
      <c r="D154" s="1">
        <v>6</v>
      </c>
      <c r="E154" s="1">
        <v>94626.76529926025</v>
      </c>
      <c r="F154" s="1">
        <f>IF(E154 + F153 &lt; 0, E154 + F153, 0)</f>
        <v>0</v>
      </c>
      <c r="G154" s="1">
        <v>383473.4364492266</v>
      </c>
      <c r="H154" s="1">
        <f>IF(G154 + H153 &lt; 0, G154 + H153, 0)</f>
        <v>0</v>
      </c>
      <c r="I154" s="1">
        <v>188700.9992313605</v>
      </c>
      <c r="J154" s="1">
        <f>IF(I154 + J153 &lt; 0, I154 + J153, 0)</f>
        <v>0</v>
      </c>
      <c r="K154" s="1">
        <v>188700.9992313605</v>
      </c>
      <c r="L154" s="1">
        <f>IF(K154 + L153 &lt; 0, K154 + L153, 0)</f>
        <v>0</v>
      </c>
    </row>
    <row r="155" spans="1:12" s="1" customFormat="1">
      <c r="A155" s="3">
        <v>45156</v>
      </c>
      <c r="B155" s="1" t="s">
        <v>15</v>
      </c>
      <c r="C155" s="1">
        <v>21</v>
      </c>
      <c r="D155" s="1">
        <v>5</v>
      </c>
      <c r="E155" s="1">
        <v>0</v>
      </c>
      <c r="F155" s="1">
        <f>IF(E155 + F154 &lt; 0, E155 + F154, 0)</f>
        <v>0</v>
      </c>
      <c r="G155" s="1">
        <v>0</v>
      </c>
      <c r="H155" s="1">
        <f>IF(G155 + H154 &lt; 0, G155 + H154, 0)</f>
        <v>0</v>
      </c>
      <c r="I155" s="1">
        <v>125286.4782276547</v>
      </c>
      <c r="J155" s="1">
        <f>IF(I155 + J154 &lt; 0, I155 + J154, 0)</f>
        <v>0</v>
      </c>
      <c r="K155" s="1">
        <v>125286.4782276547</v>
      </c>
      <c r="L155" s="1">
        <f>IF(K155 + L154 &lt; 0, K155 + L154, 0)</f>
        <v>0</v>
      </c>
    </row>
    <row r="156" spans="1:12" s="1" customFormat="1">
      <c r="A156" s="3">
        <v>45159</v>
      </c>
      <c r="B156" s="1" t="s">
        <v>12</v>
      </c>
      <c r="C156" s="1">
        <v>20</v>
      </c>
      <c r="D156" s="1">
        <v>4</v>
      </c>
      <c r="E156" s="1">
        <v>0</v>
      </c>
      <c r="F156" s="1">
        <f>IF(E156 + F155 &lt; 0, E156 + F155, 0)</f>
        <v>0</v>
      </c>
      <c r="G156" s="1">
        <v>0</v>
      </c>
      <c r="H156" s="1">
        <f>IF(G156 + H155 &lt; 0, G156 + H155, 0)</f>
        <v>0</v>
      </c>
      <c r="I156" s="1">
        <v>152863.7770897833</v>
      </c>
      <c r="J156" s="1">
        <f>IF(I156 + J155 &lt; 0, I156 + J155, 0)</f>
        <v>0</v>
      </c>
      <c r="K156" s="1">
        <v>152863.7770897833</v>
      </c>
      <c r="L156" s="1">
        <f>IF(K156 + L155 &lt; 0, K156 + L155, 0)</f>
        <v>0</v>
      </c>
    </row>
    <row r="157" spans="1:12" s="1" customFormat="1">
      <c r="A157" s="3">
        <v>45160</v>
      </c>
      <c r="B157" s="1" t="s">
        <v>13</v>
      </c>
      <c r="C157" s="1">
        <v>19</v>
      </c>
      <c r="D157" s="1">
        <v>3</v>
      </c>
      <c r="E157" s="1">
        <v>0</v>
      </c>
      <c r="F157" s="1">
        <f>IF(E157 + F156 &lt; 0, E157 + F156, 0)</f>
        <v>0</v>
      </c>
      <c r="G157" s="1">
        <v>0</v>
      </c>
      <c r="H157" s="1">
        <f>IF(G157 + H156 &lt; 0, G157 + H156, 0)</f>
        <v>0</v>
      </c>
      <c r="I157" s="1">
        <v>48116.10918877355</v>
      </c>
      <c r="J157" s="1">
        <f>IF(I157 + J156 &lt; 0, I157 + J156, 0)</f>
        <v>0</v>
      </c>
      <c r="K157" s="1">
        <v>64013.84083044982</v>
      </c>
      <c r="L157" s="1">
        <f>IF(K157 + L156 &lt; 0, K157 + L156, 0)</f>
        <v>0</v>
      </c>
    </row>
    <row r="158" spans="1:12" s="1" customFormat="1">
      <c r="A158" s="3">
        <v>45161</v>
      </c>
      <c r="B158" s="1" t="s">
        <v>14</v>
      </c>
      <c r="C158" s="1">
        <v>18</v>
      </c>
      <c r="D158" s="1">
        <v>2</v>
      </c>
      <c r="E158" s="1">
        <v>0</v>
      </c>
      <c r="F158" s="1">
        <f>IF(E158 + F157 &lt; 0, E158 + F157, 0)</f>
        <v>0</v>
      </c>
      <c r="G158" s="1">
        <v>0</v>
      </c>
      <c r="H158" s="1">
        <f>IF(G158 + H157 &lt; 0, G158 + H157, 0)</f>
        <v>0</v>
      </c>
      <c r="I158" s="1">
        <v>181406.6170712608</v>
      </c>
      <c r="J158" s="1">
        <f>IF(I158 + J157 &lt; 0, I158 + J157, 0)</f>
        <v>0</v>
      </c>
      <c r="K158" s="1">
        <v>194870.7909162099</v>
      </c>
      <c r="L158" s="1">
        <f>IF(K158 + L157 &lt; 0, K158 + L157, 0)</f>
        <v>0</v>
      </c>
    </row>
    <row r="159" spans="1:12" s="1" customFormat="1">
      <c r="A159" s="3">
        <v>45162</v>
      </c>
      <c r="B159" s="1" t="s">
        <v>16</v>
      </c>
      <c r="C159" s="1">
        <v>17</v>
      </c>
      <c r="D159" s="1">
        <v>1</v>
      </c>
      <c r="E159" s="1">
        <v>0</v>
      </c>
      <c r="F159" s="1">
        <f>IF(E159 + F158 &lt; 0, E159 + F158, 0)</f>
        <v>0</v>
      </c>
      <c r="G159" s="1">
        <v>0</v>
      </c>
      <c r="H159" s="1">
        <f>IF(G159 + H158 &lt; 0, G159 + H158, 0)</f>
        <v>0</v>
      </c>
      <c r="I159" s="1">
        <v>28542.34527687295</v>
      </c>
      <c r="J159" s="1">
        <f>IF(I159 + J158 &lt; 0, I159 + J158, 0)</f>
        <v>0</v>
      </c>
      <c r="K159" s="1">
        <v>-188777.4837133551</v>
      </c>
      <c r="L159" s="1">
        <f>IF(K159 + L158 &lt; 0, K159 + L158, 0)</f>
        <v>0</v>
      </c>
    </row>
    <row r="160" spans="1:12" s="1" customFormat="1">
      <c r="A160" s="3">
        <v>45163</v>
      </c>
      <c r="B160" s="1" t="s">
        <v>15</v>
      </c>
      <c r="C160" s="1">
        <v>16</v>
      </c>
      <c r="D160" s="1">
        <v>21</v>
      </c>
      <c r="E160" s="1">
        <v>0</v>
      </c>
      <c r="F160" s="1">
        <f>IF(E160 + F159 &lt; 0, E160 + F159, 0)</f>
        <v>0</v>
      </c>
      <c r="G160" s="1">
        <v>0</v>
      </c>
      <c r="H160" s="1">
        <f>IF(G160 + H159 &lt; 0, G160 + H159, 0)</f>
        <v>0</v>
      </c>
      <c r="I160" s="1">
        <v>0</v>
      </c>
      <c r="J160" s="1">
        <f>IF(I160 + J159 &lt; 0, I160 + J159, 0)</f>
        <v>0</v>
      </c>
      <c r="K160" s="1">
        <v>0</v>
      </c>
      <c r="L160" s="1">
        <f>IF(K160 + L159 &lt; 0, K160 + L159, 0)</f>
        <v>0</v>
      </c>
    </row>
    <row r="161" spans="1:12" s="1" customFormat="1">
      <c r="A161" s="3">
        <v>45166</v>
      </c>
      <c r="B161" s="1" t="s">
        <v>12</v>
      </c>
      <c r="C161" s="1">
        <v>15</v>
      </c>
      <c r="D161" s="1">
        <v>20</v>
      </c>
      <c r="E161" s="1">
        <v>0</v>
      </c>
      <c r="F161" s="1">
        <f>IF(E161 + F160 &lt; 0, E161 + F160, 0)</f>
        <v>0</v>
      </c>
      <c r="G161" s="1">
        <v>0</v>
      </c>
      <c r="H161" s="1">
        <f>IF(G161 + H160 &lt; 0, G161 + H160, 0)</f>
        <v>0</v>
      </c>
      <c r="I161" s="1">
        <v>0</v>
      </c>
      <c r="J161" s="1">
        <f>IF(I161 + J160 &lt; 0, I161 + J160, 0)</f>
        <v>0</v>
      </c>
      <c r="K161" s="1">
        <v>0</v>
      </c>
      <c r="L161" s="1">
        <f>IF(K161 + L160 &lt; 0, K161 + L160, 0)</f>
        <v>0</v>
      </c>
    </row>
    <row r="162" spans="1:12" s="1" customFormat="1">
      <c r="A162" s="3">
        <v>45167</v>
      </c>
      <c r="B162" s="1" t="s">
        <v>13</v>
      </c>
      <c r="C162" s="1">
        <v>14</v>
      </c>
      <c r="D162" s="1">
        <v>19</v>
      </c>
      <c r="E162" s="1">
        <v>0</v>
      </c>
      <c r="F162" s="1">
        <f>IF(E162 + F161 &lt; 0, E162 + F161, 0)</f>
        <v>0</v>
      </c>
      <c r="G162" s="1">
        <v>0</v>
      </c>
      <c r="H162" s="1">
        <f>IF(G162 + H161 &lt; 0, G162 + H161, 0)</f>
        <v>0</v>
      </c>
      <c r="I162" s="1">
        <v>0</v>
      </c>
      <c r="J162" s="1">
        <f>IF(I162 + J161 &lt; 0, I162 + J161, 0)</f>
        <v>0</v>
      </c>
      <c r="K162" s="1">
        <v>0</v>
      </c>
      <c r="L162" s="1">
        <f>IF(K162 + L161 &lt; 0, K162 + L161, 0)</f>
        <v>0</v>
      </c>
    </row>
    <row r="163" spans="1:12" s="1" customFormat="1">
      <c r="A163" s="3">
        <v>45168</v>
      </c>
      <c r="B163" s="1" t="s">
        <v>14</v>
      </c>
      <c r="C163" s="1">
        <v>13</v>
      </c>
      <c r="D163" s="1">
        <v>18</v>
      </c>
      <c r="E163" s="1">
        <v>0</v>
      </c>
      <c r="F163" s="1">
        <f>IF(E163 + F162 &lt; 0, E163 + F162, 0)</f>
        <v>0</v>
      </c>
      <c r="G163" s="1">
        <v>0</v>
      </c>
      <c r="H163" s="1">
        <f>IF(G163 + H162 &lt; 0, G163 + H162, 0)</f>
        <v>0</v>
      </c>
      <c r="I163" s="1">
        <v>0</v>
      </c>
      <c r="J163" s="1">
        <f>IF(I163 + J162 &lt; 0, I163 + J162, 0)</f>
        <v>0</v>
      </c>
      <c r="K163" s="1">
        <v>0</v>
      </c>
      <c r="L163" s="1">
        <f>IF(K163 + L162 &lt; 0, K163 + L162, 0)</f>
        <v>0</v>
      </c>
    </row>
    <row r="164" spans="1:12" s="1" customFormat="1">
      <c r="A164" s="3">
        <v>45169</v>
      </c>
      <c r="B164" s="1" t="s">
        <v>16</v>
      </c>
      <c r="C164" s="1">
        <v>12</v>
      </c>
      <c r="D164" s="1">
        <v>17</v>
      </c>
      <c r="E164" s="1">
        <v>0</v>
      </c>
      <c r="F164" s="1">
        <f>IF(E164 + F163 &lt; 0, E164 + F163, 0)</f>
        <v>0</v>
      </c>
      <c r="G164" s="1">
        <v>0</v>
      </c>
      <c r="H164" s="1">
        <f>IF(G164 + H163 &lt; 0, G164 + H163, 0)</f>
        <v>0</v>
      </c>
      <c r="I164" s="1">
        <v>0</v>
      </c>
      <c r="J164" s="1">
        <f>IF(I164 + J163 &lt; 0, I164 + J163, 0)</f>
        <v>0</v>
      </c>
      <c r="K164" s="1">
        <v>0</v>
      </c>
      <c r="L164" s="1">
        <f>IF(K164 + L163 &lt; 0, K164 + L163, 0)</f>
        <v>0</v>
      </c>
    </row>
    <row r="165" spans="1:12" s="1" customFormat="1">
      <c r="A165" s="3">
        <v>45170</v>
      </c>
      <c r="B165" s="1" t="s">
        <v>15</v>
      </c>
      <c r="C165" s="1">
        <v>11</v>
      </c>
      <c r="D165" s="1">
        <v>16</v>
      </c>
      <c r="E165" s="1">
        <v>0</v>
      </c>
      <c r="F165" s="1">
        <f>IF(E165 + F164 &lt; 0, E165 + F164, 0)</f>
        <v>0</v>
      </c>
      <c r="G165" s="1">
        <v>0</v>
      </c>
      <c r="H165" s="1">
        <f>IF(G165 + H164 &lt; 0, G165 + H164, 0)</f>
        <v>0</v>
      </c>
      <c r="I165" s="1">
        <v>0</v>
      </c>
      <c r="J165" s="1">
        <f>IF(I165 + J164 &lt; 0, I165 + J164, 0)</f>
        <v>0</v>
      </c>
      <c r="K165" s="1">
        <v>0</v>
      </c>
      <c r="L165" s="1">
        <f>IF(K165 + L164 &lt; 0, K165 + L164, 0)</f>
        <v>0</v>
      </c>
    </row>
    <row r="166" spans="1:12" s="1" customFormat="1">
      <c r="A166" s="3">
        <v>45173</v>
      </c>
      <c r="B166" s="1" t="s">
        <v>12</v>
      </c>
      <c r="C166" s="1">
        <v>10</v>
      </c>
      <c r="D166" s="1">
        <v>15</v>
      </c>
      <c r="E166" s="1">
        <v>14742.82484456446</v>
      </c>
      <c r="F166" s="1">
        <f>IF(E166 + F165 &lt; 0, E166 + F165, 0)</f>
        <v>0</v>
      </c>
      <c r="G166" s="1">
        <v>14742.82484456446</v>
      </c>
      <c r="H166" s="1">
        <f>IF(G166 + H165 &lt; 0, G166 + H165, 0)</f>
        <v>0</v>
      </c>
      <c r="I166" s="1">
        <v>0</v>
      </c>
      <c r="J166" s="1">
        <f>IF(I166 + J165 &lt; 0, I166 + J165, 0)</f>
        <v>0</v>
      </c>
      <c r="K166" s="1">
        <v>0</v>
      </c>
      <c r="L166" s="1">
        <f>IF(K166 + L165 &lt; 0, K166 + L165, 0)</f>
        <v>0</v>
      </c>
    </row>
    <row r="167" spans="1:12" s="1" customFormat="1">
      <c r="A167" s="3">
        <v>45174</v>
      </c>
      <c r="B167" s="1" t="s">
        <v>13</v>
      </c>
      <c r="C167" s="1">
        <v>9</v>
      </c>
      <c r="D167" s="1">
        <v>14</v>
      </c>
      <c r="E167" s="1">
        <v>-234561.9273943904</v>
      </c>
      <c r="F167" s="1">
        <f>IF(E167 + F166 &lt; 0, E167 + F166, 0)</f>
        <v>0</v>
      </c>
      <c r="G167" s="1">
        <v>-161486.5076138958</v>
      </c>
      <c r="H167" s="1">
        <f>IF(G167 + H166 &lt; 0, G167 + H166, 0)</f>
        <v>0</v>
      </c>
      <c r="I167" s="1">
        <v>0</v>
      </c>
      <c r="J167" s="1">
        <f>IF(I167 + J166 &lt; 0, I167 + J166, 0)</f>
        <v>0</v>
      </c>
      <c r="K167" s="1">
        <v>0</v>
      </c>
      <c r="L167" s="1">
        <f>IF(K167 + L166 &lt; 0, K167 + L166, 0)</f>
        <v>0</v>
      </c>
    </row>
    <row r="168" spans="1:12" s="1" customFormat="1">
      <c r="A168" s="3">
        <v>45175</v>
      </c>
      <c r="B168" s="1" t="s">
        <v>14</v>
      </c>
      <c r="C168" s="1">
        <v>8</v>
      </c>
      <c r="D168" s="1">
        <v>13</v>
      </c>
      <c r="E168" s="1">
        <v>-73506.17283950618</v>
      </c>
      <c r="F168" s="1">
        <f>IF(E168 + F167 &lt; 0, E168 + F167, 0)</f>
        <v>0</v>
      </c>
      <c r="G168" s="1">
        <v>-81373.45679012345</v>
      </c>
      <c r="H168" s="1">
        <f>IF(G168 + H167 &lt; 0, G168 + H167, 0)</f>
        <v>0</v>
      </c>
      <c r="I168" s="1">
        <v>0</v>
      </c>
      <c r="J168" s="1">
        <f>IF(I168 + J167 &lt; 0, I168 + J167, 0)</f>
        <v>0</v>
      </c>
      <c r="K168" s="1">
        <v>0</v>
      </c>
      <c r="L168" s="1">
        <f>IF(K168 + L167 &lt; 0, K168 + L167, 0)</f>
        <v>0</v>
      </c>
    </row>
    <row r="169" spans="1:12" s="1" customFormat="1">
      <c r="A169" s="3">
        <v>45176</v>
      </c>
      <c r="B169" s="1" t="s">
        <v>16</v>
      </c>
      <c r="C169" s="1">
        <v>7</v>
      </c>
      <c r="D169" s="1">
        <v>12</v>
      </c>
      <c r="E169" s="1">
        <v>190049.6141124587</v>
      </c>
      <c r="F169" s="1">
        <f>IF(E169 + F168 &lt; 0, E169 + F168, 0)</f>
        <v>0</v>
      </c>
      <c r="G169" s="1">
        <v>190049.6141124587</v>
      </c>
      <c r="H169" s="1">
        <f>IF(G169 + H168 &lt; 0, G169 + H168, 0)</f>
        <v>0</v>
      </c>
      <c r="I169" s="1">
        <v>0</v>
      </c>
      <c r="J169" s="1">
        <f>IF(I169 + J168 &lt; 0, I169 + J168, 0)</f>
        <v>0</v>
      </c>
      <c r="K169" s="1">
        <v>0</v>
      </c>
      <c r="L169" s="1">
        <f>IF(K169 + L168 &lt; 0, K169 + L168, 0)</f>
        <v>0</v>
      </c>
    </row>
    <row r="170" spans="1:12" s="1" customFormat="1">
      <c r="A170" s="3">
        <v>45177</v>
      </c>
      <c r="B170" s="1" t="s">
        <v>15</v>
      </c>
      <c r="C170" s="1">
        <v>6</v>
      </c>
      <c r="D170" s="1">
        <v>11</v>
      </c>
      <c r="E170" s="1">
        <v>296553.7527867228</v>
      </c>
      <c r="F170" s="1">
        <f>IF(E170 + F169 &lt; 0, E170 + F169, 0)</f>
        <v>0</v>
      </c>
      <c r="G170" s="1">
        <v>296553.7527867228</v>
      </c>
      <c r="H170" s="1">
        <f>IF(G170 + H169 &lt; 0, G170 + H169, 0)</f>
        <v>0</v>
      </c>
      <c r="I170" s="1">
        <v>0</v>
      </c>
      <c r="J170" s="1">
        <f>IF(I170 + J169 &lt; 0, I170 + J169, 0)</f>
        <v>0</v>
      </c>
      <c r="K170" s="1">
        <v>0</v>
      </c>
      <c r="L170" s="1">
        <f>IF(K170 + L169 &lt; 0, K170 + L169, 0)</f>
        <v>0</v>
      </c>
    </row>
    <row r="171" spans="1:12" s="1" customFormat="1">
      <c r="A171" s="3">
        <v>45180</v>
      </c>
      <c r="B171" s="1" t="s">
        <v>12</v>
      </c>
      <c r="C171" s="1">
        <v>5</v>
      </c>
      <c r="D171" s="1">
        <v>10</v>
      </c>
      <c r="E171" s="1">
        <v>257278.2667569398</v>
      </c>
      <c r="F171" s="1">
        <f>IF(E171 + F170 &lt; 0, E171 + F170, 0)</f>
        <v>0</v>
      </c>
      <c r="G171" s="1">
        <v>257278.2667569398</v>
      </c>
      <c r="H171" s="1">
        <f>IF(G171 + H170 &lt; 0, G171 + H170, 0)</f>
        <v>0</v>
      </c>
      <c r="I171" s="1">
        <v>0</v>
      </c>
      <c r="J171" s="1">
        <f>IF(I171 + J170 &lt; 0, I171 + J170, 0)</f>
        <v>0</v>
      </c>
      <c r="K171" s="1">
        <v>0</v>
      </c>
      <c r="L171" s="1">
        <f>IF(K171 + L170 &lt; 0, K171 + L170, 0)</f>
        <v>0</v>
      </c>
    </row>
    <row r="172" spans="1:12" s="1" customFormat="1">
      <c r="A172" s="3">
        <v>45181</v>
      </c>
      <c r="B172" s="1" t="s">
        <v>13</v>
      </c>
      <c r="C172" s="1">
        <v>4</v>
      </c>
      <c r="D172" s="1">
        <v>9</v>
      </c>
      <c r="E172" s="1">
        <v>71888.95003974809</v>
      </c>
      <c r="F172" s="1">
        <f>IF(E172 + F171 &lt; 0, E172 + F171, 0)</f>
        <v>0</v>
      </c>
      <c r="G172" s="1">
        <v>57818.1373448297</v>
      </c>
      <c r="H172" s="1">
        <f>IF(G172 + H171 &lt; 0, G172 + H171, 0)</f>
        <v>0</v>
      </c>
      <c r="I172" s="1">
        <v>0</v>
      </c>
      <c r="J172" s="1">
        <f>IF(I172 + J171 &lt; 0, I172 + J171, 0)</f>
        <v>0</v>
      </c>
      <c r="K172" s="1">
        <v>0</v>
      </c>
      <c r="L172" s="1">
        <f>IF(K172 + L171 &lt; 0, K172 + L171, 0)</f>
        <v>0</v>
      </c>
    </row>
    <row r="173" spans="1:12" s="1" customFormat="1">
      <c r="A173" s="3">
        <v>45182</v>
      </c>
      <c r="B173" s="1" t="s">
        <v>14</v>
      </c>
      <c r="C173" s="1">
        <v>3</v>
      </c>
      <c r="D173" s="1">
        <v>8</v>
      </c>
      <c r="E173" s="1">
        <v>207598.3717774762</v>
      </c>
      <c r="F173" s="1">
        <f>IF(E173 + F172 &lt; 0, E173 + F172, 0)</f>
        <v>0</v>
      </c>
      <c r="G173" s="1">
        <v>241595.0550278908</v>
      </c>
      <c r="H173" s="1">
        <f>IF(G173 + H172 &lt; 0, G173 + H172, 0)</f>
        <v>0</v>
      </c>
      <c r="I173" s="1">
        <v>0</v>
      </c>
      <c r="J173" s="1">
        <f>IF(I173 + J172 &lt; 0, I173 + J172, 0)</f>
        <v>0</v>
      </c>
      <c r="K173" s="1">
        <v>0</v>
      </c>
      <c r="L173" s="1">
        <f>IF(K173 + L172 &lt; 0, K173 + L172, 0)</f>
        <v>0</v>
      </c>
    </row>
    <row r="174" spans="1:12" s="1" customFormat="1">
      <c r="A174" s="3">
        <v>45183</v>
      </c>
      <c r="B174" s="1" t="s">
        <v>16</v>
      </c>
      <c r="C174" s="1">
        <v>2</v>
      </c>
      <c r="D174" s="1">
        <v>7</v>
      </c>
      <c r="E174" s="1">
        <v>323411.05848994</v>
      </c>
      <c r="F174" s="1">
        <f>IF(E174 + F173 &lt; 0, E174 + F173, 0)</f>
        <v>0</v>
      </c>
      <c r="G174" s="1">
        <v>330879.9131247926</v>
      </c>
      <c r="H174" s="1">
        <f>IF(G174 + H173 &lt; 0, G174 + H173, 0)</f>
        <v>0</v>
      </c>
      <c r="I174" s="1">
        <v>0</v>
      </c>
      <c r="J174" s="1">
        <f>IF(I174 + J173 &lt; 0, I174 + J173, 0)</f>
        <v>0</v>
      </c>
      <c r="K174" s="1">
        <v>0</v>
      </c>
      <c r="L174" s="1">
        <f>IF(K174 + L173 &lt; 0, K174 + L173, 0)</f>
        <v>0</v>
      </c>
    </row>
    <row r="175" spans="1:12" s="1" customFormat="1">
      <c r="A175" s="3">
        <v>45184</v>
      </c>
      <c r="B175" s="1" t="s">
        <v>15</v>
      </c>
      <c r="C175" s="1">
        <v>1</v>
      </c>
      <c r="D175" s="1">
        <v>6</v>
      </c>
      <c r="E175" s="1">
        <v>-110114.0146716554</v>
      </c>
      <c r="F175" s="1">
        <f>IF(E175 + F174 &lt; 0, E175 + F174, 0)</f>
        <v>0</v>
      </c>
      <c r="G175" s="1">
        <v>142886.6040126093</v>
      </c>
      <c r="H175" s="1">
        <f>IF(G175 + H174 &lt; 0, G175 + H174, 0)</f>
        <v>0</v>
      </c>
      <c r="I175" s="1">
        <v>162786.4005912786</v>
      </c>
      <c r="J175" s="1">
        <f>IF(I175 + J174 &lt; 0, I175 + J174, 0)</f>
        <v>0</v>
      </c>
      <c r="K175" s="1">
        <v>162786.4005912786</v>
      </c>
      <c r="L175" s="1">
        <f>IF(K175 + L174 &lt; 0, K175 + L174, 0)</f>
        <v>0</v>
      </c>
    </row>
    <row r="176" spans="1:12" s="1" customFormat="1">
      <c r="A176" s="3">
        <v>45187</v>
      </c>
      <c r="B176" s="1" t="s">
        <v>12</v>
      </c>
      <c r="C176" s="1">
        <v>21</v>
      </c>
      <c r="D176" s="1">
        <v>5</v>
      </c>
      <c r="E176" s="1">
        <v>0</v>
      </c>
      <c r="F176" s="1">
        <f>IF(E176 + F175 &lt; 0, E176 + F175, 0)</f>
        <v>0</v>
      </c>
      <c r="G176" s="1">
        <v>0</v>
      </c>
      <c r="H176" s="1">
        <f>IF(G176 + H175 &lt; 0, G176 + H175, 0)</f>
        <v>0</v>
      </c>
      <c r="I176" s="1">
        <v>-12859.44003026863</v>
      </c>
      <c r="J176" s="1">
        <f>IF(I176 + J175 &lt; 0, I176 + J175, 0)</f>
        <v>0</v>
      </c>
      <c r="K176" s="1">
        <v>-3405.221339387056</v>
      </c>
      <c r="L176" s="1">
        <f>IF(K176 + L175 &lt; 0, K176 + L175, 0)</f>
        <v>0</v>
      </c>
    </row>
    <row r="177" spans="1:12" s="1" customFormat="1">
      <c r="A177" s="3">
        <v>45188</v>
      </c>
      <c r="B177" s="1" t="s">
        <v>13</v>
      </c>
      <c r="C177" s="1">
        <v>20</v>
      </c>
      <c r="D177" s="1">
        <v>4</v>
      </c>
      <c r="E177" s="1">
        <v>0</v>
      </c>
      <c r="F177" s="1">
        <f>IF(E177 + F176 &lt; 0, E177 + F176, 0)</f>
        <v>0</v>
      </c>
      <c r="G177" s="1">
        <v>0</v>
      </c>
      <c r="H177" s="1">
        <f>IF(G177 + H176 &lt; 0, G177 + H176, 0)</f>
        <v>0</v>
      </c>
      <c r="I177" s="1">
        <v>-203083.6397058824</v>
      </c>
      <c r="J177" s="1">
        <f>IF(I177 + J176 &lt; 0, I177 + J176, 0)</f>
        <v>0</v>
      </c>
      <c r="K177" s="1">
        <v>-296093.75</v>
      </c>
      <c r="L177" s="1">
        <f>IF(K177 + L176 &lt; 0, K177 + L176, 0)</f>
        <v>0</v>
      </c>
    </row>
    <row r="178" spans="1:12" s="1" customFormat="1">
      <c r="A178" s="3">
        <v>45189</v>
      </c>
      <c r="B178" s="1" t="s">
        <v>14</v>
      </c>
      <c r="C178" s="1">
        <v>19</v>
      </c>
      <c r="D178" s="1">
        <v>3</v>
      </c>
      <c r="E178" s="1">
        <v>0</v>
      </c>
      <c r="F178" s="1">
        <f>IF(E178 + F177 &lt; 0, E178 + F177, 0)</f>
        <v>0</v>
      </c>
      <c r="G178" s="1">
        <v>0</v>
      </c>
      <c r="H178" s="1">
        <f>IF(G178 + H177 &lt; 0, G178 + H177, 0)</f>
        <v>0</v>
      </c>
      <c r="I178" s="1">
        <v>85272.72727272728</v>
      </c>
      <c r="J178" s="1">
        <f>IF(I178 + J177 &lt; 0, I178 + J177, 0)</f>
        <v>0</v>
      </c>
      <c r="K178" s="1">
        <v>85272.72727272728</v>
      </c>
      <c r="L178" s="1">
        <f>IF(K178 + L177 &lt; 0, K178 + L177, 0)</f>
        <v>0</v>
      </c>
    </row>
    <row r="179" spans="1:12" s="1" customFormat="1">
      <c r="A179" s="3">
        <v>45190</v>
      </c>
      <c r="B179" s="1" t="s">
        <v>16</v>
      </c>
      <c r="C179" s="1">
        <v>18</v>
      </c>
      <c r="D179" s="1">
        <v>2</v>
      </c>
      <c r="E179" s="1">
        <v>0</v>
      </c>
      <c r="F179" s="1">
        <f>IF(E179 + F178 &lt; 0, E179 + F178, 0)</f>
        <v>0</v>
      </c>
      <c r="G179" s="1">
        <v>0</v>
      </c>
      <c r="H179" s="1">
        <f>IF(G179 + H178 &lt; 0, G179 + H178, 0)</f>
        <v>0</v>
      </c>
      <c r="I179" s="1">
        <v>217384.5307917888</v>
      </c>
      <c r="J179" s="1">
        <f>IF(I179 + J178 &lt; 0, I179 + J178, 0)</f>
        <v>0</v>
      </c>
      <c r="K179" s="1">
        <v>217384.5307917888</v>
      </c>
      <c r="L179" s="1">
        <f>IF(K179 + L178 &lt; 0, K179 + L178, 0)</f>
        <v>0</v>
      </c>
    </row>
    <row r="180" spans="1:12" s="1" customFormat="1">
      <c r="A180" s="3">
        <v>45191</v>
      </c>
      <c r="B180" s="1" t="s">
        <v>15</v>
      </c>
      <c r="C180" s="1">
        <v>17</v>
      </c>
      <c r="D180" s="1">
        <v>1</v>
      </c>
      <c r="E180" s="1">
        <v>0</v>
      </c>
      <c r="F180" s="1">
        <f>IF(E180 + F179 &lt; 0, E180 + F179, 0)</f>
        <v>0</v>
      </c>
      <c r="G180" s="1">
        <v>0</v>
      </c>
      <c r="H180" s="1">
        <f>IF(G180 + H179 &lt; 0, G180 + H179, 0)</f>
        <v>0</v>
      </c>
      <c r="I180" s="1">
        <v>183206.2523827678</v>
      </c>
      <c r="J180" s="1">
        <f>IF(I180 + J179 &lt; 0, I180 + J179, 0)</f>
        <v>0</v>
      </c>
      <c r="K180" s="1">
        <v>178936.3324437667</v>
      </c>
      <c r="L180" s="1">
        <f>IF(K180 + L179 &lt; 0, K180 + L179, 0)</f>
        <v>0</v>
      </c>
    </row>
    <row r="181" spans="1:12" s="1" customFormat="1">
      <c r="A181" s="3">
        <v>45194</v>
      </c>
      <c r="B181" s="1" t="s">
        <v>12</v>
      </c>
      <c r="C181" s="1">
        <v>16</v>
      </c>
      <c r="D181" s="1">
        <v>21</v>
      </c>
      <c r="E181" s="1">
        <v>0</v>
      </c>
      <c r="F181" s="1">
        <f>IF(E181 + F180 &lt; 0, E181 + F180, 0)</f>
        <v>0</v>
      </c>
      <c r="G181" s="1">
        <v>0</v>
      </c>
      <c r="H181" s="1">
        <f>IF(G181 + H180 &lt; 0, G181 + H180, 0)</f>
        <v>0</v>
      </c>
      <c r="I181" s="1">
        <v>0</v>
      </c>
      <c r="J181" s="1">
        <f>IF(I181 + J180 &lt; 0, I181 + J180, 0)</f>
        <v>0</v>
      </c>
      <c r="K181" s="1">
        <v>0</v>
      </c>
      <c r="L181" s="1">
        <f>IF(K181 + L180 &lt; 0, K181 + L180, 0)</f>
        <v>0</v>
      </c>
    </row>
    <row r="182" spans="1:12" s="1" customFormat="1">
      <c r="A182" s="3">
        <v>45195</v>
      </c>
      <c r="B182" s="1" t="s">
        <v>13</v>
      </c>
      <c r="C182" s="1">
        <v>15</v>
      </c>
      <c r="D182" s="1">
        <v>20</v>
      </c>
      <c r="E182" s="1">
        <v>0</v>
      </c>
      <c r="F182" s="1">
        <f>IF(E182 + F181 &lt; 0, E182 + F181, 0)</f>
        <v>0</v>
      </c>
      <c r="G182" s="1">
        <v>0</v>
      </c>
      <c r="H182" s="1">
        <f>IF(G182 + H181 &lt; 0, G182 + H181, 0)</f>
        <v>0</v>
      </c>
      <c r="I182" s="1">
        <v>0</v>
      </c>
      <c r="J182" s="1">
        <f>IF(I182 + J181 &lt; 0, I182 + J181, 0)</f>
        <v>0</v>
      </c>
      <c r="K182" s="1">
        <v>0</v>
      </c>
      <c r="L182" s="1">
        <f>IF(K182 + L181 &lt; 0, K182 + L181, 0)</f>
        <v>0</v>
      </c>
    </row>
    <row r="183" spans="1:12" s="1" customFormat="1">
      <c r="A183" s="3">
        <v>45196</v>
      </c>
      <c r="B183" s="1" t="s">
        <v>14</v>
      </c>
      <c r="C183" s="1">
        <v>14</v>
      </c>
      <c r="D183" s="1">
        <v>19</v>
      </c>
      <c r="E183" s="1">
        <v>0</v>
      </c>
      <c r="F183" s="1">
        <f>IF(E183 + F182 &lt; 0, E183 + F182, 0)</f>
        <v>0</v>
      </c>
      <c r="G183" s="1">
        <v>0</v>
      </c>
      <c r="H183" s="1">
        <f>IF(G183 + H182 &lt; 0, G183 + H182, 0)</f>
        <v>0</v>
      </c>
      <c r="I183" s="1">
        <v>0</v>
      </c>
      <c r="J183" s="1">
        <f>IF(I183 + J182 &lt; 0, I183 + J182, 0)</f>
        <v>0</v>
      </c>
      <c r="K183" s="1">
        <v>0</v>
      </c>
      <c r="L183" s="1">
        <f>IF(K183 + L182 &lt; 0, K183 + L182, 0)</f>
        <v>0</v>
      </c>
    </row>
    <row r="184" spans="1:12" s="1" customFormat="1">
      <c r="A184" s="3">
        <v>45197</v>
      </c>
      <c r="B184" s="1" t="s">
        <v>16</v>
      </c>
      <c r="C184" s="1">
        <v>13</v>
      </c>
      <c r="D184" s="1">
        <v>18</v>
      </c>
      <c r="E184" s="1">
        <v>0</v>
      </c>
      <c r="F184" s="1">
        <f>IF(E184 + F183 &lt; 0, E184 + F183, 0)</f>
        <v>0</v>
      </c>
      <c r="G184" s="1">
        <v>0</v>
      </c>
      <c r="H184" s="1">
        <f>IF(G184 + H183 &lt; 0, G184 + H183, 0)</f>
        <v>0</v>
      </c>
      <c r="I184" s="1">
        <v>0</v>
      </c>
      <c r="J184" s="1">
        <f>IF(I184 + J183 &lt; 0, I184 + J183, 0)</f>
        <v>0</v>
      </c>
      <c r="K184" s="1">
        <v>0</v>
      </c>
      <c r="L184" s="1">
        <f>IF(K184 + L183 &lt; 0, K184 + L183, 0)</f>
        <v>0</v>
      </c>
    </row>
    <row r="185" spans="1:12" s="1" customFormat="1">
      <c r="A185" s="3">
        <v>45198</v>
      </c>
      <c r="B185" s="1" t="s">
        <v>15</v>
      </c>
      <c r="C185" s="1">
        <v>12</v>
      </c>
      <c r="D185" s="1">
        <v>17</v>
      </c>
      <c r="E185" s="1">
        <v>0</v>
      </c>
      <c r="F185" s="1">
        <f>IF(E185 + F184 &lt; 0, E185 + F184, 0)</f>
        <v>0</v>
      </c>
      <c r="G185" s="1">
        <v>0</v>
      </c>
      <c r="H185" s="1">
        <f>IF(G185 + H184 &lt; 0, G185 + H184, 0)</f>
        <v>0</v>
      </c>
      <c r="I185" s="1">
        <v>0</v>
      </c>
      <c r="J185" s="1">
        <f>IF(I185 + J184 &lt; 0, I185 + J184, 0)</f>
        <v>0</v>
      </c>
      <c r="K185" s="1">
        <v>0</v>
      </c>
      <c r="L185" s="1">
        <f>IF(K185 + L184 &lt; 0, K185 + L184, 0)</f>
        <v>0</v>
      </c>
    </row>
    <row r="186" spans="1:12" s="1" customFormat="1">
      <c r="A186" s="3">
        <v>45202</v>
      </c>
      <c r="B186" s="1" t="s">
        <v>13</v>
      </c>
      <c r="C186" s="1">
        <v>11</v>
      </c>
      <c r="D186" s="1">
        <v>16</v>
      </c>
      <c r="E186" s="1">
        <v>0</v>
      </c>
      <c r="F186" s="1">
        <f>IF(E186 + F185 &lt; 0, E186 + F185, 0)</f>
        <v>0</v>
      </c>
      <c r="G186" s="1">
        <v>0</v>
      </c>
      <c r="H186" s="1">
        <f>IF(G186 + H185 &lt; 0, G186 + H185, 0)</f>
        <v>0</v>
      </c>
      <c r="I186" s="1">
        <v>0</v>
      </c>
      <c r="J186" s="1">
        <f>IF(I186 + J185 &lt; 0, I186 + J185, 0)</f>
        <v>0</v>
      </c>
      <c r="K186" s="1">
        <v>0</v>
      </c>
      <c r="L186" s="1">
        <f>IF(K186 + L185 &lt; 0, K186 + L185, 0)</f>
        <v>0</v>
      </c>
    </row>
    <row r="187" spans="1:12" s="1" customFormat="1">
      <c r="A187" s="3">
        <v>45203</v>
      </c>
      <c r="B187" s="1" t="s">
        <v>14</v>
      </c>
      <c r="C187" s="1">
        <v>10</v>
      </c>
      <c r="D187" s="1">
        <v>15</v>
      </c>
      <c r="E187" s="1">
        <v>-143324.4116151799</v>
      </c>
      <c r="F187" s="1">
        <f>IF(E187 + F186 &lt; 0, E187 + F186, 0)</f>
        <v>0</v>
      </c>
      <c r="G187" s="1">
        <v>-424205.2692963306</v>
      </c>
      <c r="H187" s="1">
        <f>IF(G187 + H186 &lt; 0, G187 + H186, 0)</f>
        <v>0</v>
      </c>
      <c r="I187" s="1">
        <v>0</v>
      </c>
      <c r="J187" s="1">
        <f>IF(I187 + J186 &lt; 0, I187 + J186, 0)</f>
        <v>0</v>
      </c>
      <c r="K187" s="1">
        <v>0</v>
      </c>
      <c r="L187" s="1">
        <f>IF(K187 + L186 &lt; 0, K187 + L186, 0)</f>
        <v>0</v>
      </c>
    </row>
    <row r="188" spans="1:12" s="1" customFormat="1">
      <c r="A188" s="3">
        <v>45204</v>
      </c>
      <c r="B188" s="1" t="s">
        <v>16</v>
      </c>
      <c r="C188" s="1">
        <v>9</v>
      </c>
      <c r="D188" s="1">
        <v>14</v>
      </c>
      <c r="E188" s="1">
        <v>439564.4112008548</v>
      </c>
      <c r="F188" s="1">
        <f>IF(E188 + F187 &lt; 0, E188 + F187, 0)</f>
        <v>0</v>
      </c>
      <c r="G188" s="1">
        <v>439564.4112008548</v>
      </c>
      <c r="H188" s="1">
        <f>IF(G188 + H187 &lt; 0, G188 + H187, 0)</f>
        <v>0</v>
      </c>
      <c r="I188" s="1">
        <v>0</v>
      </c>
      <c r="J188" s="1">
        <f>IF(I188 + J187 &lt; 0, I188 + J187, 0)</f>
        <v>0</v>
      </c>
      <c r="K188" s="1">
        <v>0</v>
      </c>
      <c r="L188" s="1">
        <f>IF(K188 + L187 &lt; 0, K188 + L187, 0)</f>
        <v>0</v>
      </c>
    </row>
    <row r="189" spans="1:12" s="1" customFormat="1">
      <c r="A189" s="3">
        <v>45205</v>
      </c>
      <c r="B189" s="1" t="s">
        <v>15</v>
      </c>
      <c r="C189" s="1">
        <v>8</v>
      </c>
      <c r="D189" s="1">
        <v>13</v>
      </c>
      <c r="E189" s="1">
        <v>253834.2569918804</v>
      </c>
      <c r="F189" s="1">
        <f>IF(E189 + F188 &lt; 0, E189 + F188, 0)</f>
        <v>0</v>
      </c>
      <c r="G189" s="1">
        <v>253834.2569918804</v>
      </c>
      <c r="H189" s="1">
        <f>IF(G189 + H188 &lt; 0, G189 + H188, 0)</f>
        <v>0</v>
      </c>
      <c r="I189" s="1">
        <v>0</v>
      </c>
      <c r="J189" s="1">
        <f>IF(I189 + J188 &lt; 0, I189 + J188, 0)</f>
        <v>0</v>
      </c>
      <c r="K189" s="1">
        <v>0</v>
      </c>
      <c r="L189" s="1">
        <f>IF(K189 + L188 &lt; 0, K189 + L188, 0)</f>
        <v>0</v>
      </c>
    </row>
    <row r="190" spans="1:12" s="1" customFormat="1">
      <c r="A190" s="3">
        <v>45208</v>
      </c>
      <c r="B190" s="1" t="s">
        <v>12</v>
      </c>
      <c r="C190" s="1">
        <v>7</v>
      </c>
      <c r="D190" s="1">
        <v>12</v>
      </c>
      <c r="E190" s="1">
        <v>227258.6393925306</v>
      </c>
      <c r="F190" s="1">
        <f>IF(E190 + F189 &lt; 0, E190 + F189, 0)</f>
        <v>0</v>
      </c>
      <c r="G190" s="1">
        <v>227258.6393925306</v>
      </c>
      <c r="H190" s="1">
        <f>IF(G190 + H189 &lt; 0, G190 + H189, 0)</f>
        <v>0</v>
      </c>
      <c r="I190" s="1">
        <v>0</v>
      </c>
      <c r="J190" s="1">
        <f>IF(I190 + J189 &lt; 0, I190 + J189, 0)</f>
        <v>0</v>
      </c>
      <c r="K190" s="1">
        <v>0</v>
      </c>
      <c r="L190" s="1">
        <f>IF(K190 + L189 &lt; 0, K190 + L189, 0)</f>
        <v>0</v>
      </c>
    </row>
    <row r="191" spans="1:12" s="1" customFormat="1">
      <c r="A191" s="3">
        <v>45209</v>
      </c>
      <c r="B191" s="1" t="s">
        <v>13</v>
      </c>
      <c r="C191" s="1">
        <v>6</v>
      </c>
      <c r="D191" s="1">
        <v>11</v>
      </c>
      <c r="E191" s="1">
        <v>190429.6875</v>
      </c>
      <c r="F191" s="1">
        <f>IF(E191 + F190 &lt; 0, E191 + F190, 0)</f>
        <v>0</v>
      </c>
      <c r="G191" s="1">
        <v>190429.6875</v>
      </c>
      <c r="H191" s="1">
        <f>IF(G191 + H190 &lt; 0, G191 + H190, 0)</f>
        <v>0</v>
      </c>
      <c r="I191" s="1">
        <v>0</v>
      </c>
      <c r="J191" s="1">
        <f>IF(I191 + J190 &lt; 0, I191 + J190, 0)</f>
        <v>0</v>
      </c>
      <c r="K191" s="1">
        <v>0</v>
      </c>
      <c r="L191" s="1">
        <f>IF(K191 + L190 &lt; 0, K191 + L190, 0)</f>
        <v>0</v>
      </c>
    </row>
    <row r="192" spans="1:12" s="1" customFormat="1">
      <c r="A192" s="3">
        <v>45210</v>
      </c>
      <c r="B192" s="1" t="s">
        <v>14</v>
      </c>
      <c r="C192" s="1">
        <v>5</v>
      </c>
      <c r="D192" s="1">
        <v>10</v>
      </c>
      <c r="E192" s="1">
        <v>-89974.46215756073</v>
      </c>
      <c r="F192" s="1">
        <f>IF(E192 + F191 &lt; 0, E192 + F191, 0)</f>
        <v>0</v>
      </c>
      <c r="G192" s="1">
        <v>-77665.99597585513</v>
      </c>
      <c r="H192" s="1">
        <f>IF(G192 + H191 &lt; 0, G192 + H191, 0)</f>
        <v>0</v>
      </c>
      <c r="I192" s="1">
        <v>0</v>
      </c>
      <c r="J192" s="1">
        <f>IF(I192 + J191 &lt; 0, I192 + J191, 0)</f>
        <v>0</v>
      </c>
      <c r="K192" s="1">
        <v>0</v>
      </c>
      <c r="L192" s="1">
        <f>IF(K192 + L191 &lt; 0, K192 + L191, 0)</f>
        <v>0</v>
      </c>
    </row>
    <row r="193" spans="1:12" s="1" customFormat="1">
      <c r="A193" s="3">
        <v>45211</v>
      </c>
      <c r="B193" s="1" t="s">
        <v>16</v>
      </c>
      <c r="C193" s="1">
        <v>4</v>
      </c>
      <c r="D193" s="1">
        <v>9</v>
      </c>
      <c r="E193" s="1">
        <v>308728.4413669295</v>
      </c>
      <c r="F193" s="1">
        <f>IF(E193 + F192 &lt; 0, E193 + F192, 0)</f>
        <v>0</v>
      </c>
      <c r="G193" s="1">
        <v>304802.2055523498</v>
      </c>
      <c r="H193" s="1">
        <f>IF(G193 + H192 &lt; 0, G193 + H192, 0)</f>
        <v>0</v>
      </c>
      <c r="I193" s="1">
        <v>0</v>
      </c>
      <c r="J193" s="1">
        <f>IF(I193 + J192 &lt; 0, I193 + J192, 0)</f>
        <v>0</v>
      </c>
      <c r="K193" s="1">
        <v>0</v>
      </c>
      <c r="L193" s="1">
        <f>IF(K193 + L192 &lt; 0, K193 + L192, 0)</f>
        <v>0</v>
      </c>
    </row>
    <row r="194" spans="1:12" s="1" customFormat="1">
      <c r="A194" s="3">
        <v>45212</v>
      </c>
      <c r="B194" s="1" t="s">
        <v>15</v>
      </c>
      <c r="C194" s="1">
        <v>3</v>
      </c>
      <c r="D194" s="1">
        <v>8</v>
      </c>
      <c r="E194" s="1">
        <v>211038.6196348341</v>
      </c>
      <c r="F194" s="1">
        <f>IF(E194 + F193 &lt; 0, E194 + F193, 0)</f>
        <v>0</v>
      </c>
      <c r="G194" s="1">
        <v>223703.9161329382</v>
      </c>
      <c r="H194" s="1">
        <f>IF(G194 + H193 &lt; 0, G194 + H193, 0)</f>
        <v>0</v>
      </c>
      <c r="I194" s="1">
        <v>0</v>
      </c>
      <c r="J194" s="1">
        <f>IF(I194 + J193 &lt; 0, I194 + J193, 0)</f>
        <v>0</v>
      </c>
      <c r="K194" s="1">
        <v>0</v>
      </c>
      <c r="L194" s="1">
        <f>IF(K194 + L193 &lt; 0, K194 + L193, 0)</f>
        <v>0</v>
      </c>
    </row>
    <row r="195" spans="1:12" s="1" customFormat="1">
      <c r="A195" s="3">
        <v>45215</v>
      </c>
      <c r="B195" s="1" t="s">
        <v>12</v>
      </c>
      <c r="C195" s="1">
        <v>2</v>
      </c>
      <c r="D195" s="1">
        <v>7</v>
      </c>
      <c r="E195" s="1">
        <v>84429.51582297852</v>
      </c>
      <c r="F195" s="1">
        <f>IF(E195 + F194 &lt; 0, E195 + F194, 0)</f>
        <v>0</v>
      </c>
      <c r="G195" s="1">
        <v>287568.0969578258</v>
      </c>
      <c r="H195" s="1">
        <f>IF(G195 + H194 &lt; 0, G195 + H194, 0)</f>
        <v>0</v>
      </c>
      <c r="I195" s="1">
        <v>0</v>
      </c>
      <c r="J195" s="1">
        <f>IF(I195 + J194 &lt; 0, I195 + J194, 0)</f>
        <v>0</v>
      </c>
      <c r="K195" s="1">
        <v>0</v>
      </c>
      <c r="L195" s="1">
        <f>IF(K195 + L194 &lt; 0, K195 + L194, 0)</f>
        <v>0</v>
      </c>
    </row>
    <row r="196" spans="1:12" s="1" customFormat="1">
      <c r="A196" s="3">
        <v>45216</v>
      </c>
      <c r="B196" s="1" t="s">
        <v>13</v>
      </c>
      <c r="C196" s="1">
        <v>1</v>
      </c>
      <c r="D196" s="1">
        <v>6</v>
      </c>
      <c r="E196" s="1">
        <v>118384.8215110728</v>
      </c>
      <c r="F196" s="1">
        <f>IF(E196 + F195 &lt; 0, E196 + F195, 0)</f>
        <v>0</v>
      </c>
      <c r="G196" s="1">
        <v>499173.0064373056</v>
      </c>
      <c r="H196" s="1">
        <f>IF(G196 + H195 &lt; 0, G196 + H195, 0)</f>
        <v>0</v>
      </c>
      <c r="I196" s="1">
        <v>125884.2443729904</v>
      </c>
      <c r="J196" s="1">
        <f>IF(I196 + J195 &lt; 0, I196 + J195, 0)</f>
        <v>0</v>
      </c>
      <c r="K196" s="1">
        <v>125884.2443729904</v>
      </c>
      <c r="L196" s="1">
        <f>IF(K196 + L195 &lt; 0, K196 + L195, 0)</f>
        <v>0</v>
      </c>
    </row>
    <row r="197" spans="1:12" s="1" customFormat="1">
      <c r="A197" s="3">
        <v>45217</v>
      </c>
      <c r="B197" s="1" t="s">
        <v>14</v>
      </c>
      <c r="C197" s="1">
        <v>0</v>
      </c>
      <c r="D197" s="1">
        <v>5</v>
      </c>
      <c r="E197" s="1">
        <v>0</v>
      </c>
      <c r="F197" s="1">
        <f>IF(E197 + F196 &lt; 0, E197 + F196, 0)</f>
        <v>0</v>
      </c>
      <c r="G197" s="1">
        <v>0</v>
      </c>
      <c r="H197" s="1">
        <f>IF(G197 + H196 &lt; 0, G197 + H196, 0)</f>
        <v>0</v>
      </c>
      <c r="I197" s="1">
        <v>167692.8062216462</v>
      </c>
      <c r="J197" s="1">
        <f>IF(I197 + J196 &lt; 0, I197 + J196, 0)</f>
        <v>0</v>
      </c>
      <c r="K197" s="1">
        <v>167692.8062216462</v>
      </c>
      <c r="L197" s="1">
        <f>IF(K197 + L196 &lt; 0, K197 + L196, 0)</f>
        <v>0</v>
      </c>
    </row>
    <row r="198" spans="1:12" s="1" customFormat="1">
      <c r="A198" s="3">
        <v>45218</v>
      </c>
      <c r="B198" s="1" t="s">
        <v>16</v>
      </c>
      <c r="C198" s="1">
        <v>0</v>
      </c>
      <c r="D198" s="1">
        <v>0</v>
      </c>
      <c r="E198" s="1">
        <v>0</v>
      </c>
      <c r="F198" s="1">
        <f>IF(E198 + F197 &lt; 0, E198 + F197, 0)</f>
        <v>0</v>
      </c>
      <c r="G198" s="1">
        <v>0</v>
      </c>
      <c r="H198" s="1">
        <f>IF(G198 + H197 &lt; 0, G198 + H197, 0)</f>
        <v>0</v>
      </c>
      <c r="I198" s="1">
        <v>0</v>
      </c>
      <c r="J198" s="1">
        <f>IF(I198 + J197 &lt; 0, I198 + J197, 0)</f>
        <v>0</v>
      </c>
      <c r="K198" s="1">
        <v>0</v>
      </c>
      <c r="L198" s="1">
        <f>IF(K198 + L197 &lt; 0, K198 + L197, 0)</f>
        <v>0</v>
      </c>
    </row>
    <row r="199" spans="1:12" s="1" customFormat="1">
      <c r="A199" s="3">
        <v>45219</v>
      </c>
      <c r="B199" s="1" t="s">
        <v>15</v>
      </c>
      <c r="C199" s="1">
        <v>14</v>
      </c>
      <c r="D199" s="1">
        <v>3</v>
      </c>
      <c r="E199" s="1">
        <v>0</v>
      </c>
      <c r="F199" s="1">
        <f>IF(E199 + F198 &lt; 0, E199 + F198, 0)</f>
        <v>0</v>
      </c>
      <c r="G199" s="1">
        <v>0</v>
      </c>
      <c r="H199" s="1">
        <f>IF(G199 + H198 &lt; 0, G199 + H198, 0)</f>
        <v>0</v>
      </c>
      <c r="I199" s="1">
        <v>171088.4353741497</v>
      </c>
      <c r="J199" s="1">
        <f>IF(I199 + J198 &lt; 0, I199 + J198, 0)</f>
        <v>0</v>
      </c>
      <c r="K199" s="1">
        <v>171088.4353741497</v>
      </c>
      <c r="L199" s="1">
        <f>IF(K199 + L198 &lt; 0, K199 + L198, 0)</f>
        <v>0</v>
      </c>
    </row>
    <row r="200" spans="1:12" s="1" customFormat="1">
      <c r="A200" s="3">
        <v>45222</v>
      </c>
      <c r="B200" s="1" t="s">
        <v>12</v>
      </c>
      <c r="C200" s="1">
        <v>13</v>
      </c>
      <c r="D200" s="1">
        <v>2</v>
      </c>
      <c r="E200" s="1">
        <v>0</v>
      </c>
      <c r="F200" s="1">
        <f>IF(E200 + F199 &lt; 0, E200 + F199, 0)</f>
        <v>0</v>
      </c>
      <c r="G200" s="1">
        <v>0</v>
      </c>
      <c r="H200" s="1">
        <f>IF(G200 + H199 &lt; 0, G200 + H199, 0)</f>
        <v>0</v>
      </c>
      <c r="I200" s="1">
        <v>125030.3713988198</v>
      </c>
      <c r="J200" s="1">
        <f>IF(I200 + J199 &lt; 0, I200 + J199, 0)</f>
        <v>0</v>
      </c>
      <c r="K200" s="1">
        <v>141964.5956265186</v>
      </c>
      <c r="L200" s="1">
        <f>IF(K200 + L199 &lt; 0, K200 + L199, 0)</f>
        <v>0</v>
      </c>
    </row>
    <row r="201" spans="1:12" s="1" customFormat="1">
      <c r="A201" s="3">
        <v>45223</v>
      </c>
      <c r="B201" s="1" t="s">
        <v>13</v>
      </c>
      <c r="C201" s="1">
        <v>12</v>
      </c>
      <c r="D201" s="1">
        <v>1</v>
      </c>
      <c r="E201" s="1">
        <v>0</v>
      </c>
      <c r="F201" s="1">
        <f>IF(E201 + F200 &lt; 0, E201 + F200, 0)</f>
        <v>0</v>
      </c>
      <c r="G201" s="1">
        <v>0</v>
      </c>
      <c r="H201" s="1">
        <f>IF(G201 + H200 &lt; 0, G201 + H200, 0)</f>
        <v>0</v>
      </c>
      <c r="I201" s="1">
        <v>178279.3867120954</v>
      </c>
      <c r="J201" s="1">
        <f>IF(I201 + J200 &lt; 0, I201 + J200, 0)</f>
        <v>0</v>
      </c>
      <c r="K201" s="1">
        <v>188611.5843270869</v>
      </c>
      <c r="L201" s="1">
        <f>IF(K201 + L200 &lt; 0, K201 + L200, 0)</f>
        <v>0</v>
      </c>
    </row>
    <row r="202" spans="1:12" s="1" customFormat="1">
      <c r="A202" s="3">
        <v>45224</v>
      </c>
      <c r="B202" s="1" t="s">
        <v>14</v>
      </c>
      <c r="C202" s="1">
        <v>11</v>
      </c>
      <c r="D202" s="1">
        <v>16</v>
      </c>
      <c r="E202" s="1">
        <v>0</v>
      </c>
      <c r="F202" s="1">
        <f>IF(E202 + F201 &lt; 0, E202 + F201, 0)</f>
        <v>0</v>
      </c>
      <c r="G202" s="1">
        <v>0</v>
      </c>
      <c r="H202" s="1">
        <f>IF(G202 + H201 &lt; 0, G202 + H201, 0)</f>
        <v>0</v>
      </c>
      <c r="I202" s="1">
        <v>0</v>
      </c>
      <c r="J202" s="1">
        <f>IF(I202 + J201 &lt; 0, I202 + J201, 0)</f>
        <v>0</v>
      </c>
      <c r="K202" s="1">
        <v>0</v>
      </c>
      <c r="L202" s="1">
        <f>IF(K202 + L201 &lt; 0, K202 + L201, 0)</f>
        <v>0</v>
      </c>
    </row>
    <row r="203" spans="1:12" s="1" customFormat="1">
      <c r="A203" s="3">
        <v>45225</v>
      </c>
      <c r="B203" s="1" t="s">
        <v>16</v>
      </c>
      <c r="C203" s="1">
        <v>10</v>
      </c>
      <c r="D203" s="1">
        <v>15</v>
      </c>
      <c r="E203" s="1">
        <v>30216.68336673346</v>
      </c>
      <c r="F203" s="1">
        <f>IF(E203 + F202 &lt; 0, E203 + F202, 0)</f>
        <v>0</v>
      </c>
      <c r="G203" s="1">
        <v>30216.68336673346</v>
      </c>
      <c r="H203" s="1">
        <f>IF(G203 + H202 &lt; 0, G203 + H202, 0)</f>
        <v>0</v>
      </c>
      <c r="I203" s="1">
        <v>0</v>
      </c>
      <c r="J203" s="1">
        <f>IF(I203 + J202 &lt; 0, I203 + J202, 0)</f>
        <v>0</v>
      </c>
      <c r="K203" s="1">
        <v>0</v>
      </c>
      <c r="L203" s="1">
        <f>IF(K203 + L202 &lt; 0, K203 + L202, 0)</f>
        <v>0</v>
      </c>
    </row>
    <row r="204" spans="1:12" s="1" customFormat="1">
      <c r="A204" s="3">
        <v>45229</v>
      </c>
      <c r="B204" s="1" t="s">
        <v>12</v>
      </c>
      <c r="C204" s="1">
        <v>9</v>
      </c>
      <c r="D204" s="1">
        <v>14</v>
      </c>
      <c r="E204" s="1">
        <v>-194795.8701134931</v>
      </c>
      <c r="F204" s="1">
        <f>IF(E204 + F203 &lt; 0, E204 + F203, 0)</f>
        <v>0</v>
      </c>
      <c r="G204" s="1">
        <v>-152711.2232030265</v>
      </c>
      <c r="H204" s="1">
        <f>IF(G204 + H203 &lt; 0, G204 + H203, 0)</f>
        <v>0</v>
      </c>
      <c r="I204" s="1">
        <v>0</v>
      </c>
      <c r="J204" s="1">
        <f>IF(I204 + J203 &lt; 0, I204 + J203, 0)</f>
        <v>0</v>
      </c>
      <c r="K204" s="1">
        <v>0</v>
      </c>
      <c r="L204" s="1">
        <f>IF(K204 + L203 &lt; 0, K204 + L203, 0)</f>
        <v>0</v>
      </c>
    </row>
    <row r="205" spans="1:12" s="1" customFormat="1">
      <c r="A205" s="3">
        <v>45230</v>
      </c>
      <c r="B205" s="1" t="s">
        <v>13</v>
      </c>
      <c r="C205" s="1">
        <v>8</v>
      </c>
      <c r="D205" s="1">
        <v>13</v>
      </c>
      <c r="E205" s="1">
        <v>199948.2669425763</v>
      </c>
      <c r="F205" s="1">
        <f>IF(E205 + F204 &lt; 0, E205 + F204, 0)</f>
        <v>0</v>
      </c>
      <c r="G205" s="1">
        <v>199948.2669425763</v>
      </c>
      <c r="H205" s="1">
        <f>IF(G205 + H204 &lt; 0, G205 + H204, 0)</f>
        <v>0</v>
      </c>
      <c r="I205" s="1">
        <v>0</v>
      </c>
      <c r="J205" s="1">
        <f>IF(I205 + J204 &lt; 0, I205 + J204, 0)</f>
        <v>0</v>
      </c>
      <c r="K205" s="1">
        <v>0</v>
      </c>
      <c r="L205" s="1">
        <f>IF(K205 + L204 &lt; 0, K205 + L204, 0)</f>
        <v>0</v>
      </c>
    </row>
    <row r="206" spans="1:12" s="1" customFormat="1">
      <c r="A206" s="3">
        <v>45231</v>
      </c>
      <c r="B206" s="1" t="s">
        <v>14</v>
      </c>
      <c r="C206" s="1">
        <v>7</v>
      </c>
      <c r="D206" s="1">
        <v>12</v>
      </c>
      <c r="E206" s="1">
        <v>0</v>
      </c>
      <c r="F206" s="1">
        <f>IF(E206 + F205 &lt; 0, E206 + F205, 0)</f>
        <v>0</v>
      </c>
      <c r="G206" s="1">
        <v>0</v>
      </c>
      <c r="H206" s="1">
        <f>IF(G206 + H205 &lt; 0, G206 + H205, 0)</f>
        <v>0</v>
      </c>
      <c r="I206" s="1">
        <v>0</v>
      </c>
      <c r="J206" s="1">
        <f>IF(I206 + J205 &lt; 0, I206 + J205, 0)</f>
        <v>0</v>
      </c>
      <c r="K206" s="1">
        <v>0</v>
      </c>
      <c r="L206" s="1">
        <f>IF(K206 + L205 &lt; 0, K206 + L205, 0)</f>
        <v>0</v>
      </c>
    </row>
    <row r="207" spans="1:12" s="1" customFormat="1">
      <c r="A207" s="3">
        <v>45232</v>
      </c>
      <c r="B207" s="1" t="s">
        <v>16</v>
      </c>
      <c r="C207" s="1">
        <v>6</v>
      </c>
      <c r="D207" s="1">
        <v>11</v>
      </c>
      <c r="E207" s="1">
        <v>10762.88929599579</v>
      </c>
      <c r="F207" s="1">
        <f>IF(E207 + F206 &lt; 0, E207 + F206, 0)</f>
        <v>0</v>
      </c>
      <c r="G207" s="1">
        <v>10762.88929599579</v>
      </c>
      <c r="H207" s="1">
        <f>IF(G207 + H206 &lt; 0, G207 + H206, 0)</f>
        <v>0</v>
      </c>
      <c r="I207" s="1">
        <v>0</v>
      </c>
      <c r="J207" s="1">
        <f>IF(I207 + J206 &lt; 0, I207 + J206, 0)</f>
        <v>0</v>
      </c>
      <c r="K207" s="1">
        <v>0</v>
      </c>
      <c r="L207" s="1">
        <f>IF(K207 + L206 &lt; 0, K207 + L206, 0)</f>
        <v>0</v>
      </c>
    </row>
    <row r="208" spans="1:12" s="1" customFormat="1">
      <c r="A208" s="3">
        <v>45233</v>
      </c>
      <c r="B208" s="1" t="s">
        <v>15</v>
      </c>
      <c r="C208" s="1">
        <v>5</v>
      </c>
      <c r="D208" s="1">
        <v>10</v>
      </c>
      <c r="E208" s="1">
        <v>0</v>
      </c>
      <c r="F208" s="1">
        <f>IF(E208 + F207 &lt; 0, E208 + F207, 0)</f>
        <v>0</v>
      </c>
      <c r="G208" s="1">
        <v>0</v>
      </c>
      <c r="H208" s="1">
        <f>IF(G208 + H207 &lt; 0, G208 + H207, 0)</f>
        <v>0</v>
      </c>
      <c r="I208" s="1">
        <v>0</v>
      </c>
      <c r="J208" s="1">
        <f>IF(I208 + J207 &lt; 0, I208 + J207, 0)</f>
        <v>0</v>
      </c>
      <c r="K208" s="1">
        <v>0</v>
      </c>
      <c r="L208" s="1">
        <f>IF(K208 + L207 &lt; 0, K208 + L207, 0)</f>
        <v>0</v>
      </c>
    </row>
    <row r="209" spans="1:12" s="1" customFormat="1">
      <c r="A209" s="3">
        <v>45237</v>
      </c>
      <c r="B209" s="1" t="s">
        <v>13</v>
      </c>
      <c r="C209" s="1">
        <v>4</v>
      </c>
      <c r="D209" s="1">
        <v>9</v>
      </c>
      <c r="E209" s="1">
        <v>-136064.9909045808</v>
      </c>
      <c r="F209" s="1">
        <f>IF(E209 + F208 &lt; 0, E209 + F208, 0)</f>
        <v>0</v>
      </c>
      <c r="G209" s="1">
        <v>-171870.3489333554</v>
      </c>
      <c r="H209" s="1">
        <f>IF(G209 + H208 &lt; 0, G209 + H208, 0)</f>
        <v>0</v>
      </c>
      <c r="I209" s="1">
        <v>0</v>
      </c>
      <c r="J209" s="1">
        <f>IF(I209 + J208 &lt; 0, I209 + J208, 0)</f>
        <v>0</v>
      </c>
      <c r="K209" s="1">
        <v>0</v>
      </c>
      <c r="L209" s="1">
        <f>IF(K209 + L208 &lt; 0, K209 + L208, 0)</f>
        <v>0</v>
      </c>
    </row>
    <row r="210" spans="1:12" s="1" customFormat="1">
      <c r="A210" s="3">
        <v>45239</v>
      </c>
      <c r="B210" s="1" t="s">
        <v>16</v>
      </c>
      <c r="C210" s="1">
        <v>3</v>
      </c>
      <c r="D210" s="1">
        <v>8</v>
      </c>
      <c r="E210" s="1">
        <v>285384.5882808922</v>
      </c>
      <c r="F210" s="1">
        <f>IF(E210 + F209 &lt; 0, E210 + F209, 0)</f>
        <v>0</v>
      </c>
      <c r="G210" s="1">
        <v>285384.5882808922</v>
      </c>
      <c r="H210" s="1">
        <f>IF(G210 + H209 &lt; 0, G210 + H209, 0)</f>
        <v>0</v>
      </c>
      <c r="I210" s="1">
        <v>0</v>
      </c>
      <c r="J210" s="1">
        <f>IF(I210 + J209 &lt; 0, I210 + J209, 0)</f>
        <v>0</v>
      </c>
      <c r="K210" s="1">
        <v>0</v>
      </c>
      <c r="L210" s="1">
        <f>IF(K210 + L209 &lt; 0, K210 + L209, 0)</f>
        <v>0</v>
      </c>
    </row>
    <row r="211" spans="1:12" s="1" customFormat="1">
      <c r="A211" s="3">
        <v>45240</v>
      </c>
      <c r="B211" s="1" t="s">
        <v>15</v>
      </c>
      <c r="C211" s="1">
        <v>2</v>
      </c>
      <c r="D211" s="1">
        <v>7</v>
      </c>
      <c r="E211" s="1">
        <v>231154.5467283172</v>
      </c>
      <c r="F211" s="1">
        <f>IF(E211 + F210 &lt; 0, E211 + F210, 0)</f>
        <v>0</v>
      </c>
      <c r="G211" s="1">
        <v>231154.5467283172</v>
      </c>
      <c r="H211" s="1">
        <f>IF(G211 + H210 &lt; 0, G211 + H210, 0)</f>
        <v>0</v>
      </c>
      <c r="I211" s="1">
        <v>0</v>
      </c>
      <c r="J211" s="1">
        <f>IF(I211 + J210 &lt; 0, I211 + J210, 0)</f>
        <v>0</v>
      </c>
      <c r="K211" s="1">
        <v>0</v>
      </c>
      <c r="L211" s="1">
        <f>IF(K211 + L210 &lt; 0, K211 + L210, 0)</f>
        <v>0</v>
      </c>
    </row>
    <row r="212" spans="1:12" s="1" customFormat="1">
      <c r="A212" s="3">
        <v>45242</v>
      </c>
      <c r="B212" s="1" t="s">
        <v>17</v>
      </c>
      <c r="C212" s="1">
        <v>1</v>
      </c>
      <c r="D212" s="1">
        <v>6</v>
      </c>
      <c r="E212" s="1">
        <v>93292.05366357068</v>
      </c>
      <c r="F212" s="1">
        <f>IF(E212 + F211 &lt; 0, E212 + F211, 0)</f>
        <v>0</v>
      </c>
      <c r="G212" s="1">
        <v>93292.05366357068</v>
      </c>
      <c r="H212" s="1">
        <f>IF(G212 + H211 &lt; 0, G212 + H211, 0)</f>
        <v>0</v>
      </c>
      <c r="I212" s="1">
        <v>85686.14576493762</v>
      </c>
      <c r="J212" s="1">
        <f>IF(I212 + J211 &lt; 0, I212 + J211, 0)</f>
        <v>0</v>
      </c>
      <c r="K212" s="1">
        <v>85686.14576493762</v>
      </c>
      <c r="L212" s="1">
        <f>IF(K212 + L211 &lt; 0, K212 + L211, 0)</f>
        <v>0</v>
      </c>
    </row>
    <row r="213" spans="1:12" s="1" customFormat="1">
      <c r="A213" s="3">
        <v>45246</v>
      </c>
      <c r="B213" s="1" t="s">
        <v>16</v>
      </c>
      <c r="C213" s="1">
        <v>17</v>
      </c>
      <c r="D213" s="1">
        <v>5</v>
      </c>
      <c r="E213" s="1">
        <v>0</v>
      </c>
      <c r="F213" s="1">
        <f>IF(E213 + F212 &lt; 0, E213 + F212, 0)</f>
        <v>0</v>
      </c>
      <c r="G213" s="1">
        <v>0</v>
      </c>
      <c r="H213" s="1">
        <f>IF(G213 + H212 &lt; 0, G213 + H212, 0)</f>
        <v>0</v>
      </c>
      <c r="I213" s="1">
        <v>-340976.1679292929</v>
      </c>
      <c r="J213" s="1">
        <f>IF(I213 + J212 &lt; 0, I213 + J212, 0)</f>
        <v>0</v>
      </c>
      <c r="K213" s="1">
        <v>-384730.1136363636</v>
      </c>
      <c r="L213" s="1">
        <f>IF(K213 + L212 &lt; 0, K213 + L212, 0)</f>
        <v>0</v>
      </c>
    </row>
    <row r="214" spans="1:12" s="1" customFormat="1">
      <c r="A214" s="3">
        <v>45247</v>
      </c>
      <c r="B214" s="1" t="s">
        <v>15</v>
      </c>
      <c r="C214" s="1">
        <v>16</v>
      </c>
      <c r="D214" s="1">
        <v>4</v>
      </c>
      <c r="E214" s="1">
        <v>0</v>
      </c>
      <c r="F214" s="1">
        <f>IF(E214 + F213 &lt; 0, E214 + F213, 0)</f>
        <v>0</v>
      </c>
      <c r="G214" s="1">
        <v>0</v>
      </c>
      <c r="H214" s="1">
        <f>IF(G214 + H213 &lt; 0, G214 + H213, 0)</f>
        <v>0</v>
      </c>
      <c r="I214" s="1">
        <v>-88768.58435681963</v>
      </c>
      <c r="J214" s="1">
        <f>IF(I214 + J213 &lt; 0, I214 + J213, 0)</f>
        <v>0</v>
      </c>
      <c r="K214" s="1">
        <v>-98416.28959276016</v>
      </c>
      <c r="L214" s="1">
        <f>IF(K214 + L213 &lt; 0, K214 + L213, 0)</f>
        <v>0</v>
      </c>
    </row>
    <row r="215" spans="1:12" s="1" customFormat="1">
      <c r="A215" s="3">
        <v>45251</v>
      </c>
      <c r="B215" s="1" t="s">
        <v>13</v>
      </c>
      <c r="C215" s="1">
        <v>15</v>
      </c>
      <c r="D215" s="1">
        <v>3</v>
      </c>
      <c r="E215" s="1">
        <v>0</v>
      </c>
      <c r="F215" s="1">
        <f>IF(E215 + F214 &lt; 0, E215 + F214, 0)</f>
        <v>0</v>
      </c>
      <c r="G215" s="1">
        <v>0</v>
      </c>
      <c r="H215" s="1">
        <f>IF(G215 + H214 &lt; 0, G215 + H214, 0)</f>
        <v>0</v>
      </c>
      <c r="I215" s="1">
        <v>20228.21576763486</v>
      </c>
      <c r="J215" s="1">
        <f>IF(I215 + J214 &lt; 0, I215 + J214, 0)</f>
        <v>0</v>
      </c>
      <c r="K215" s="1">
        <v>20228.21576763486</v>
      </c>
      <c r="L215" s="1">
        <f>IF(K215 + L214 &lt; 0, K215 + L214, 0)</f>
        <v>0</v>
      </c>
    </row>
    <row r="216" spans="1:12" s="1" customFormat="1">
      <c r="A216" s="3">
        <v>45252</v>
      </c>
      <c r="B216" s="1" t="s">
        <v>14</v>
      </c>
      <c r="C216" s="1">
        <v>14</v>
      </c>
      <c r="D216" s="1">
        <v>2</v>
      </c>
      <c r="E216" s="1">
        <v>0</v>
      </c>
      <c r="F216" s="1">
        <f>IF(E216 + F215 &lt; 0, E216 + F215, 0)</f>
        <v>0</v>
      </c>
      <c r="G216" s="1">
        <v>0</v>
      </c>
      <c r="H216" s="1">
        <f>IF(G216 + H215 &lt; 0, G216 + H215, 0)</f>
        <v>0</v>
      </c>
      <c r="I216" s="1">
        <v>174308.4733893557</v>
      </c>
      <c r="J216" s="1">
        <f>IF(I216 + J215 &lt; 0, I216 + J215, 0)</f>
        <v>0</v>
      </c>
      <c r="K216" s="1">
        <v>174308.4733893557</v>
      </c>
      <c r="L216" s="1">
        <f>IF(K216 + L215 &lt; 0, K216 + L215, 0)</f>
        <v>0</v>
      </c>
    </row>
    <row r="217" spans="1:12" s="1" customFormat="1">
      <c r="A217" s="3">
        <v>45253</v>
      </c>
      <c r="B217" s="1" t="s">
        <v>16</v>
      </c>
      <c r="C217" s="1">
        <v>13</v>
      </c>
      <c r="D217" s="1">
        <v>1</v>
      </c>
      <c r="E217" s="1">
        <v>0</v>
      </c>
      <c r="F217" s="1">
        <f>IF(E217 + F216 &lt; 0, E217 + F216, 0)</f>
        <v>0</v>
      </c>
      <c r="G217" s="1">
        <v>0</v>
      </c>
      <c r="H217" s="1">
        <f>IF(G217 + H216 &lt; 0, G217 + H216, 0)</f>
        <v>0</v>
      </c>
      <c r="I217" s="1">
        <v>71407.49739673725</v>
      </c>
      <c r="J217" s="1">
        <f>IF(I217 + J216 &lt; 0, I217 + J216, 0)</f>
        <v>0</v>
      </c>
      <c r="K217" s="1">
        <v>90419.99305796598</v>
      </c>
      <c r="L217" s="1">
        <f>IF(K217 + L216 &lt; 0, K217 + L216, 0)</f>
        <v>0</v>
      </c>
    </row>
    <row r="218" spans="1:12" s="1" customFormat="1">
      <c r="A218" s="3">
        <v>45254</v>
      </c>
      <c r="B218" s="1" t="s">
        <v>15</v>
      </c>
      <c r="C218" s="1">
        <v>12</v>
      </c>
      <c r="D218" s="1">
        <v>13</v>
      </c>
      <c r="E218" s="1">
        <v>0</v>
      </c>
      <c r="F218" s="1">
        <f>IF(E218 + F217 &lt; 0, E218 + F217, 0)</f>
        <v>0</v>
      </c>
      <c r="G218" s="1">
        <v>0</v>
      </c>
      <c r="H218" s="1">
        <f>IF(G218 + H217 &lt; 0, G218 + H217, 0)</f>
        <v>0</v>
      </c>
      <c r="I218" s="1">
        <v>0</v>
      </c>
      <c r="J218" s="1">
        <f>IF(I218 + J217 &lt; 0, I218 + J217, 0)</f>
        <v>0</v>
      </c>
      <c r="K218" s="1">
        <v>0</v>
      </c>
      <c r="L218" s="1">
        <f>IF(K218 + L217 &lt; 0, K218 + L217, 0)</f>
        <v>0</v>
      </c>
    </row>
    <row r="219" spans="1:12" s="1" customFormat="1">
      <c r="A219" s="3">
        <v>45260</v>
      </c>
      <c r="B219" s="1" t="s">
        <v>16</v>
      </c>
      <c r="C219" s="1">
        <v>11</v>
      </c>
      <c r="D219" s="1">
        <v>12</v>
      </c>
      <c r="E219" s="1">
        <v>0</v>
      </c>
      <c r="F219" s="1">
        <f>IF(E219 + F218 &lt; 0, E219 + F218, 0)</f>
        <v>0</v>
      </c>
      <c r="G219" s="1">
        <v>0</v>
      </c>
      <c r="H219" s="1">
        <f>IF(G219 + H218 &lt; 0, G219 + H218, 0)</f>
        <v>0</v>
      </c>
      <c r="I219" s="1">
        <v>0</v>
      </c>
      <c r="J219" s="1">
        <f>IF(I219 + J218 &lt; 0, I219 + J218, 0)</f>
        <v>0</v>
      </c>
      <c r="K219" s="1">
        <v>0</v>
      </c>
      <c r="L219" s="1">
        <f>IF(K219 + L218 &lt; 0, K219 + L218, 0)</f>
        <v>0</v>
      </c>
    </row>
    <row r="220" spans="1:12" s="1" customFormat="1">
      <c r="A220" s="3">
        <v>45261</v>
      </c>
      <c r="B220" s="1" t="s">
        <v>15</v>
      </c>
      <c r="C220" s="1">
        <v>10</v>
      </c>
      <c r="D220" s="1">
        <v>11</v>
      </c>
      <c r="E220" s="1">
        <v>224492.3055301806</v>
      </c>
      <c r="F220" s="1">
        <f>IF(E220 + F219 &lt; 0, E220 + F219, 0)</f>
        <v>0</v>
      </c>
      <c r="G220" s="1">
        <v>224492.3055301806</v>
      </c>
      <c r="H220" s="1">
        <f>IF(G220 + H219 &lt; 0, G220 + H219, 0)</f>
        <v>0</v>
      </c>
      <c r="I220" s="1">
        <v>0</v>
      </c>
      <c r="J220" s="1">
        <f>IF(I220 + J219 &lt; 0, I220 + J219, 0)</f>
        <v>0</v>
      </c>
      <c r="K220" s="1">
        <v>0</v>
      </c>
      <c r="L220" s="1">
        <f>IF(K220 + L219 &lt; 0, K220 + L219, 0)</f>
        <v>0</v>
      </c>
    </row>
    <row r="221" spans="1:12" s="1" customFormat="1">
      <c r="A221" s="3">
        <v>45264</v>
      </c>
      <c r="B221" s="1" t="s">
        <v>12</v>
      </c>
      <c r="C221" s="1">
        <v>9</v>
      </c>
      <c r="D221" s="1">
        <v>10</v>
      </c>
      <c r="E221" s="1">
        <v>96627.91953071579</v>
      </c>
      <c r="F221" s="1">
        <f>IF(E221 + F220 &lt; 0, E221 + F220, 0)</f>
        <v>0</v>
      </c>
      <c r="G221" s="1">
        <v>96627.91953071579</v>
      </c>
      <c r="H221" s="1">
        <f>IF(G221 + H220 &lt; 0, G221 + H220, 0)</f>
        <v>0</v>
      </c>
      <c r="I221" s="1">
        <v>0</v>
      </c>
      <c r="J221" s="1">
        <f>IF(I221 + J220 &lt; 0, I221 + J220, 0)</f>
        <v>0</v>
      </c>
      <c r="K221" s="1">
        <v>0</v>
      </c>
      <c r="L221" s="1">
        <f>IF(K221 + L220 &lt; 0, K221 + L220, 0)</f>
        <v>0</v>
      </c>
    </row>
    <row r="222" spans="1:12" s="1" customFormat="1">
      <c r="A222" s="3">
        <v>45265</v>
      </c>
      <c r="B222" s="1" t="s">
        <v>13</v>
      </c>
      <c r="C222" s="1">
        <v>8</v>
      </c>
      <c r="D222" s="1">
        <v>9</v>
      </c>
      <c r="E222" s="1">
        <v>187608.916642463</v>
      </c>
      <c r="F222" s="1">
        <f>IF(E222 + F221 &lt; 0, E222 + F221, 0)</f>
        <v>0</v>
      </c>
      <c r="G222" s="1">
        <v>187608.916642463</v>
      </c>
      <c r="H222" s="1">
        <f>IF(G222 + H221 &lt; 0, G222 + H221, 0)</f>
        <v>0</v>
      </c>
      <c r="I222" s="1">
        <v>0</v>
      </c>
      <c r="J222" s="1">
        <f>IF(I222 + J221 &lt; 0, I222 + J221, 0)</f>
        <v>0</v>
      </c>
      <c r="K222" s="1">
        <v>0</v>
      </c>
      <c r="L222" s="1">
        <f>IF(K222 + L221 &lt; 0, K222 + L221, 0)</f>
        <v>0</v>
      </c>
    </row>
    <row r="223" spans="1:12" s="1" customFormat="1">
      <c r="A223" s="3">
        <v>45266</v>
      </c>
      <c r="B223" s="1" t="s">
        <v>14</v>
      </c>
      <c r="C223" s="1">
        <v>7</v>
      </c>
      <c r="D223" s="1">
        <v>8</v>
      </c>
      <c r="E223" s="1">
        <v>-49053.59304500942</v>
      </c>
      <c r="F223" s="1">
        <f>IF(E223 + F222 &lt; 0, E223 + F222, 0)</f>
        <v>0</v>
      </c>
      <c r="G223" s="1">
        <v>-171490.4075419097</v>
      </c>
      <c r="H223" s="1">
        <f>IF(G223 + H222 &lt; 0, G223 + H222, 0)</f>
        <v>0</v>
      </c>
      <c r="I223" s="1">
        <v>0</v>
      </c>
      <c r="J223" s="1">
        <f>IF(I223 + J222 &lt; 0, I223 + J222, 0)</f>
        <v>0</v>
      </c>
      <c r="K223" s="1">
        <v>0</v>
      </c>
      <c r="L223" s="1">
        <f>IF(K223 + L222 &lt; 0, K223 + L222, 0)</f>
        <v>0</v>
      </c>
    </row>
    <row r="224" spans="1:12" s="1" customFormat="1">
      <c r="A224" s="3">
        <v>45267</v>
      </c>
      <c r="B224" s="1" t="s">
        <v>16</v>
      </c>
      <c r="C224" s="1">
        <v>6</v>
      </c>
      <c r="D224" s="1">
        <v>7</v>
      </c>
      <c r="E224" s="1">
        <v>353086.7959020452</v>
      </c>
      <c r="F224" s="1">
        <f>IF(E224 + F223 &lt; 0, E224 + F223, 0)</f>
        <v>0</v>
      </c>
      <c r="G224" s="1">
        <v>353086.7959020452</v>
      </c>
      <c r="H224" s="1">
        <f>IF(G224 + H223 &lt; 0, G224 + H223, 0)</f>
        <v>0</v>
      </c>
      <c r="I224" s="1">
        <v>0</v>
      </c>
      <c r="J224" s="1">
        <f>IF(I224 + J223 &lt; 0, I224 + J223, 0)</f>
        <v>0</v>
      </c>
      <c r="K224" s="1">
        <v>0</v>
      </c>
      <c r="L224" s="1">
        <f>IF(K224 + L223 &lt; 0, K224 + L223, 0)</f>
        <v>0</v>
      </c>
    </row>
    <row r="225" spans="1:12" s="1" customFormat="1">
      <c r="A225" s="3">
        <v>45268</v>
      </c>
      <c r="B225" s="1" t="s">
        <v>15</v>
      </c>
      <c r="C225" s="1">
        <v>5</v>
      </c>
      <c r="D225" s="1">
        <v>6</v>
      </c>
      <c r="E225" s="1">
        <v>149071.868738422</v>
      </c>
      <c r="F225" s="1">
        <f>IF(E225 + F224 &lt; 0, E225 + F224, 0)</f>
        <v>0</v>
      </c>
      <c r="G225" s="1">
        <v>182620.6948697591</v>
      </c>
      <c r="H225" s="1">
        <f>IF(G225 + H224 &lt; 0, G225 + H224, 0)</f>
        <v>0</v>
      </c>
      <c r="I225" s="1">
        <v>3663.709988430388</v>
      </c>
      <c r="J225" s="1">
        <f>IF(I225 + J224 &lt; 0, I225 + J224, 0)</f>
        <v>0</v>
      </c>
      <c r="K225" s="1">
        <v>3663.709988430388</v>
      </c>
      <c r="L225" s="1">
        <f>IF(K225 + L224 &lt; 0, K225 + L224, 0)</f>
        <v>0</v>
      </c>
    </row>
    <row r="226" spans="1:12" s="1" customFormat="1">
      <c r="A226" s="3">
        <v>45271</v>
      </c>
      <c r="B226" s="1" t="s">
        <v>12</v>
      </c>
      <c r="C226" s="1">
        <v>4</v>
      </c>
      <c r="D226" s="1">
        <v>5</v>
      </c>
      <c r="E226" s="1">
        <v>237765.8783281274</v>
      </c>
      <c r="F226" s="1">
        <f>IF(E226 + F225 &lt; 0, E226 + F225, 0)</f>
        <v>0</v>
      </c>
      <c r="G226" s="1">
        <v>237765.8783281274</v>
      </c>
      <c r="H226" s="1">
        <f>IF(G226 + H225 &lt; 0, G226 + H225, 0)</f>
        <v>0</v>
      </c>
      <c r="I226" s="1">
        <v>-317806.4123376624</v>
      </c>
      <c r="J226" s="1">
        <f>IF(I226 + J225 &lt; 0, I226 + J225, 0)</f>
        <v>0</v>
      </c>
      <c r="K226" s="1">
        <v>-317806.4123376624</v>
      </c>
      <c r="L226" s="1">
        <f>IF(K226 + L225 &lt; 0, K226 + L225, 0)</f>
        <v>0</v>
      </c>
    </row>
    <row r="227" spans="1:12" s="1" customFormat="1">
      <c r="A227" s="3">
        <v>45272</v>
      </c>
      <c r="B227" s="1" t="s">
        <v>13</v>
      </c>
      <c r="C227" s="1">
        <v>3</v>
      </c>
      <c r="D227" s="1">
        <v>4</v>
      </c>
      <c r="E227" s="1">
        <v>98686.11782196612</v>
      </c>
      <c r="F227" s="1">
        <f>IF(E227 + F226 &lt; 0, E227 + F226, 0)</f>
        <v>0</v>
      </c>
      <c r="G227" s="1">
        <v>-666885.3372979</v>
      </c>
      <c r="H227" s="1">
        <f>IF(G227 + H226 &lt; 0, G227 + H226, 0)</f>
        <v>0</v>
      </c>
      <c r="I227" s="1">
        <v>-231024.5901639342</v>
      </c>
      <c r="J227" s="1">
        <f>IF(I227 + J226 &lt; 0, I227 + J226, 0)</f>
        <v>0</v>
      </c>
      <c r="K227" s="1">
        <v>-231024.5901639342</v>
      </c>
      <c r="L227" s="1">
        <f>IF(K227 + L226 &lt; 0, K227 + L226, 0)</f>
        <v>0</v>
      </c>
    </row>
    <row r="228" spans="1:12" s="1" customFormat="1">
      <c r="A228" s="3">
        <v>45273</v>
      </c>
      <c r="B228" s="1" t="s">
        <v>14</v>
      </c>
      <c r="C228" s="1">
        <v>2</v>
      </c>
      <c r="D228" s="1">
        <v>3</v>
      </c>
      <c r="E228" s="1">
        <v>396204.4475491908</v>
      </c>
      <c r="F228" s="1">
        <f>IF(E228 + F227 &lt; 0, E228 + F227, 0)</f>
        <v>0</v>
      </c>
      <c r="G228" s="1">
        <v>482361.1596227732</v>
      </c>
      <c r="H228" s="1">
        <f>IF(G228 + H227 &lt; 0, G228 + H227, 0)</f>
        <v>0</v>
      </c>
      <c r="I228" s="1">
        <v>82161.68717047451</v>
      </c>
      <c r="J228" s="1">
        <f>IF(I228 + J227 &lt; 0, I228 + J227, 0)</f>
        <v>0</v>
      </c>
      <c r="K228" s="1">
        <v>82161.68717047451</v>
      </c>
      <c r="L228" s="1">
        <f>IF(K228 + L227 &lt; 0, K228 + L227, 0)</f>
        <v>0</v>
      </c>
    </row>
    <row r="229" spans="1:12" s="1" customFormat="1">
      <c r="A229" s="3">
        <v>45274</v>
      </c>
      <c r="B229" s="1" t="s">
        <v>16</v>
      </c>
      <c r="C229" s="1">
        <v>1</v>
      </c>
      <c r="D229" s="1">
        <v>2</v>
      </c>
      <c r="E229" s="1">
        <v>113560.2956381879</v>
      </c>
      <c r="F229" s="1">
        <f>IF(E229 + F228 &lt; 0, E229 + F228, 0)</f>
        <v>0</v>
      </c>
      <c r="G229" s="1">
        <v>-306446.9804312028</v>
      </c>
      <c r="H229" s="1">
        <f>IF(G229 + H228 &lt; 0, G229 + H228, 0)</f>
        <v>0</v>
      </c>
      <c r="I229" s="1">
        <v>167435.189120272</v>
      </c>
      <c r="J229" s="1">
        <f>IF(I229 + J228 &lt; 0, I229 + J228, 0)</f>
        <v>0</v>
      </c>
      <c r="K229" s="1">
        <v>167435.189120272</v>
      </c>
      <c r="L229" s="1">
        <f>IF(K229 + L228 &lt; 0, K229 + L228, 0)</f>
        <v>0</v>
      </c>
    </row>
    <row r="230" spans="1:12" s="1" customFormat="1">
      <c r="A230" s="3">
        <v>45275</v>
      </c>
      <c r="B230" s="1" t="s">
        <v>15</v>
      </c>
      <c r="C230" s="1">
        <v>5</v>
      </c>
      <c r="D230" s="1">
        <v>1</v>
      </c>
      <c r="E230" s="1">
        <v>-51547.91882684048</v>
      </c>
      <c r="F230" s="1">
        <f>IF(E230 + F229 &lt; 0, E230 + F229, 0)</f>
        <v>0</v>
      </c>
      <c r="G230" s="1">
        <v>-51547.91882684048</v>
      </c>
      <c r="H230" s="1">
        <f>IF(G230 + H229 &lt; 0, G230 + H229, 0)</f>
        <v>0</v>
      </c>
      <c r="I230" s="1">
        <v>-57131.11385121248</v>
      </c>
      <c r="J230" s="1">
        <f>IF(I230 + J229 &lt; 0, I230 + J229, 0)</f>
        <v>0</v>
      </c>
      <c r="K230" s="1">
        <v>-57131.11385121248</v>
      </c>
      <c r="L230" s="1">
        <f>IF(K230 + L229 &lt; 0, K230 + L229, 0)</f>
        <v>0</v>
      </c>
    </row>
    <row r="231" spans="1:12" s="1" customFormat="1">
      <c r="A231" s="3">
        <v>45292</v>
      </c>
      <c r="B231" s="1" t="s">
        <v>12</v>
      </c>
      <c r="C231" s="1">
        <v>4</v>
      </c>
      <c r="D231" s="1">
        <v>5</v>
      </c>
      <c r="E231" s="1">
        <v>-18423.00556586271</v>
      </c>
      <c r="F231" s="1">
        <f>IF(E231 + F230 &lt; 0, E231 + F230, 0)</f>
        <v>0</v>
      </c>
      <c r="G231" s="1">
        <v>-18423.00556586271</v>
      </c>
      <c r="H231" s="1">
        <f>IF(G231 + H230 &lt; 0, G231 + H230, 0)</f>
        <v>0</v>
      </c>
      <c r="I231" s="1">
        <v>-19375.24713325425</v>
      </c>
      <c r="J231" s="1">
        <f>IF(I231 + J230 &lt; 0, I231 + J230, 0)</f>
        <v>0</v>
      </c>
      <c r="K231" s="1">
        <v>-19375.24713325425</v>
      </c>
      <c r="L231" s="1">
        <f>IF(K231 + L230 &lt; 0, K231 + L230, 0)</f>
        <v>0</v>
      </c>
    </row>
    <row r="232" spans="1:12" s="1" customFormat="1">
      <c r="A232" s="3">
        <v>45293</v>
      </c>
      <c r="B232" s="1" t="s">
        <v>13</v>
      </c>
      <c r="C232" s="1">
        <v>3</v>
      </c>
      <c r="D232" s="1">
        <v>4</v>
      </c>
      <c r="E232" s="1">
        <v>-318294.2016775943</v>
      </c>
      <c r="F232" s="1">
        <f>IF(E232 + F231 &lt; 0, E232 + F231, 0)</f>
        <v>0</v>
      </c>
      <c r="G232" s="1">
        <v>-615545.2181238782</v>
      </c>
      <c r="H232" s="1">
        <f>IF(G232 + H231 &lt; 0, G232 + H231, 0)</f>
        <v>0</v>
      </c>
      <c r="I232" s="1">
        <v>-19245.28301886793</v>
      </c>
      <c r="J232" s="1">
        <f>IF(I232 + J231 &lt; 0, I232 + J231, 0)</f>
        <v>0</v>
      </c>
      <c r="K232" s="1">
        <v>-19245.28301886793</v>
      </c>
      <c r="L232" s="1">
        <f>IF(K232 + L231 &lt; 0, K232 + L231, 0)</f>
        <v>0</v>
      </c>
    </row>
    <row r="233" spans="1:12" s="1" customFormat="1">
      <c r="A233" s="3">
        <v>45294</v>
      </c>
      <c r="B233" s="1" t="s">
        <v>14</v>
      </c>
      <c r="C233" s="1">
        <v>2</v>
      </c>
      <c r="D233" s="1">
        <v>3</v>
      </c>
      <c r="E233" s="1">
        <v>-45227.16972581011</v>
      </c>
      <c r="F233" s="1">
        <f>IF(E233 + F232 &lt; 0, E233 + F232, 0)</f>
        <v>0</v>
      </c>
      <c r="G233" s="1">
        <v>-157300.4003323514</v>
      </c>
      <c r="H233" s="1">
        <f>IF(G233 + H232 &lt; 0, G233 + H232, 0)</f>
        <v>0</v>
      </c>
      <c r="I233" s="1">
        <v>-137311.7033603708</v>
      </c>
      <c r="J233" s="1">
        <f>IF(I233 + J232 &lt; 0, I233 + J232, 0)</f>
        <v>0</v>
      </c>
      <c r="K233" s="1">
        <v>-137311.7033603708</v>
      </c>
      <c r="L233" s="1">
        <f>IF(K233 + L232 &lt; 0, K233 + L232, 0)</f>
        <v>0</v>
      </c>
    </row>
    <row r="234" spans="1:12" s="1" customFormat="1">
      <c r="A234" s="3">
        <v>45308</v>
      </c>
      <c r="B234" s="1" t="s">
        <v>14</v>
      </c>
      <c r="C234" s="1">
        <v>1</v>
      </c>
      <c r="D234" s="1">
        <v>2</v>
      </c>
      <c r="E234" s="1">
        <v>58883.51672779815</v>
      </c>
      <c r="F234" s="1">
        <f>IF(E234 + F233 &lt; 0, E234 + F233, 0)</f>
        <v>0</v>
      </c>
      <c r="G234" s="1">
        <v>260642.4363676781</v>
      </c>
      <c r="H234" s="1">
        <f>IF(G234 + H233 &lt; 0, G234 + H233, 0)</f>
        <v>0</v>
      </c>
      <c r="I234" s="1">
        <v>183760.6837606838</v>
      </c>
      <c r="J234" s="1">
        <f>IF(I234 + J233 &lt; 0, I234 + J233, 0)</f>
        <v>0</v>
      </c>
      <c r="K234" s="1">
        <v>183760.6837606838</v>
      </c>
      <c r="L234" s="1">
        <f>IF(K234 + L233 &lt; 0, K234 + L233, 0)</f>
        <v>0</v>
      </c>
    </row>
    <row r="235" spans="1:12" s="1" customFormat="1">
      <c r="A235" s="3">
        <v>45309</v>
      </c>
      <c r="B235" s="1" t="s">
        <v>16</v>
      </c>
      <c r="C235" s="1">
        <v>7</v>
      </c>
      <c r="D235" s="1">
        <v>1</v>
      </c>
      <c r="E235" s="1">
        <v>154172.0154043646</v>
      </c>
      <c r="F235" s="1">
        <f>IF(E235 + F234 &lt; 0, E235 + F234, 0)</f>
        <v>0</v>
      </c>
      <c r="G235" s="1">
        <v>154172.0154043646</v>
      </c>
      <c r="H235" s="1">
        <f>IF(G235 + H234 &lt; 0, G235 + H234, 0)</f>
        <v>0</v>
      </c>
      <c r="I235" s="1">
        <v>-240844.3363446838</v>
      </c>
      <c r="J235" s="1">
        <f>IF(I235 + J234 &lt; 0, I235 + J234, 0)</f>
        <v>0</v>
      </c>
      <c r="K235" s="1">
        <v>-240844.3363446838</v>
      </c>
      <c r="L235" s="1">
        <f>IF(K235 + L234 &lt; 0, K235 + L234, 0)</f>
        <v>0</v>
      </c>
    </row>
    <row r="236" spans="1:12" s="1" customFormat="1">
      <c r="A236" s="3">
        <v>45327</v>
      </c>
      <c r="B236" s="1" t="s">
        <v>12</v>
      </c>
      <c r="C236" s="1">
        <v>6</v>
      </c>
      <c r="D236" s="1">
        <v>12</v>
      </c>
      <c r="E236" s="1">
        <v>154787.8028096309</v>
      </c>
      <c r="F236" s="1">
        <f>IF(E236 + F235 &lt; 0, E236 + F235, 0)</f>
        <v>0</v>
      </c>
      <c r="G236" s="1">
        <v>154787.8028096309</v>
      </c>
      <c r="H236" s="1">
        <f>IF(G236 + H235 &lt; 0, G236 + H235, 0)</f>
        <v>0</v>
      </c>
      <c r="I236" s="1">
        <v>0</v>
      </c>
      <c r="J236" s="1">
        <f>IF(I236 + J235 &lt; 0, I236 + J235, 0)</f>
        <v>0</v>
      </c>
      <c r="K236" s="1">
        <v>0</v>
      </c>
      <c r="L236" s="1">
        <f>IF(K236 + L235 &lt; 0, K236 + L235, 0)</f>
        <v>0</v>
      </c>
    </row>
    <row r="237" spans="1:12" s="1" customFormat="1">
      <c r="A237" s="3">
        <v>45328</v>
      </c>
      <c r="B237" s="1" t="s">
        <v>13</v>
      </c>
      <c r="C237" s="1">
        <v>5</v>
      </c>
      <c r="D237" s="1">
        <v>11</v>
      </c>
      <c r="E237" s="1">
        <v>222698.7792807654</v>
      </c>
      <c r="F237" s="1">
        <f>IF(E237 + F236 &lt; 0, E237 + F236, 0)</f>
        <v>0</v>
      </c>
      <c r="G237" s="1">
        <v>222698.7792807654</v>
      </c>
      <c r="H237" s="1">
        <f>IF(G237 + H236 &lt; 0, G237 + H236, 0)</f>
        <v>0</v>
      </c>
      <c r="I237" s="1">
        <v>0</v>
      </c>
      <c r="J237" s="1">
        <f>IF(I237 + J236 &lt; 0, I237 + J236, 0)</f>
        <v>0</v>
      </c>
      <c r="K237" s="1">
        <v>0</v>
      </c>
      <c r="L237" s="1">
        <f>IF(K237 + L236 &lt; 0, K237 + L236, 0)</f>
        <v>0</v>
      </c>
    </row>
    <row r="238" spans="1:12" s="1" customFormat="1">
      <c r="A238" s="3">
        <v>45329</v>
      </c>
      <c r="B238" s="1" t="s">
        <v>14</v>
      </c>
      <c r="C238" s="1">
        <v>4</v>
      </c>
      <c r="D238" s="1">
        <v>10</v>
      </c>
      <c r="E238" s="1">
        <v>165357.3376977632</v>
      </c>
      <c r="F238" s="1">
        <f>IF(E238 + F237 &lt; 0, E238 + F237, 0)</f>
        <v>0</v>
      </c>
      <c r="G238" s="1">
        <v>165357.3376977632</v>
      </c>
      <c r="H238" s="1">
        <f>IF(G238 + H237 &lt; 0, G238 + H237, 0)</f>
        <v>0</v>
      </c>
      <c r="I238" s="1">
        <v>0</v>
      </c>
      <c r="J238" s="1">
        <f>IF(I238 + J237 &lt; 0, I238 + J237, 0)</f>
        <v>0</v>
      </c>
      <c r="K238" s="1">
        <v>0</v>
      </c>
      <c r="L238" s="1">
        <f>IF(K238 + L237 &lt; 0, K238 + L237, 0)</f>
        <v>0</v>
      </c>
    </row>
    <row r="239" spans="1:12" s="1" customFormat="1">
      <c r="A239" s="3">
        <v>45334</v>
      </c>
      <c r="B239" s="1" t="s">
        <v>12</v>
      </c>
      <c r="C239" s="1">
        <v>3</v>
      </c>
      <c r="D239" s="1">
        <v>9</v>
      </c>
      <c r="E239" s="1">
        <v>57212.97107800175</v>
      </c>
      <c r="F239" s="1">
        <f>IF(E239 + F238 &lt; 0, E239 + F238, 0)</f>
        <v>0</v>
      </c>
      <c r="G239" s="1">
        <v>143014.8992112182</v>
      </c>
      <c r="H239" s="1">
        <f>IF(G239 + H238 &lt; 0, G239 + H238, 0)</f>
        <v>0</v>
      </c>
      <c r="I239" s="1">
        <v>0</v>
      </c>
      <c r="J239" s="1">
        <f>IF(I239 + J238 &lt; 0, I239 + J238, 0)</f>
        <v>0</v>
      </c>
      <c r="K239" s="1">
        <v>0</v>
      </c>
      <c r="L239" s="1">
        <f>IF(K239 + L238 &lt; 0, K239 + L238, 0)</f>
        <v>0</v>
      </c>
    </row>
    <row r="240" spans="1:12" s="1" customFormat="1">
      <c r="A240" s="3">
        <v>45335</v>
      </c>
      <c r="B240" s="1" t="s">
        <v>13</v>
      </c>
      <c r="C240" s="1">
        <v>2</v>
      </c>
      <c r="D240" s="1">
        <v>8</v>
      </c>
      <c r="E240" s="1">
        <v>208392.8571428572</v>
      </c>
      <c r="F240" s="1">
        <f>IF(E240 + F239 &lt; 0, E240 + F239, 0)</f>
        <v>0</v>
      </c>
      <c r="G240" s="1">
        <v>178138.0027739251</v>
      </c>
      <c r="H240" s="1">
        <f>IF(G240 + H239 &lt; 0, G240 + H239, 0)</f>
        <v>0</v>
      </c>
      <c r="I240" s="1">
        <v>0</v>
      </c>
      <c r="J240" s="1">
        <f>IF(I240 + J239 &lt; 0, I240 + J239, 0)</f>
        <v>0</v>
      </c>
      <c r="K240" s="1">
        <v>0</v>
      </c>
      <c r="L240" s="1">
        <f>IF(K240 + L239 &lt; 0, K240 + L239, 0)</f>
        <v>0</v>
      </c>
    </row>
    <row r="241" spans="1:12" s="1" customFormat="1">
      <c r="A241" s="3">
        <v>45336</v>
      </c>
      <c r="B241" s="1" t="s">
        <v>14</v>
      </c>
      <c r="C241" s="1">
        <v>1</v>
      </c>
      <c r="D241" s="1">
        <v>7</v>
      </c>
      <c r="E241" s="1">
        <v>-145110.7676455435</v>
      </c>
      <c r="F241" s="1">
        <f>IF(E241 + F240 &lt; 0, E241 + F240, 0)</f>
        <v>0</v>
      </c>
      <c r="G241" s="1">
        <v>-13910.35548686246</v>
      </c>
      <c r="H241" s="1">
        <f>IF(G241 + H240 &lt; 0, G241 + H240, 0)</f>
        <v>0</v>
      </c>
      <c r="I241" s="1">
        <v>0</v>
      </c>
      <c r="J241" s="1">
        <f>IF(I241 + J240 &lt; 0, I241 + J240, 0)</f>
        <v>0</v>
      </c>
      <c r="K241" s="1">
        <v>0</v>
      </c>
      <c r="L241" s="1">
        <f>IF(K241 + L240 &lt; 0, K241 + L240, 0)</f>
        <v>0</v>
      </c>
    </row>
    <row r="242" spans="1:12" s="1" customFormat="1">
      <c r="A242" s="3">
        <v>45337</v>
      </c>
      <c r="B242" s="1" t="s">
        <v>16</v>
      </c>
      <c r="C242" s="1">
        <v>22</v>
      </c>
      <c r="D242" s="1">
        <v>6</v>
      </c>
      <c r="E242" s="1">
        <v>0</v>
      </c>
      <c r="F242" s="1">
        <f>IF(E242 + F241 &lt; 0, E242 + F241, 0)</f>
        <v>0</v>
      </c>
      <c r="G242" s="1">
        <v>0</v>
      </c>
      <c r="H242" s="1">
        <f>IF(G242 + H241 &lt; 0, G242 + H241, 0)</f>
        <v>0</v>
      </c>
      <c r="I242" s="1">
        <v>211602.2099447514</v>
      </c>
      <c r="J242" s="1">
        <f>IF(I242 + J241 &lt; 0, I242 + J241, 0)</f>
        <v>0</v>
      </c>
      <c r="K242" s="1">
        <v>211602.2099447514</v>
      </c>
      <c r="L242" s="1">
        <f>IF(K242 + L241 &lt; 0, K242 + L241, 0)</f>
        <v>0</v>
      </c>
    </row>
    <row r="243" spans="1:12" s="1" customFormat="1">
      <c r="A243" s="3">
        <v>45338</v>
      </c>
      <c r="B243" s="1" t="s">
        <v>15</v>
      </c>
      <c r="C243" s="1">
        <v>21</v>
      </c>
      <c r="D243" s="1">
        <v>5</v>
      </c>
      <c r="E243" s="1">
        <v>0</v>
      </c>
      <c r="F243" s="1">
        <f>IF(E243 + F242 &lt; 0, E243 + F242, 0)</f>
        <v>0</v>
      </c>
      <c r="G243" s="1">
        <v>0</v>
      </c>
      <c r="H243" s="1">
        <f>IF(G243 + H242 &lt; 0, G243 + H242, 0)</f>
        <v>0</v>
      </c>
      <c r="I243" s="1">
        <v>185752.0198881292</v>
      </c>
      <c r="J243" s="1">
        <f>IF(I243 + J242 &lt; 0, I243 + J242, 0)</f>
        <v>0</v>
      </c>
      <c r="K243" s="1">
        <v>185752.0198881292</v>
      </c>
      <c r="L243" s="1">
        <f>IF(K243 + L242 &lt; 0, K243 + L242, 0)</f>
        <v>0</v>
      </c>
    </row>
    <row r="244" spans="1:12" s="1" customFormat="1">
      <c r="A244" s="3">
        <v>45341</v>
      </c>
      <c r="B244" s="1" t="s">
        <v>12</v>
      </c>
      <c r="C244" s="1">
        <v>20</v>
      </c>
      <c r="D244" s="1">
        <v>4</v>
      </c>
      <c r="E244" s="1">
        <v>0</v>
      </c>
      <c r="F244" s="1">
        <f>IF(E244 + F243 &lt; 0, E244 + F243, 0)</f>
        <v>0</v>
      </c>
      <c r="G244" s="1">
        <v>0</v>
      </c>
      <c r="H244" s="1">
        <f>IF(G244 + H243 &lt; 0, G244 + H243, 0)</f>
        <v>0</v>
      </c>
      <c r="I244" s="1">
        <v>149421.5938303342</v>
      </c>
      <c r="J244" s="1">
        <f>IF(I244 + J243 &lt; 0, I244 + J243, 0)</f>
        <v>0</v>
      </c>
      <c r="K244" s="1">
        <v>149421.5938303342</v>
      </c>
      <c r="L244" s="1">
        <f>IF(K244 + L243 &lt; 0, K244 + L243, 0)</f>
        <v>0</v>
      </c>
    </row>
    <row r="245" spans="1:12" s="1" customFormat="1">
      <c r="A245" s="3">
        <v>45342</v>
      </c>
      <c r="B245" s="1" t="s">
        <v>13</v>
      </c>
      <c r="C245" s="1">
        <v>19</v>
      </c>
      <c r="D245" s="1">
        <v>3</v>
      </c>
      <c r="E245" s="1">
        <v>0</v>
      </c>
      <c r="F245" s="1">
        <f>IF(E245 + F244 &lt; 0, E245 + F244, 0)</f>
        <v>0</v>
      </c>
      <c r="G245" s="1">
        <v>0</v>
      </c>
      <c r="H245" s="1">
        <f>IF(G245 + H244 &lt; 0, G245 + H244, 0)</f>
        <v>0</v>
      </c>
      <c r="I245" s="1">
        <v>91869.39820742638</v>
      </c>
      <c r="J245" s="1">
        <f>IF(I245 + J244 &lt; 0, I245 + J244, 0)</f>
        <v>0</v>
      </c>
      <c r="K245" s="1">
        <v>91869.39820742638</v>
      </c>
      <c r="L245" s="1">
        <f>IF(K245 + L244 &lt; 0, K245 + L244, 0)</f>
        <v>0</v>
      </c>
    </row>
    <row r="246" spans="1:12" s="1" customFormat="1">
      <c r="A246" s="3">
        <v>45343</v>
      </c>
      <c r="B246" s="1" t="s">
        <v>14</v>
      </c>
      <c r="C246" s="1">
        <v>0</v>
      </c>
      <c r="D246" s="1">
        <v>0</v>
      </c>
      <c r="E246" s="1">
        <v>0</v>
      </c>
      <c r="F246" s="1">
        <f>IF(E246 + F245 &lt; 0, E246 + F245, 0)</f>
        <v>0</v>
      </c>
      <c r="G246" s="1">
        <v>0</v>
      </c>
      <c r="H246" s="1">
        <f>IF(G246 + H245 &lt; 0, G246 + H245, 0)</f>
        <v>0</v>
      </c>
      <c r="I246" s="1">
        <v>0</v>
      </c>
      <c r="J246" s="1">
        <f>IF(I246 + J245 &lt; 0, I246 + J245, 0)</f>
        <v>0</v>
      </c>
      <c r="K246" s="1">
        <v>0</v>
      </c>
      <c r="L246" s="1">
        <f>IF(K246 + L245 &lt; 0, K246 + L245, 0)</f>
        <v>0</v>
      </c>
    </row>
    <row r="247" spans="1:12" s="1" customFormat="1">
      <c r="A247" s="3">
        <v>45344</v>
      </c>
      <c r="B247" s="1" t="s">
        <v>16</v>
      </c>
      <c r="C247" s="1">
        <v>17</v>
      </c>
      <c r="D247" s="1">
        <v>1</v>
      </c>
      <c r="E247" s="1">
        <v>0</v>
      </c>
      <c r="F247" s="1">
        <f>IF(E247 + F246 &lt; 0, E247 + F246, 0)</f>
        <v>0</v>
      </c>
      <c r="G247" s="1">
        <v>0</v>
      </c>
      <c r="H247" s="1">
        <f>IF(G247 + H246 &lt; 0, G247 + H246, 0)</f>
        <v>0</v>
      </c>
      <c r="I247" s="1">
        <v>-190740.7407407407</v>
      </c>
      <c r="J247" s="1">
        <f>IF(I247 + J246 &lt; 0, I247 + J246, 0)</f>
        <v>0</v>
      </c>
      <c r="K247" s="1">
        <v>142649.5726495726</v>
      </c>
      <c r="L247" s="1">
        <f>IF(K247 + L246 &lt; 0, K247 + L246, 0)</f>
        <v>0</v>
      </c>
    </row>
    <row r="248" spans="1:12" s="1" customFormat="1">
      <c r="A248" s="3">
        <v>45345</v>
      </c>
      <c r="B248" s="1" t="s">
        <v>15</v>
      </c>
      <c r="C248" s="1">
        <v>16</v>
      </c>
      <c r="D248" s="1">
        <v>20</v>
      </c>
      <c r="E248" s="1">
        <v>0</v>
      </c>
      <c r="F248" s="1">
        <f>IF(E248 + F247 &lt; 0, E248 + F247, 0)</f>
        <v>0</v>
      </c>
      <c r="G248" s="1">
        <v>0</v>
      </c>
      <c r="H248" s="1">
        <f>IF(G248 + H247 &lt; 0, G248 + H247, 0)</f>
        <v>0</v>
      </c>
      <c r="I248" s="1">
        <v>0</v>
      </c>
      <c r="J248" s="1">
        <f>IF(I248 + J247 &lt; 0, I248 + J247, 0)</f>
        <v>0</v>
      </c>
      <c r="K248" s="1">
        <v>0</v>
      </c>
      <c r="L248" s="1">
        <f>IF(K248 + L247 &lt; 0, K248 + L247, 0)</f>
        <v>0</v>
      </c>
    </row>
    <row r="249" spans="1:12" s="1" customFormat="1">
      <c r="A249" s="3">
        <v>45348</v>
      </c>
      <c r="B249" s="1" t="s">
        <v>12</v>
      </c>
      <c r="C249" s="1">
        <v>15</v>
      </c>
      <c r="D249" s="1">
        <v>19</v>
      </c>
      <c r="E249" s="1">
        <v>0</v>
      </c>
      <c r="F249" s="1">
        <f>IF(E249 + F248 &lt; 0, E249 + F248, 0)</f>
        <v>0</v>
      </c>
      <c r="G249" s="1">
        <v>0</v>
      </c>
      <c r="H249" s="1">
        <f>IF(G249 + H248 &lt; 0, G249 + H248, 0)</f>
        <v>0</v>
      </c>
      <c r="I249" s="1">
        <v>0</v>
      </c>
      <c r="J249" s="1">
        <f>IF(I249 + J248 &lt; 0, I249 + J248, 0)</f>
        <v>0</v>
      </c>
      <c r="K249" s="1">
        <v>0</v>
      </c>
      <c r="L249" s="1">
        <f>IF(K249 + L248 &lt; 0, K249 + L248, 0)</f>
        <v>0</v>
      </c>
    </row>
    <row r="250" spans="1:12" s="1" customFormat="1">
      <c r="A250" s="3">
        <v>45349</v>
      </c>
      <c r="B250" s="1" t="s">
        <v>13</v>
      </c>
      <c r="C250" s="1">
        <v>14</v>
      </c>
      <c r="D250" s="1">
        <v>18</v>
      </c>
      <c r="E250" s="1">
        <v>0</v>
      </c>
      <c r="F250" s="1">
        <f>IF(E250 + F249 &lt; 0, E250 + F249, 0)</f>
        <v>0</v>
      </c>
      <c r="G250" s="1">
        <v>0</v>
      </c>
      <c r="H250" s="1">
        <f>IF(G250 + H249 &lt; 0, G250 + H249, 0)</f>
        <v>0</v>
      </c>
      <c r="I250" s="1">
        <v>0</v>
      </c>
      <c r="J250" s="1">
        <f>IF(I250 + J249 &lt; 0, I250 + J249, 0)</f>
        <v>0</v>
      </c>
      <c r="K250" s="1">
        <v>0</v>
      </c>
      <c r="L250" s="1">
        <f>IF(K250 + L249 &lt; 0, K250 + L249, 0)</f>
        <v>0</v>
      </c>
    </row>
    <row r="251" spans="1:12" s="1" customFormat="1">
      <c r="A251" s="3">
        <v>45350</v>
      </c>
      <c r="B251" s="1" t="s">
        <v>14</v>
      </c>
      <c r="C251" s="1">
        <v>13</v>
      </c>
      <c r="D251" s="1">
        <v>17</v>
      </c>
      <c r="E251" s="1">
        <v>0</v>
      </c>
      <c r="F251" s="1">
        <f>IF(E251 + F250 &lt; 0, E251 + F250, 0)</f>
        <v>0</v>
      </c>
      <c r="G251" s="1">
        <v>0</v>
      </c>
      <c r="H251" s="1">
        <f>IF(G251 + H250 &lt; 0, G251 + H250, 0)</f>
        <v>0</v>
      </c>
      <c r="I251" s="1">
        <v>0</v>
      </c>
      <c r="J251" s="1">
        <f>IF(I251 + J250 &lt; 0, I251 + J250, 0)</f>
        <v>0</v>
      </c>
      <c r="K251" s="1">
        <v>0</v>
      </c>
      <c r="L251" s="1">
        <f>IF(K251 + L250 &lt; 0, K251 + L250, 0)</f>
        <v>0</v>
      </c>
    </row>
    <row r="252" spans="1:12" s="1" customFormat="1">
      <c r="A252" s="3">
        <v>45351</v>
      </c>
      <c r="B252" s="1" t="s">
        <v>16</v>
      </c>
      <c r="C252" s="1">
        <v>12</v>
      </c>
      <c r="D252" s="1">
        <v>16</v>
      </c>
      <c r="E252" s="1">
        <v>0</v>
      </c>
      <c r="F252" s="1">
        <f>IF(E252 + F251 &lt; 0, E252 + F251, 0)</f>
        <v>0</v>
      </c>
      <c r="G252" s="1">
        <v>0</v>
      </c>
      <c r="H252" s="1">
        <f>IF(G252 + H251 &lt; 0, G252 + H251, 0)</f>
        <v>0</v>
      </c>
      <c r="I252" s="1">
        <v>0</v>
      </c>
      <c r="J252" s="1">
        <f>IF(I252 + J251 &lt; 0, I252 + J251, 0)</f>
        <v>0</v>
      </c>
      <c r="K252" s="1">
        <v>0</v>
      </c>
      <c r="L252" s="1">
        <f>IF(K252 + L251 &lt; 0, K252 + L251, 0)</f>
        <v>0</v>
      </c>
    </row>
    <row r="253" spans="1:12" s="1" customFormat="1">
      <c r="A253" s="3">
        <v>45352</v>
      </c>
      <c r="B253" s="1" t="s">
        <v>15</v>
      </c>
      <c r="C253" s="1">
        <v>11</v>
      </c>
      <c r="D253" s="1">
        <v>15</v>
      </c>
      <c r="E253" s="1">
        <v>0</v>
      </c>
      <c r="F253" s="1">
        <f>IF(E253 + F252 &lt; 0, E253 + F252, 0)</f>
        <v>0</v>
      </c>
      <c r="G253" s="1">
        <v>0</v>
      </c>
      <c r="H253" s="1">
        <f>IF(G253 + H252 &lt; 0, G253 + H252, 0)</f>
        <v>0</v>
      </c>
      <c r="I253" s="1">
        <v>0</v>
      </c>
      <c r="J253" s="1">
        <f>IF(I253 + J252 &lt; 0, I253 + J252, 0)</f>
        <v>0</v>
      </c>
      <c r="K253" s="1">
        <v>0</v>
      </c>
      <c r="L253" s="1">
        <f>IF(K253 + L252 &lt; 0, K253 + L252, 0)</f>
        <v>0</v>
      </c>
    </row>
    <row r="254" spans="1:12" s="1" customFormat="1">
      <c r="A254" s="3">
        <v>45355</v>
      </c>
      <c r="B254" s="1" t="s">
        <v>12</v>
      </c>
      <c r="C254" s="1">
        <v>10</v>
      </c>
      <c r="D254" s="1">
        <v>14</v>
      </c>
      <c r="E254" s="1">
        <v>69318.71521491319</v>
      </c>
      <c r="F254" s="1">
        <f>IF(E254 + F253 &lt; 0, E254 + F253, 0)</f>
        <v>0</v>
      </c>
      <c r="G254" s="1">
        <v>69318.71521491319</v>
      </c>
      <c r="H254" s="1">
        <f>IF(G254 + H253 &lt; 0, G254 + H253, 0)</f>
        <v>0</v>
      </c>
      <c r="I254" s="1">
        <v>0</v>
      </c>
      <c r="J254" s="1">
        <f>IF(I254 + J253 &lt; 0, I254 + J253, 0)</f>
        <v>0</v>
      </c>
      <c r="K254" s="1">
        <v>0</v>
      </c>
      <c r="L254" s="1">
        <f>IF(K254 + L253 &lt; 0, K254 + L253, 0)</f>
        <v>0</v>
      </c>
    </row>
    <row r="255" spans="1:12" s="1" customFormat="1">
      <c r="A255" s="3">
        <v>45356</v>
      </c>
      <c r="B255" s="1" t="s">
        <v>13</v>
      </c>
      <c r="C255" s="1">
        <v>9</v>
      </c>
      <c r="D255" s="1">
        <v>13</v>
      </c>
      <c r="E255" s="1">
        <v>119249.9317499318</v>
      </c>
      <c r="F255" s="1">
        <f>IF(E255 + F254 &lt; 0, E255 + F254, 0)</f>
        <v>0</v>
      </c>
      <c r="G255" s="1">
        <v>119249.9317499318</v>
      </c>
      <c r="H255" s="1">
        <f>IF(G255 + H254 &lt; 0, G255 + H254, 0)</f>
        <v>0</v>
      </c>
      <c r="I255" s="1">
        <v>0</v>
      </c>
      <c r="J255" s="1">
        <f>IF(I255 + J254 &lt; 0, I255 + J254, 0)</f>
        <v>0</v>
      </c>
      <c r="K255" s="1">
        <v>0</v>
      </c>
      <c r="L255" s="1">
        <f>IF(K255 + L254 &lt; 0, K255 + L254, 0)</f>
        <v>0</v>
      </c>
    </row>
    <row r="256" spans="1:12" s="1" customFormat="1">
      <c r="A256" s="3">
        <v>45357</v>
      </c>
      <c r="B256" s="1" t="s">
        <v>14</v>
      </c>
      <c r="C256" s="1">
        <v>8</v>
      </c>
      <c r="D256" s="1">
        <v>12</v>
      </c>
      <c r="E256" s="1">
        <v>-65450.34246575348</v>
      </c>
      <c r="F256" s="1">
        <f>IF(E256 + F255 &lt; 0, E256 + F255, 0)</f>
        <v>0</v>
      </c>
      <c r="G256" s="1">
        <v>-9691.780821917839</v>
      </c>
      <c r="H256" s="1">
        <f>IF(G256 + H255 &lt; 0, G256 + H255, 0)</f>
        <v>0</v>
      </c>
      <c r="I256" s="1">
        <v>0</v>
      </c>
      <c r="J256" s="1">
        <f>IF(I256 + J255 &lt; 0, I256 + J255, 0)</f>
        <v>0</v>
      </c>
      <c r="K256" s="1">
        <v>0</v>
      </c>
      <c r="L256" s="1">
        <f>IF(K256 + L255 &lt; 0, K256 + L255, 0)</f>
        <v>0</v>
      </c>
    </row>
    <row r="257" spans="1:12" s="1" customFormat="1">
      <c r="A257" s="3">
        <v>45358</v>
      </c>
      <c r="B257" s="1" t="s">
        <v>16</v>
      </c>
      <c r="C257" s="1">
        <v>7</v>
      </c>
      <c r="D257" s="1">
        <v>11</v>
      </c>
      <c r="E257" s="1">
        <v>98486.39109482116</v>
      </c>
      <c r="F257" s="1">
        <f>IF(E257 + F256 &lt; 0, E257 + F256, 0)</f>
        <v>0</v>
      </c>
      <c r="G257" s="1">
        <v>98486.39109482116</v>
      </c>
      <c r="H257" s="1">
        <f>IF(G257 + H256 &lt; 0, G257 + H256, 0)</f>
        <v>0</v>
      </c>
      <c r="I257" s="1">
        <v>0</v>
      </c>
      <c r="J257" s="1">
        <f>IF(I257 + J256 &lt; 0, I257 + J256, 0)</f>
        <v>0</v>
      </c>
      <c r="K257" s="1">
        <v>0</v>
      </c>
      <c r="L257" s="1">
        <f>IF(K257 + L256 &lt; 0, K257 + L256, 0)</f>
        <v>0</v>
      </c>
    </row>
    <row r="258" spans="1:12" s="1" customFormat="1">
      <c r="A258" s="3">
        <v>45359</v>
      </c>
      <c r="B258" s="1" t="s">
        <v>15</v>
      </c>
      <c r="C258" s="1">
        <v>6</v>
      </c>
      <c r="D258" s="1">
        <v>10</v>
      </c>
      <c r="E258" s="1">
        <v>-35323.85897786285</v>
      </c>
      <c r="F258" s="1">
        <f>IF(E258 + F257 &lt; 0, E258 + F257, 0)</f>
        <v>0</v>
      </c>
      <c r="G258" s="1">
        <v>46324.13227657828</v>
      </c>
      <c r="H258" s="1">
        <f>IF(G258 + H257 &lt; 0, G258 + H257, 0)</f>
        <v>0</v>
      </c>
      <c r="I258" s="1">
        <v>0</v>
      </c>
      <c r="J258" s="1">
        <f>IF(I258 + J257 &lt; 0, I258 + J257, 0)</f>
        <v>0</v>
      </c>
      <c r="K258" s="1">
        <v>0</v>
      </c>
      <c r="L258" s="1">
        <f>IF(K258 + L257 &lt; 0, K258 + L257, 0)</f>
        <v>0</v>
      </c>
    </row>
    <row r="259" spans="1:12" s="1" customFormat="1">
      <c r="A259" s="3">
        <v>45362</v>
      </c>
      <c r="B259" s="1" t="s">
        <v>12</v>
      </c>
      <c r="C259" s="1">
        <v>5</v>
      </c>
      <c r="D259" s="1">
        <v>9</v>
      </c>
      <c r="E259" s="1">
        <v>58512.14785076481</v>
      </c>
      <c r="F259" s="1">
        <f>IF(E259 + F258 &lt; 0, E259 + F258, 0)</f>
        <v>0</v>
      </c>
      <c r="G259" s="1">
        <v>213296.8782446182</v>
      </c>
      <c r="H259" s="1">
        <f>IF(G259 + H258 &lt; 0, G259 + H258, 0)</f>
        <v>0</v>
      </c>
      <c r="I259" s="1">
        <v>0</v>
      </c>
      <c r="J259" s="1">
        <f>IF(I259 + J258 &lt; 0, I259 + J258, 0)</f>
        <v>0</v>
      </c>
      <c r="K259" s="1">
        <v>0</v>
      </c>
      <c r="L259" s="1">
        <f>IF(K259 + L258 &lt; 0, K259 + L258, 0)</f>
        <v>0</v>
      </c>
    </row>
    <row r="260" spans="1:12" s="1" customFormat="1">
      <c r="A260" s="3">
        <v>45363</v>
      </c>
      <c r="B260" s="1" t="s">
        <v>13</v>
      </c>
      <c r="C260" s="1">
        <v>4</v>
      </c>
      <c r="D260" s="1">
        <v>8</v>
      </c>
      <c r="E260" s="1">
        <v>136268.7080681232</v>
      </c>
      <c r="F260" s="1">
        <f>IF(E260 + F259 &lt; 0, E260 + F259, 0)</f>
        <v>0</v>
      </c>
      <c r="G260" s="1">
        <v>239652.5030104938</v>
      </c>
      <c r="H260" s="1">
        <f>IF(G260 + H259 &lt; 0, G260 + H259, 0)</f>
        <v>0</v>
      </c>
      <c r="I260" s="1">
        <v>0</v>
      </c>
      <c r="J260" s="1">
        <f>IF(I260 + J259 &lt; 0, I260 + J259, 0)</f>
        <v>0</v>
      </c>
      <c r="K260" s="1">
        <v>0</v>
      </c>
      <c r="L260" s="1">
        <f>IF(K260 + L259 &lt; 0, K260 + L259, 0)</f>
        <v>0</v>
      </c>
    </row>
    <row r="261" spans="1:12" s="1" customFormat="1">
      <c r="A261" s="3">
        <v>45364</v>
      </c>
      <c r="B261" s="1" t="s">
        <v>14</v>
      </c>
      <c r="C261" s="1">
        <v>3</v>
      </c>
      <c r="D261" s="1">
        <v>7</v>
      </c>
      <c r="E261" s="1">
        <v>44195.12362873553</v>
      </c>
      <c r="F261" s="1">
        <f>IF(E261 + F260 &lt; 0, E261 + F260, 0)</f>
        <v>0</v>
      </c>
      <c r="G261" s="1">
        <v>80384.46989236221</v>
      </c>
      <c r="H261" s="1">
        <f>IF(G261 + H260 &lt; 0, G261 + H260, 0)</f>
        <v>0</v>
      </c>
      <c r="I261" s="1">
        <v>0</v>
      </c>
      <c r="J261" s="1">
        <f>IF(I261 + J260 &lt; 0, I261 + J260, 0)</f>
        <v>0</v>
      </c>
      <c r="K261" s="1">
        <v>0</v>
      </c>
      <c r="L261" s="1">
        <f>IF(K261 + L260 &lt; 0, K261 + L260, 0)</f>
        <v>0</v>
      </c>
    </row>
    <row r="262" spans="1:12" s="1" customFormat="1">
      <c r="A262" s="3">
        <v>45365</v>
      </c>
      <c r="B262" s="1" t="s">
        <v>16</v>
      </c>
      <c r="C262" s="1">
        <v>2</v>
      </c>
      <c r="D262" s="1">
        <v>6</v>
      </c>
      <c r="E262" s="1">
        <v>7811.447811447812</v>
      </c>
      <c r="F262" s="1">
        <f>IF(E262 + F261 &lt; 0, E262 + F261, 0)</f>
        <v>0</v>
      </c>
      <c r="G262" s="1">
        <v>30639.73063973066</v>
      </c>
      <c r="H262" s="1">
        <f>IF(G262 + H261 &lt; 0, G262 + H261, 0)</f>
        <v>0</v>
      </c>
      <c r="I262" s="1">
        <v>110611.5107913669</v>
      </c>
      <c r="J262" s="1">
        <f>IF(I262 + J261 &lt; 0, I262 + J261, 0)</f>
        <v>0</v>
      </c>
      <c r="K262" s="1">
        <v>110611.5107913669</v>
      </c>
      <c r="L262" s="1">
        <f>IF(K262 + L261 &lt; 0, K262 + L261, 0)</f>
        <v>0</v>
      </c>
    </row>
    <row r="263" spans="1:12" s="1" customFormat="1">
      <c r="A263" s="3">
        <v>45366</v>
      </c>
      <c r="B263" s="1" t="s">
        <v>15</v>
      </c>
      <c r="C263" s="1">
        <v>1</v>
      </c>
      <c r="D263" s="1">
        <v>5</v>
      </c>
      <c r="E263" s="1">
        <v>175249.48780649</v>
      </c>
      <c r="F263" s="1">
        <f>IF(E263 + F262 &lt; 0, E263 + F262, 0)</f>
        <v>0</v>
      </c>
      <c r="G263" s="1">
        <v>490407.1112286036</v>
      </c>
      <c r="H263" s="1">
        <f>IF(G263 + H262 &lt; 0, G263 + H262, 0)</f>
        <v>0</v>
      </c>
      <c r="I263" s="1">
        <v>-20122.99771167045</v>
      </c>
      <c r="J263" s="1">
        <f>IF(I263 + J262 &lt; 0, I263 + J262, 0)</f>
        <v>0</v>
      </c>
      <c r="K263" s="1">
        <v>-224914.1876430208</v>
      </c>
      <c r="L263" s="1">
        <f>IF(K263 + L262 &lt; 0, K263 + L262, 0)</f>
        <v>0</v>
      </c>
    </row>
    <row r="264" spans="1:12" s="1" customFormat="1">
      <c r="A264" s="3">
        <v>45369</v>
      </c>
      <c r="B264" s="1" t="s">
        <v>12</v>
      </c>
      <c r="C264" s="1">
        <v>21</v>
      </c>
      <c r="D264" s="1">
        <v>4</v>
      </c>
      <c r="E264" s="1">
        <v>0</v>
      </c>
      <c r="F264" s="1">
        <f>IF(E264 + F263 &lt; 0, E264 + F263, 0)</f>
        <v>0</v>
      </c>
      <c r="G264" s="1">
        <v>0</v>
      </c>
      <c r="H264" s="1">
        <f>IF(G264 + H263 &lt; 0, G264 + H263, 0)</f>
        <v>0</v>
      </c>
      <c r="I264" s="1">
        <v>62608.69565217392</v>
      </c>
      <c r="J264" s="1">
        <f>IF(I264 + J263 &lt; 0, I264 + J263, 0)</f>
        <v>0</v>
      </c>
      <c r="K264" s="1">
        <v>62608.69565217392</v>
      </c>
      <c r="L264" s="1">
        <f>IF(K264 + L263 &lt; 0, K264 + L263, 0)</f>
        <v>0</v>
      </c>
    </row>
    <row r="265" spans="1:12" s="1" customFormat="1">
      <c r="A265" s="3">
        <v>45370</v>
      </c>
      <c r="B265" s="1" t="s">
        <v>13</v>
      </c>
      <c r="C265" s="1">
        <v>20</v>
      </c>
      <c r="D265" s="1">
        <v>3</v>
      </c>
      <c r="E265" s="1">
        <v>0</v>
      </c>
      <c r="F265" s="1">
        <f>IF(E265 + F264 &lt; 0, E265 + F264, 0)</f>
        <v>0</v>
      </c>
      <c r="G265" s="1">
        <v>0</v>
      </c>
      <c r="H265" s="1">
        <f>IF(G265 + H264 &lt; 0, G265 + H264, 0)</f>
        <v>0</v>
      </c>
      <c r="I265" s="1">
        <v>175728.4382284382</v>
      </c>
      <c r="J265" s="1">
        <f>IF(I265 + J264 &lt; 0, I265 + J264, 0)</f>
        <v>0</v>
      </c>
      <c r="K265" s="1">
        <v>175728.4382284382</v>
      </c>
      <c r="L265" s="1">
        <f>IF(K265 + L264 &lt; 0, K265 + L264, 0)</f>
        <v>0</v>
      </c>
    </row>
    <row r="266" spans="1:12" s="1" customFormat="1">
      <c r="A266" s="3">
        <v>45371</v>
      </c>
      <c r="B266" s="1" t="s">
        <v>14</v>
      </c>
      <c r="C266" s="1">
        <v>19</v>
      </c>
      <c r="D266" s="1">
        <v>2</v>
      </c>
      <c r="E266" s="1">
        <v>0</v>
      </c>
      <c r="F266" s="1">
        <f>IF(E266 + F265 &lt; 0, E266 + F265, 0)</f>
        <v>0</v>
      </c>
      <c r="G266" s="1">
        <v>0</v>
      </c>
      <c r="H266" s="1">
        <f>IF(G266 + H265 &lt; 0, G266 + H265, 0)</f>
        <v>0</v>
      </c>
      <c r="I266" s="1">
        <v>96681.92219679635</v>
      </c>
      <c r="J266" s="1">
        <f>IF(I266 + J265 &lt; 0, I266 + J265, 0)</f>
        <v>0</v>
      </c>
      <c r="K266" s="1">
        <v>96681.92219679635</v>
      </c>
      <c r="L266" s="1">
        <f>IF(K266 + L265 &lt; 0, K266 + L265, 0)</f>
        <v>0</v>
      </c>
    </row>
    <row r="267" spans="1:12" s="1" customFormat="1">
      <c r="A267" s="3">
        <v>45372</v>
      </c>
      <c r="B267" s="1" t="s">
        <v>16</v>
      </c>
      <c r="C267" s="1">
        <v>18</v>
      </c>
      <c r="D267" s="1">
        <v>1</v>
      </c>
      <c r="E267" s="1">
        <v>0</v>
      </c>
      <c r="F267" s="1">
        <f>IF(E267 + F266 &lt; 0, E267 + F266, 0)</f>
        <v>0</v>
      </c>
      <c r="G267" s="1">
        <v>0</v>
      </c>
      <c r="H267" s="1">
        <f>IF(G267 + H266 &lt; 0, G267 + H266, 0)</f>
        <v>0</v>
      </c>
      <c r="I267" s="1">
        <v>200806.4516129032</v>
      </c>
      <c r="J267" s="1">
        <f>IF(I267 + J266 &lt; 0, I267 + J266, 0)</f>
        <v>0</v>
      </c>
      <c r="K267" s="1">
        <v>200806.4516129032</v>
      </c>
      <c r="L267" s="1">
        <f>IF(K267 + L266 &lt; 0, K267 + L266, 0)</f>
        <v>0</v>
      </c>
    </row>
    <row r="268" spans="1:12" s="1" customFormat="1">
      <c r="A268" s="3">
        <v>45373</v>
      </c>
      <c r="B268" s="1" t="s">
        <v>15</v>
      </c>
      <c r="C268" s="1">
        <v>17</v>
      </c>
      <c r="D268" s="1">
        <v>21</v>
      </c>
      <c r="E268" s="1">
        <v>0</v>
      </c>
      <c r="F268" s="1">
        <f>IF(E268 + F267 &lt; 0, E268 + F267, 0)</f>
        <v>0</v>
      </c>
      <c r="G268" s="1">
        <v>0</v>
      </c>
      <c r="H268" s="1">
        <f>IF(G268 + H267 &lt; 0, G268 + H267, 0)</f>
        <v>0</v>
      </c>
      <c r="I268" s="1">
        <v>0</v>
      </c>
      <c r="J268" s="1">
        <f>IF(I268 + J267 &lt; 0, I268 + J267, 0)</f>
        <v>0</v>
      </c>
      <c r="K268" s="1">
        <v>0</v>
      </c>
      <c r="L268" s="1">
        <f>IF(K268 + L267 &lt; 0, K268 + L267, 0)</f>
        <v>0</v>
      </c>
    </row>
    <row r="269" spans="1:12" s="1" customFormat="1">
      <c r="A269" s="3">
        <v>45376</v>
      </c>
      <c r="B269" s="1" t="s">
        <v>12</v>
      </c>
      <c r="C269" s="1">
        <v>16</v>
      </c>
      <c r="D269" s="1">
        <v>20</v>
      </c>
      <c r="E269" s="1">
        <v>0</v>
      </c>
      <c r="F269" s="1">
        <f>IF(E269 + F268 &lt; 0, E269 + F268, 0)</f>
        <v>0</v>
      </c>
      <c r="G269" s="1">
        <v>0</v>
      </c>
      <c r="H269" s="1">
        <f>IF(G269 + H268 &lt; 0, G269 + H268, 0)</f>
        <v>0</v>
      </c>
      <c r="I269" s="1">
        <v>0</v>
      </c>
      <c r="J269" s="1">
        <f>IF(I269 + J268 &lt; 0, I269 + J268, 0)</f>
        <v>0</v>
      </c>
      <c r="K269" s="1">
        <v>0</v>
      </c>
      <c r="L269" s="1">
        <f>IF(K269 + L268 &lt; 0, K269 + L268, 0)</f>
        <v>0</v>
      </c>
    </row>
    <row r="270" spans="1:12" s="1" customFormat="1">
      <c r="A270" s="3">
        <v>45377</v>
      </c>
      <c r="B270" s="1" t="s">
        <v>13</v>
      </c>
      <c r="C270" s="1">
        <v>15</v>
      </c>
      <c r="D270" s="1">
        <v>19</v>
      </c>
      <c r="E270" s="1">
        <v>0</v>
      </c>
      <c r="F270" s="1">
        <f>IF(E270 + F269 &lt; 0, E270 + F269, 0)</f>
        <v>0</v>
      </c>
      <c r="G270" s="1">
        <v>0</v>
      </c>
      <c r="H270" s="1">
        <f>IF(G270 + H269 &lt; 0, G270 + H269, 0)</f>
        <v>0</v>
      </c>
      <c r="I270" s="1">
        <v>0</v>
      </c>
      <c r="J270" s="1">
        <f>IF(I270 + J269 &lt; 0, I270 + J269, 0)</f>
        <v>0</v>
      </c>
      <c r="K270" s="1">
        <v>0</v>
      </c>
      <c r="L270" s="1">
        <f>IF(K270 + L269 &lt; 0, K270 + L269, 0)</f>
        <v>0</v>
      </c>
    </row>
    <row r="271" spans="1:12" s="1" customFormat="1">
      <c r="A271" s="3">
        <v>45378</v>
      </c>
      <c r="B271" s="1" t="s">
        <v>14</v>
      </c>
      <c r="C271" s="1">
        <v>14</v>
      </c>
      <c r="D271" s="1">
        <v>18</v>
      </c>
      <c r="E271" s="1">
        <v>0</v>
      </c>
      <c r="F271" s="1">
        <f>IF(E271 + F270 &lt; 0, E271 + F270, 0)</f>
        <v>0</v>
      </c>
      <c r="G271" s="1">
        <v>0</v>
      </c>
      <c r="H271" s="1">
        <f>IF(G271 + H270 &lt; 0, G271 + H270, 0)</f>
        <v>0</v>
      </c>
      <c r="I271" s="1">
        <v>0</v>
      </c>
      <c r="J271" s="1">
        <f>IF(I271 + J270 &lt; 0, I271 + J270, 0)</f>
        <v>0</v>
      </c>
      <c r="K271" s="1">
        <v>0</v>
      </c>
      <c r="L271" s="1">
        <f>IF(K271 + L270 &lt; 0, K271 + L270, 0)</f>
        <v>0</v>
      </c>
    </row>
    <row r="272" spans="1:12" s="1" customFormat="1">
      <c r="A272" s="3">
        <v>45379</v>
      </c>
      <c r="B272" s="1" t="s">
        <v>16</v>
      </c>
      <c r="C272" s="1">
        <v>13</v>
      </c>
      <c r="D272" s="1">
        <v>17</v>
      </c>
      <c r="E272" s="1">
        <v>0</v>
      </c>
      <c r="F272" s="1">
        <f>IF(E272 + F271 &lt; 0, E272 + F271, 0)</f>
        <v>0</v>
      </c>
      <c r="G272" s="1">
        <v>0</v>
      </c>
      <c r="H272" s="1">
        <f>IF(G272 + H271 &lt; 0, G272 + H271, 0)</f>
        <v>0</v>
      </c>
      <c r="I272" s="1">
        <v>0</v>
      </c>
      <c r="J272" s="1">
        <f>IF(I272 + J271 &lt; 0, I272 + J271, 0)</f>
        <v>0</v>
      </c>
      <c r="K272" s="1">
        <v>0</v>
      </c>
      <c r="L272" s="1">
        <f>IF(K272 + L271 &lt; 0, K272 + L271, 0)</f>
        <v>0</v>
      </c>
    </row>
    <row r="273" spans="1:12" s="1" customFormat="1">
      <c r="A273" s="3">
        <v>45383</v>
      </c>
      <c r="B273" s="1" t="s">
        <v>12</v>
      </c>
      <c r="C273" s="1">
        <v>12</v>
      </c>
      <c r="D273" s="1">
        <v>16</v>
      </c>
      <c r="E273" s="1">
        <v>0</v>
      </c>
      <c r="F273" s="1">
        <f>IF(E273 + F272 &lt; 0, E273 + F272, 0)</f>
        <v>0</v>
      </c>
      <c r="G273" s="1">
        <v>0</v>
      </c>
      <c r="H273" s="1">
        <f>IF(G273 + H272 &lt; 0, G273 + H272, 0)</f>
        <v>0</v>
      </c>
      <c r="I273" s="1">
        <v>0</v>
      </c>
      <c r="J273" s="1">
        <f>IF(I273 + J272 &lt; 0, I273 + J272, 0)</f>
        <v>0</v>
      </c>
      <c r="K273" s="1">
        <v>0</v>
      </c>
      <c r="L273" s="1">
        <f>IF(K273 + L272 &lt; 0, K273 + L272, 0)</f>
        <v>0</v>
      </c>
    </row>
    <row r="274" spans="1:12" s="1" customFormat="1">
      <c r="A274" s="3">
        <v>45384</v>
      </c>
      <c r="B274" s="1" t="s">
        <v>13</v>
      </c>
      <c r="C274" s="1">
        <v>11</v>
      </c>
      <c r="D274" s="1">
        <v>15</v>
      </c>
      <c r="E274" s="1">
        <v>0</v>
      </c>
      <c r="F274" s="1">
        <f>IF(E274 + F273 &lt; 0, E274 + F273, 0)</f>
        <v>0</v>
      </c>
      <c r="G274" s="1">
        <v>0</v>
      </c>
      <c r="H274" s="1">
        <f>IF(G274 + H273 &lt; 0, G274 + H273, 0)</f>
        <v>0</v>
      </c>
      <c r="I274" s="1">
        <v>0</v>
      </c>
      <c r="J274" s="1">
        <f>IF(I274 + J273 &lt; 0, I274 + J273, 0)</f>
        <v>0</v>
      </c>
      <c r="K274" s="1">
        <v>0</v>
      </c>
      <c r="L274" s="1">
        <f>IF(K274 + L273 &lt; 0, K274 + L273, 0)</f>
        <v>0</v>
      </c>
    </row>
    <row r="275" spans="1:12" s="1" customFormat="1">
      <c r="A275" s="3">
        <v>45385</v>
      </c>
      <c r="B275" s="1" t="s">
        <v>14</v>
      </c>
      <c r="C275" s="1">
        <v>10</v>
      </c>
      <c r="D275" s="1">
        <v>14</v>
      </c>
      <c r="E275" s="1">
        <v>203161.1893583724</v>
      </c>
      <c r="F275" s="1">
        <f>IF(E275 + F274 &lt; 0, E275 + F274, 0)</f>
        <v>0</v>
      </c>
      <c r="G275" s="1">
        <v>203161.1893583724</v>
      </c>
      <c r="H275" s="1">
        <f>IF(G275 + H274 &lt; 0, G275 + H274, 0)</f>
        <v>0</v>
      </c>
      <c r="I275" s="1">
        <v>0</v>
      </c>
      <c r="J275" s="1">
        <f>IF(I275 + J274 &lt; 0, I275 + J274, 0)</f>
        <v>0</v>
      </c>
      <c r="K275" s="1">
        <v>0</v>
      </c>
      <c r="L275" s="1">
        <f>IF(K275 + L274 &lt; 0, K275 + L274, 0)</f>
        <v>0</v>
      </c>
    </row>
    <row r="276" spans="1:12" s="1" customFormat="1">
      <c r="A276" s="3">
        <v>45386</v>
      </c>
      <c r="B276" s="1" t="s">
        <v>16</v>
      </c>
      <c r="C276" s="1">
        <v>9</v>
      </c>
      <c r="D276" s="1">
        <v>13</v>
      </c>
      <c r="E276" s="1">
        <v>18138.33586980154</v>
      </c>
      <c r="F276" s="1">
        <f>IF(E276 + F275 &lt; 0, E276 + F275, 0)</f>
        <v>0</v>
      </c>
      <c r="G276" s="1">
        <v>18138.33586980154</v>
      </c>
      <c r="H276" s="1">
        <f>IF(G276 + H275 &lt; 0, G276 + H275, 0)</f>
        <v>0</v>
      </c>
      <c r="I276" s="1">
        <v>0</v>
      </c>
      <c r="J276" s="1">
        <f>IF(I276 + J275 &lt; 0, I276 + J275, 0)</f>
        <v>0</v>
      </c>
      <c r="K276" s="1">
        <v>0</v>
      </c>
      <c r="L276" s="1">
        <f>IF(K276 + L275 &lt; 0, K276 + L275, 0)</f>
        <v>0</v>
      </c>
    </row>
    <row r="277" spans="1:12" s="1" customFormat="1">
      <c r="A277" s="3">
        <v>45387</v>
      </c>
      <c r="B277" s="1" t="s">
        <v>15</v>
      </c>
      <c r="C277" s="1">
        <v>8</v>
      </c>
      <c r="D277" s="1">
        <v>12</v>
      </c>
      <c r="E277" s="1">
        <v>-8066.002949852502</v>
      </c>
      <c r="F277" s="1">
        <f>IF(E277 + F276 &lt; 0, E277 + F276, 0)</f>
        <v>0</v>
      </c>
      <c r="G277" s="1">
        <v>-8066.002949852502</v>
      </c>
      <c r="H277" s="1">
        <f>IF(G277 + H276 &lt; 0, G277 + H276, 0)</f>
        <v>0</v>
      </c>
      <c r="I277" s="1">
        <v>0</v>
      </c>
      <c r="J277" s="1">
        <f>IF(I277 + J276 &lt; 0, I277 + J276, 0)</f>
        <v>0</v>
      </c>
      <c r="K277" s="1">
        <v>0</v>
      </c>
      <c r="L277" s="1">
        <f>IF(K277 + L276 &lt; 0, K277 + L276, 0)</f>
        <v>0</v>
      </c>
    </row>
    <row r="278" spans="1:12" s="1" customFormat="1">
      <c r="A278" s="3">
        <v>45390</v>
      </c>
      <c r="B278" s="1" t="s">
        <v>12</v>
      </c>
      <c r="C278" s="1">
        <v>7</v>
      </c>
      <c r="D278" s="1">
        <v>11</v>
      </c>
      <c r="E278" s="1">
        <v>82520.48988750039</v>
      </c>
      <c r="F278" s="1">
        <f>IF(E278 + F277 &lt; 0, E278 + F277, 0)</f>
        <v>0</v>
      </c>
      <c r="G278" s="1">
        <v>82520.48988750039</v>
      </c>
      <c r="H278" s="1">
        <f>IF(G278 + H277 &lt; 0, G278 + H277, 0)</f>
        <v>0</v>
      </c>
      <c r="I278" s="1">
        <v>0</v>
      </c>
      <c r="J278" s="1">
        <f>IF(I278 + J277 &lt; 0, I278 + J277, 0)</f>
        <v>0</v>
      </c>
      <c r="K278" s="1">
        <v>0</v>
      </c>
      <c r="L278" s="1">
        <f>IF(K278 + L277 &lt; 0, K278 + L277, 0)</f>
        <v>0</v>
      </c>
    </row>
    <row r="279" spans="1:12" s="1" customFormat="1">
      <c r="A279" s="3">
        <v>45391</v>
      </c>
      <c r="B279" s="1" t="s">
        <v>13</v>
      </c>
      <c r="C279" s="1">
        <v>6</v>
      </c>
      <c r="D279" s="1">
        <v>10</v>
      </c>
      <c r="E279" s="1">
        <v>-36350.9556103576</v>
      </c>
      <c r="F279" s="1">
        <f>IF(E279 + F278 &lt; 0, E279 + F278, 0)</f>
        <v>0</v>
      </c>
      <c r="G279" s="1">
        <v>-30718.2490752158</v>
      </c>
      <c r="H279" s="1">
        <f>IF(G279 + H278 &lt; 0, G279 + H278, 0)</f>
        <v>0</v>
      </c>
      <c r="I279" s="1">
        <v>0</v>
      </c>
      <c r="J279" s="1">
        <f>IF(I279 + J278 &lt; 0, I279 + J278, 0)</f>
        <v>0</v>
      </c>
      <c r="K279" s="1">
        <v>0</v>
      </c>
      <c r="L279" s="1">
        <f>IF(K279 + L278 &lt; 0, K279 + L278, 0)</f>
        <v>0</v>
      </c>
    </row>
    <row r="280" spans="1:12" s="1" customFormat="1">
      <c r="A280" s="3">
        <v>45392</v>
      </c>
      <c r="B280" s="1" t="s">
        <v>14</v>
      </c>
      <c r="C280" s="1">
        <v>5</v>
      </c>
      <c r="D280" s="1">
        <v>9</v>
      </c>
      <c r="E280" s="1">
        <v>14012.26072813713</v>
      </c>
      <c r="F280" s="1">
        <f>IF(E280 + F279 &lt; 0, E280 + F279, 0)</f>
        <v>0</v>
      </c>
      <c r="G280" s="1">
        <v>14012.26072813713</v>
      </c>
      <c r="H280" s="1">
        <f>IF(G280 + H279 &lt; 0, G280 + H279, 0)</f>
        <v>0</v>
      </c>
      <c r="I280" s="1">
        <v>0</v>
      </c>
      <c r="J280" s="1">
        <f>IF(I280 + J279 &lt; 0, I280 + J279, 0)</f>
        <v>0</v>
      </c>
      <c r="K280" s="1">
        <v>0</v>
      </c>
      <c r="L280" s="1">
        <f>IF(K280 + L279 &lt; 0, K280 + L279, 0)</f>
        <v>0</v>
      </c>
    </row>
    <row r="281" spans="1:12" s="1" customFormat="1">
      <c r="A281" s="3">
        <v>45394</v>
      </c>
      <c r="B281" s="1" t="s">
        <v>15</v>
      </c>
      <c r="C281" s="1">
        <v>4</v>
      </c>
      <c r="D281" s="1">
        <v>8</v>
      </c>
      <c r="E281" s="1">
        <v>-554581.0907507078</v>
      </c>
      <c r="F281" s="1">
        <f>IF(E281 + F280 &lt; 0, E281 + F280, 0)</f>
        <v>0</v>
      </c>
      <c r="G281" s="1">
        <v>-632288.5231621192</v>
      </c>
      <c r="H281" s="1">
        <f>IF(G281 + H280 &lt; 0, G281 + H280, 0)</f>
        <v>0</v>
      </c>
      <c r="I281" s="1">
        <v>0</v>
      </c>
      <c r="J281" s="1">
        <f>IF(I281 + J280 &lt; 0, I281 + J280, 0)</f>
        <v>0</v>
      </c>
      <c r="K281" s="1">
        <v>0</v>
      </c>
      <c r="L281" s="1">
        <f>IF(K281 + L280 &lt; 0, K281 + L280, 0)</f>
        <v>0</v>
      </c>
    </row>
    <row r="282" spans="1:12" s="1" customFormat="1">
      <c r="A282" s="3">
        <v>45397</v>
      </c>
      <c r="B282" s="1" t="s">
        <v>12</v>
      </c>
      <c r="C282" s="1">
        <v>3</v>
      </c>
      <c r="D282" s="1">
        <v>7</v>
      </c>
      <c r="E282" s="1">
        <v>-1208.40739701251</v>
      </c>
      <c r="F282" s="1">
        <f>IF(E282 + F281 &lt; 0, E282 + F281, 0)</f>
        <v>0</v>
      </c>
      <c r="G282" s="1">
        <v>58502.51036891508</v>
      </c>
      <c r="H282" s="1">
        <f>IF(G282 + H281 &lt; 0, G282 + H281, 0)</f>
        <v>0</v>
      </c>
      <c r="I282" s="1">
        <v>0</v>
      </c>
      <c r="J282" s="1">
        <f>IF(I282 + J281 &lt; 0, I282 + J281, 0)</f>
        <v>0</v>
      </c>
      <c r="K282" s="1">
        <v>0</v>
      </c>
      <c r="L282" s="1">
        <f>IF(K282 + L281 &lt; 0, K282 + L281, 0)</f>
        <v>0</v>
      </c>
    </row>
    <row r="283" spans="1:12" s="1" customFormat="1">
      <c r="A283" s="3">
        <v>45398</v>
      </c>
      <c r="B283" s="1" t="s">
        <v>13</v>
      </c>
      <c r="C283" s="1">
        <v>2</v>
      </c>
      <c r="D283" s="1">
        <v>6</v>
      </c>
      <c r="E283" s="1">
        <v>363177.9228413204</v>
      </c>
      <c r="F283" s="1">
        <f>IF(E283 + F282 &lt; 0, E283 + F282, 0)</f>
        <v>0</v>
      </c>
      <c r="G283" s="1">
        <v>363177.9228413204</v>
      </c>
      <c r="H283" s="1">
        <f>IF(G283 + H282 &lt; 0, G283 + H282, 0)</f>
        <v>0</v>
      </c>
      <c r="I283" s="1">
        <v>41031.652989449</v>
      </c>
      <c r="J283" s="1">
        <f>IF(I283 + J282 &lt; 0, I283 + J282, 0)</f>
        <v>0</v>
      </c>
      <c r="K283" s="1">
        <v>41031.652989449</v>
      </c>
      <c r="L283" s="1">
        <f>IF(K283 + L282 &lt; 0, K283 + L282, 0)</f>
        <v>0</v>
      </c>
    </row>
    <row r="284" spans="1:12" s="1" customFormat="1">
      <c r="A284" s="3">
        <v>45399</v>
      </c>
      <c r="B284" s="1" t="s">
        <v>14</v>
      </c>
      <c r="C284" s="1">
        <v>1</v>
      </c>
      <c r="D284" s="1">
        <v>5</v>
      </c>
      <c r="E284" s="1">
        <v>39090.22744313924</v>
      </c>
      <c r="F284" s="1">
        <f>IF(E284 + F283 &lt; 0, E284 + F283, 0)</f>
        <v>0</v>
      </c>
      <c r="G284" s="1">
        <v>-197403.7740564859</v>
      </c>
      <c r="H284" s="1">
        <f>IF(G284 + H283 &lt; 0, G284 + H283, 0)</f>
        <v>0</v>
      </c>
      <c r="I284" s="1">
        <v>-65204.50503852992</v>
      </c>
      <c r="J284" s="1">
        <f>IF(I284 + J283 &lt; 0, I284 + J283, 0)</f>
        <v>0</v>
      </c>
      <c r="K284" s="1">
        <v>-65204.50503852992</v>
      </c>
      <c r="L284" s="1">
        <f>IF(K284 + L283 &lt; 0, K284 + L283, 0)</f>
        <v>0</v>
      </c>
    </row>
    <row r="285" spans="1:12" s="1" customFormat="1">
      <c r="A285" s="3">
        <v>45400</v>
      </c>
      <c r="B285" s="1" t="s">
        <v>16</v>
      </c>
      <c r="C285" s="1">
        <v>21</v>
      </c>
      <c r="D285" s="1">
        <v>4</v>
      </c>
      <c r="E285" s="1">
        <v>0</v>
      </c>
      <c r="F285" s="1">
        <f>IF(E285 + F284 &lt; 0, E285 + F284, 0)</f>
        <v>0</v>
      </c>
      <c r="G285" s="1">
        <v>0</v>
      </c>
      <c r="H285" s="1">
        <f>IF(G285 + H284 &lt; 0, G285 + H284, 0)</f>
        <v>0</v>
      </c>
      <c r="I285" s="1">
        <v>119863.0136986301</v>
      </c>
      <c r="J285" s="1">
        <f>IF(I285 + J284 &lt; 0, I285 + J284, 0)</f>
        <v>0</v>
      </c>
      <c r="K285" s="1">
        <v>119863.0136986301</v>
      </c>
      <c r="L285" s="1">
        <f>IF(K285 + L284 &lt; 0, K285 + L284, 0)</f>
        <v>0</v>
      </c>
    </row>
    <row r="286" spans="1:12" s="1" customFormat="1">
      <c r="A286" s="3">
        <v>45401</v>
      </c>
      <c r="B286" s="1" t="s">
        <v>15</v>
      </c>
      <c r="C286" s="1">
        <v>20</v>
      </c>
      <c r="D286" s="1">
        <v>3</v>
      </c>
      <c r="E286" s="1">
        <v>0</v>
      </c>
      <c r="F286" s="1">
        <f>IF(E286 + F285 &lt; 0, E286 + F285, 0)</f>
        <v>0</v>
      </c>
      <c r="G286" s="1">
        <v>0</v>
      </c>
      <c r="H286" s="1">
        <f>IF(G286 + H285 &lt; 0, G286 + H285, 0)</f>
        <v>0</v>
      </c>
      <c r="I286" s="1">
        <v>-244382.02247191</v>
      </c>
      <c r="J286" s="1">
        <f>IF(I286 + J285 &lt; 0, I286 + J285, 0)</f>
        <v>0</v>
      </c>
      <c r="K286" s="1">
        <v>-244382.02247191</v>
      </c>
      <c r="L286" s="1">
        <f>IF(K286 + L285 &lt; 0, K286 + L285, 0)</f>
        <v>0</v>
      </c>
    </row>
    <row r="287" spans="1:12" s="1" customFormat="1">
      <c r="A287" s="3">
        <v>45404</v>
      </c>
      <c r="B287" s="1" t="s">
        <v>12</v>
      </c>
      <c r="C287" s="1">
        <v>19</v>
      </c>
      <c r="D287" s="1">
        <v>2</v>
      </c>
      <c r="E287" s="1">
        <v>0</v>
      </c>
      <c r="F287" s="1">
        <f>IF(E287 + F286 &lt; 0, E287 + F286, 0)</f>
        <v>0</v>
      </c>
      <c r="G287" s="1">
        <v>0</v>
      </c>
      <c r="H287" s="1">
        <f>IF(G287 + H286 &lt; 0, G287 + H286, 0)</f>
        <v>0</v>
      </c>
      <c r="I287" s="1">
        <v>187435.8243011979</v>
      </c>
      <c r="J287" s="1">
        <f>IF(I287 + J286 &lt; 0, I287 + J286, 0)</f>
        <v>0</v>
      </c>
      <c r="K287" s="1">
        <v>187435.8243011979</v>
      </c>
      <c r="L287" s="1">
        <f>IF(K287 + L286 &lt; 0, K287 + L286, 0)</f>
        <v>0</v>
      </c>
    </row>
    <row r="288" spans="1:12" s="1" customFormat="1">
      <c r="A288" s="3">
        <v>45405</v>
      </c>
      <c r="B288" s="1" t="s">
        <v>13</v>
      </c>
      <c r="C288" s="1">
        <v>18</v>
      </c>
      <c r="D288" s="1">
        <v>1</v>
      </c>
      <c r="E288" s="1">
        <v>0</v>
      </c>
      <c r="F288" s="1">
        <f>IF(E288 + F287 &lt; 0, E288 + F287, 0)</f>
        <v>0</v>
      </c>
      <c r="G288" s="1">
        <v>0</v>
      </c>
      <c r="H288" s="1">
        <f>IF(G288 + H287 &lt; 0, G288 + H287, 0)</f>
        <v>0</v>
      </c>
      <c r="I288" s="1">
        <v>-43840.78212290503</v>
      </c>
      <c r="J288" s="1">
        <f>IF(I288 + J287 &lt; 0, I288 + J287, 0)</f>
        <v>0</v>
      </c>
      <c r="K288" s="1">
        <v>156501.3966480447</v>
      </c>
      <c r="L288" s="1">
        <f>IF(K288 + L287 &lt; 0, K288 + L287, 0)</f>
        <v>0</v>
      </c>
    </row>
    <row r="289" spans="1:12" s="1" customFormat="1">
      <c r="A289" s="3">
        <v>45406</v>
      </c>
      <c r="B289" s="1" t="s">
        <v>14</v>
      </c>
      <c r="C289" s="1">
        <v>17</v>
      </c>
      <c r="D289" s="1">
        <v>23</v>
      </c>
      <c r="E289" s="1">
        <v>0</v>
      </c>
      <c r="F289" s="1">
        <f>IF(E289 + F288 &lt; 0, E289 + F288, 0)</f>
        <v>0</v>
      </c>
      <c r="G289" s="1">
        <v>0</v>
      </c>
      <c r="H289" s="1">
        <f>IF(G289 + H288 &lt; 0, G289 + H288, 0)</f>
        <v>0</v>
      </c>
      <c r="I289" s="1">
        <v>0</v>
      </c>
      <c r="J289" s="1">
        <f>IF(I289 + J288 &lt; 0, I289 + J288, 0)</f>
        <v>0</v>
      </c>
      <c r="K289" s="1">
        <v>0</v>
      </c>
      <c r="L289" s="1">
        <f>IF(K289 + L288 &lt; 0, K289 + L288, 0)</f>
        <v>0</v>
      </c>
    </row>
    <row r="290" spans="1:12" s="1" customFormat="1">
      <c r="A290" s="3">
        <v>45407</v>
      </c>
      <c r="B290" s="1" t="s">
        <v>16</v>
      </c>
      <c r="C290" s="1">
        <v>16</v>
      </c>
      <c r="D290" s="1">
        <v>22</v>
      </c>
      <c r="E290" s="1">
        <v>0</v>
      </c>
      <c r="F290" s="1">
        <f>IF(E290 + F289 &lt; 0, E290 + F289, 0)</f>
        <v>0</v>
      </c>
      <c r="G290" s="1">
        <v>0</v>
      </c>
      <c r="H290" s="1">
        <f>IF(G290 + H289 &lt; 0, G290 + H289, 0)</f>
        <v>0</v>
      </c>
      <c r="I290" s="1">
        <v>0</v>
      </c>
      <c r="J290" s="1">
        <f>IF(I290 + J289 &lt; 0, I290 + J289, 0)</f>
        <v>0</v>
      </c>
      <c r="K290" s="1">
        <v>0</v>
      </c>
      <c r="L290" s="1">
        <f>IF(K290 + L289 &lt; 0, K290 + L289, 0)</f>
        <v>0</v>
      </c>
    </row>
    <row r="291" spans="1:12" s="1" customFormat="1">
      <c r="A291" s="3">
        <v>45408</v>
      </c>
      <c r="B291" s="1" t="s">
        <v>15</v>
      </c>
      <c r="C291" s="1">
        <v>15</v>
      </c>
      <c r="D291" s="1">
        <v>21</v>
      </c>
      <c r="E291" s="1">
        <v>0</v>
      </c>
      <c r="F291" s="1">
        <f>IF(E291 + F290 &lt; 0, E291 + F290, 0)</f>
        <v>0</v>
      </c>
      <c r="G291" s="1">
        <v>0</v>
      </c>
      <c r="H291" s="1">
        <f>IF(G291 + H290 &lt; 0, G291 + H290, 0)</f>
        <v>0</v>
      </c>
      <c r="I291" s="1">
        <v>0</v>
      </c>
      <c r="J291" s="1">
        <f>IF(I291 + J290 &lt; 0, I291 + J290, 0)</f>
        <v>0</v>
      </c>
      <c r="K291" s="1">
        <v>0</v>
      </c>
      <c r="L291" s="1">
        <f>IF(K291 + L290 &lt; 0, K291 + L290, 0)</f>
        <v>0</v>
      </c>
    </row>
    <row r="292" spans="1:12" s="1" customFormat="1">
      <c r="A292" s="3">
        <v>45411</v>
      </c>
      <c r="B292" s="1" t="s">
        <v>12</v>
      </c>
      <c r="C292" s="1">
        <v>14</v>
      </c>
      <c r="D292" s="1">
        <v>20</v>
      </c>
      <c r="E292" s="1">
        <v>0</v>
      </c>
      <c r="F292" s="1">
        <f>IF(E292 + F291 &lt; 0, E292 + F291, 0)</f>
        <v>0</v>
      </c>
      <c r="G292" s="1">
        <v>0</v>
      </c>
      <c r="H292" s="1">
        <f>IF(G292 + H291 &lt; 0, G292 + H291, 0)</f>
        <v>0</v>
      </c>
      <c r="I292" s="1">
        <v>0</v>
      </c>
      <c r="J292" s="1">
        <f>IF(I292 + J291 &lt; 0, I292 + J291, 0)</f>
        <v>0</v>
      </c>
      <c r="K292" s="1">
        <v>0</v>
      </c>
      <c r="L292" s="1">
        <f>IF(K292 + L291 &lt; 0, K292 + L291, 0)</f>
        <v>0</v>
      </c>
    </row>
    <row r="293" spans="1:12" s="1" customFormat="1">
      <c r="A293" s="3">
        <v>45412</v>
      </c>
      <c r="B293" s="1" t="s">
        <v>13</v>
      </c>
      <c r="C293" s="1">
        <v>13</v>
      </c>
      <c r="D293" s="1">
        <v>19</v>
      </c>
      <c r="E293" s="1">
        <v>0</v>
      </c>
      <c r="F293" s="1">
        <f>IF(E293 + F292 &lt; 0, E293 + F292, 0)</f>
        <v>0</v>
      </c>
      <c r="G293" s="1">
        <v>0</v>
      </c>
      <c r="H293" s="1">
        <f>IF(G293 + H292 &lt; 0, G293 + H292, 0)</f>
        <v>0</v>
      </c>
      <c r="I293" s="1">
        <v>0</v>
      </c>
      <c r="J293" s="1">
        <f>IF(I293 + J292 &lt; 0, I293 + J292, 0)</f>
        <v>0</v>
      </c>
      <c r="K293" s="1">
        <v>0</v>
      </c>
      <c r="L293" s="1">
        <f>IF(K293 + L292 &lt; 0, K293 + L292, 0)</f>
        <v>0</v>
      </c>
    </row>
    <row r="294" spans="1:12" s="1" customFormat="1">
      <c r="A294" s="3">
        <v>45413</v>
      </c>
      <c r="B294" s="1" t="s">
        <v>14</v>
      </c>
      <c r="C294" s="1">
        <v>12</v>
      </c>
      <c r="D294" s="1">
        <v>18</v>
      </c>
      <c r="E294" s="1">
        <v>0</v>
      </c>
      <c r="F294" s="1">
        <f>IF(E294 + F293 &lt; 0, E294 + F293, 0)</f>
        <v>0</v>
      </c>
      <c r="G294" s="1">
        <v>0</v>
      </c>
      <c r="H294" s="1">
        <f>IF(G294 + H293 &lt; 0, G294 + H293, 0)</f>
        <v>0</v>
      </c>
      <c r="I294" s="1">
        <v>0</v>
      </c>
      <c r="J294" s="1">
        <f>IF(I294 + J293 &lt; 0, I294 + J293, 0)</f>
        <v>0</v>
      </c>
      <c r="K294" s="1">
        <v>0</v>
      </c>
      <c r="L294" s="1">
        <f>IF(K294 + L293 &lt; 0, K294 + L293, 0)</f>
        <v>0</v>
      </c>
    </row>
    <row r="295" spans="1:12" s="1" customFormat="1">
      <c r="A295" s="3">
        <v>45414</v>
      </c>
      <c r="B295" s="1" t="s">
        <v>16</v>
      </c>
      <c r="C295" s="1">
        <v>11</v>
      </c>
      <c r="D295" s="1">
        <v>17</v>
      </c>
      <c r="E295" s="1">
        <v>0</v>
      </c>
      <c r="F295" s="1">
        <f>IF(E295 + F294 &lt; 0, E295 + F294, 0)</f>
        <v>0</v>
      </c>
      <c r="G295" s="1">
        <v>0</v>
      </c>
      <c r="H295" s="1">
        <f>IF(G295 + H294 &lt; 0, G295 + H294, 0)</f>
        <v>0</v>
      </c>
      <c r="I295" s="1">
        <v>0</v>
      </c>
      <c r="J295" s="1">
        <f>IF(I295 + J294 &lt; 0, I295 + J294, 0)</f>
        <v>0</v>
      </c>
      <c r="K295" s="1">
        <v>0</v>
      </c>
      <c r="L295" s="1">
        <f>IF(K295 + L294 &lt; 0, K295 + L294, 0)</f>
        <v>0</v>
      </c>
    </row>
    <row r="296" spans="1:12" s="1" customFormat="1">
      <c r="A296" s="3">
        <v>45415</v>
      </c>
      <c r="B296" s="1" t="s">
        <v>15</v>
      </c>
      <c r="C296" s="1">
        <v>10</v>
      </c>
      <c r="D296" s="1">
        <v>16</v>
      </c>
      <c r="E296" s="1">
        <v>110220.2050764834</v>
      </c>
      <c r="F296" s="1">
        <f>IF(E296 + F295 &lt; 0, E296 + F295, 0)</f>
        <v>0</v>
      </c>
      <c r="G296" s="1">
        <v>110220.2050764834</v>
      </c>
      <c r="H296" s="1">
        <f>IF(G296 + H295 &lt; 0, G296 + H295, 0)</f>
        <v>0</v>
      </c>
      <c r="I296" s="1">
        <v>0</v>
      </c>
      <c r="J296" s="1">
        <f>IF(I296 + J295 &lt; 0, I296 + J295, 0)</f>
        <v>0</v>
      </c>
      <c r="K296" s="1">
        <v>0</v>
      </c>
      <c r="L296" s="1">
        <f>IF(K296 + L295 &lt; 0, K296 + L295, 0)</f>
        <v>0</v>
      </c>
    </row>
    <row r="297" spans="1:12" s="1" customFormat="1">
      <c r="A297" s="3">
        <v>45418</v>
      </c>
      <c r="B297" s="1" t="s">
        <v>12</v>
      </c>
      <c r="C297" s="1">
        <v>9</v>
      </c>
      <c r="D297" s="1">
        <v>15</v>
      </c>
      <c r="E297" s="1">
        <v>50120.42470911496</v>
      </c>
      <c r="F297" s="1">
        <f>IF(E297 + F296 &lt; 0, E297 + F296, 0)</f>
        <v>0</v>
      </c>
      <c r="G297" s="1">
        <v>50120.42470911496</v>
      </c>
      <c r="H297" s="1">
        <f>IF(G297 + H296 &lt; 0, G297 + H296, 0)</f>
        <v>0</v>
      </c>
      <c r="I297" s="1">
        <v>0</v>
      </c>
      <c r="J297" s="1">
        <f>IF(I297 + J296 &lt; 0, I297 + J296, 0)</f>
        <v>0</v>
      </c>
      <c r="K297" s="1">
        <v>0</v>
      </c>
      <c r="L297" s="1">
        <f>IF(K297 + L296 &lt; 0, K297 + L296, 0)</f>
        <v>0</v>
      </c>
    </row>
    <row r="298" spans="1:12" s="1" customFormat="1">
      <c r="A298" s="3">
        <v>45419</v>
      </c>
      <c r="B298" s="1" t="s">
        <v>13</v>
      </c>
      <c r="C298" s="1">
        <v>8</v>
      </c>
      <c r="D298" s="1">
        <v>14</v>
      </c>
      <c r="E298" s="1">
        <v>209645.8354434654</v>
      </c>
      <c r="F298" s="1">
        <f>IF(E298 + F297 &lt; 0, E298 + F297, 0)</f>
        <v>0</v>
      </c>
      <c r="G298" s="1">
        <v>209645.8354434654</v>
      </c>
      <c r="H298" s="1">
        <f>IF(G298 + H297 &lt; 0, G298 + H297, 0)</f>
        <v>0</v>
      </c>
      <c r="I298" s="1">
        <v>0</v>
      </c>
      <c r="J298" s="1">
        <f>IF(I298 + J297 &lt; 0, I298 + J297, 0)</f>
        <v>0</v>
      </c>
      <c r="K298" s="1">
        <v>0</v>
      </c>
      <c r="L298" s="1">
        <f>IF(K298 + L297 &lt; 0, K298 + L297, 0)</f>
        <v>0</v>
      </c>
    </row>
    <row r="299" spans="1:12" s="1" customFormat="1">
      <c r="A299" s="3">
        <v>45420</v>
      </c>
      <c r="B299" s="1" t="s">
        <v>14</v>
      </c>
      <c r="C299" s="1">
        <v>7</v>
      </c>
      <c r="D299" s="1">
        <v>13</v>
      </c>
      <c r="E299" s="1">
        <v>67138.55729007247</v>
      </c>
      <c r="F299" s="1">
        <f>IF(E299 + F298 &lt; 0, E299 + F298, 0)</f>
        <v>0</v>
      </c>
      <c r="G299" s="1">
        <v>34758.35799068122</v>
      </c>
      <c r="H299" s="1">
        <f>IF(G299 + H298 &lt; 0, G299 + H298, 0)</f>
        <v>0</v>
      </c>
      <c r="I299" s="1">
        <v>0</v>
      </c>
      <c r="J299" s="1">
        <f>IF(I299 + J298 &lt; 0, I299 + J298, 0)</f>
        <v>0</v>
      </c>
      <c r="K299" s="1">
        <v>0</v>
      </c>
      <c r="L299" s="1">
        <f>IF(K299 + L298 &lt; 0, K299 + L298, 0)</f>
        <v>0</v>
      </c>
    </row>
    <row r="300" spans="1:12" s="1" customFormat="1">
      <c r="A300" s="3">
        <v>45421</v>
      </c>
      <c r="B300" s="1" t="s">
        <v>16</v>
      </c>
      <c r="C300" s="1">
        <v>6</v>
      </c>
      <c r="D300" s="1">
        <v>12</v>
      </c>
      <c r="E300" s="1">
        <v>88828.57525800834</v>
      </c>
      <c r="F300" s="1">
        <f>IF(E300 + F299 &lt; 0, E300 + F299, 0)</f>
        <v>0</v>
      </c>
      <c r="G300" s="1">
        <v>88828.57525800834</v>
      </c>
      <c r="H300" s="1">
        <f>IF(G300 + H299 &lt; 0, G300 + H299, 0)</f>
        <v>0</v>
      </c>
      <c r="I300" s="1">
        <v>0</v>
      </c>
      <c r="J300" s="1">
        <f>IF(I300 + J299 &lt; 0, I300 + J299, 0)</f>
        <v>0</v>
      </c>
      <c r="K300" s="1">
        <v>0</v>
      </c>
      <c r="L300" s="1">
        <f>IF(K300 + L299 &lt; 0, K300 + L299, 0)</f>
        <v>0</v>
      </c>
    </row>
    <row r="301" spans="1:12" s="1" customFormat="1">
      <c r="A301" s="3">
        <v>45422</v>
      </c>
      <c r="B301" s="1" t="s">
        <v>15</v>
      </c>
      <c r="C301" s="1">
        <v>5</v>
      </c>
      <c r="D301" s="1">
        <v>11</v>
      </c>
      <c r="E301" s="1">
        <v>43834.01714533513</v>
      </c>
      <c r="F301" s="1">
        <f>IF(E301 + F300 &lt; 0, E301 + F300, 0)</f>
        <v>0</v>
      </c>
      <c r="G301" s="1">
        <v>-148053.6375462824</v>
      </c>
      <c r="H301" s="1">
        <f>IF(G301 + H300 &lt; 0, G301 + H300, 0)</f>
        <v>0</v>
      </c>
      <c r="I301" s="1">
        <v>0</v>
      </c>
      <c r="J301" s="1">
        <f>IF(I301 + J300 &lt; 0, I301 + J300, 0)</f>
        <v>0</v>
      </c>
      <c r="K301" s="1">
        <v>0</v>
      </c>
      <c r="L301" s="1">
        <f>IF(K301 + L300 &lt; 0, K301 + L300, 0)</f>
        <v>0</v>
      </c>
    </row>
    <row r="302" spans="1:12" s="1" customFormat="1">
      <c r="A302" s="3">
        <v>45425</v>
      </c>
      <c r="B302" s="1" t="s">
        <v>12</v>
      </c>
      <c r="C302" s="1">
        <v>4</v>
      </c>
      <c r="D302" s="1">
        <v>10</v>
      </c>
      <c r="E302" s="1">
        <v>-4526.96954228347</v>
      </c>
      <c r="F302" s="1">
        <f>IF(E302 + F301 &lt; 0, E302 + F301, 0)</f>
        <v>0</v>
      </c>
      <c r="G302" s="1">
        <v>98587.71482048664</v>
      </c>
      <c r="H302" s="1">
        <f>IF(G302 + H301 &lt; 0, G302 + H301, 0)</f>
        <v>0</v>
      </c>
      <c r="I302" s="1">
        <v>0</v>
      </c>
      <c r="J302" s="1">
        <f>IF(I302 + J301 &lt; 0, I302 + J301, 0)</f>
        <v>0</v>
      </c>
      <c r="K302" s="1">
        <v>0</v>
      </c>
      <c r="L302" s="1">
        <f>IF(K302 + L301 &lt; 0, K302 + L301, 0)</f>
        <v>0</v>
      </c>
    </row>
    <row r="303" spans="1:12" s="1" customFormat="1">
      <c r="A303" s="3">
        <v>45426</v>
      </c>
      <c r="B303" s="1" t="s">
        <v>13</v>
      </c>
      <c r="C303" s="1">
        <v>3</v>
      </c>
      <c r="D303" s="1">
        <v>9</v>
      </c>
      <c r="E303" s="1">
        <v>31252.72953270399</v>
      </c>
      <c r="F303" s="1">
        <f>IF(E303 + F302 &lt; 0, E303 + F302, 0)</f>
        <v>0</v>
      </c>
      <c r="G303" s="1">
        <v>-96247.522424161</v>
      </c>
      <c r="H303" s="1">
        <f>IF(G303 + H302 &lt; 0, G303 + H302, 0)</f>
        <v>0</v>
      </c>
      <c r="I303" s="1">
        <v>0</v>
      </c>
      <c r="J303" s="1">
        <f>IF(I303 + J302 &lt; 0, I303 + J302, 0)</f>
        <v>0</v>
      </c>
      <c r="K303" s="1">
        <v>0</v>
      </c>
      <c r="L303" s="1">
        <f>IF(K303 + L302 &lt; 0, K303 + L302, 0)</f>
        <v>0</v>
      </c>
    </row>
    <row r="304" spans="1:12" s="1" customFormat="1">
      <c r="A304" s="3">
        <v>45427</v>
      </c>
      <c r="B304" s="1" t="s">
        <v>14</v>
      </c>
      <c r="C304" s="1">
        <v>2</v>
      </c>
      <c r="D304" s="1">
        <v>8</v>
      </c>
      <c r="E304" s="1">
        <v>-75370.20758671992</v>
      </c>
      <c r="F304" s="1">
        <f>IF(E304 + F303 &lt; 0, E304 + F303, 0)</f>
        <v>0</v>
      </c>
      <c r="G304" s="1">
        <v>285888.1601190074</v>
      </c>
      <c r="H304" s="1">
        <f>IF(G304 + H303 &lt; 0, G304 + H303, 0)</f>
        <v>0</v>
      </c>
      <c r="I304" s="1">
        <v>0</v>
      </c>
      <c r="J304" s="1">
        <f>IF(I304 + J303 &lt; 0, I304 + J303, 0)</f>
        <v>0</v>
      </c>
      <c r="K304" s="1">
        <v>0</v>
      </c>
      <c r="L304" s="1">
        <f>IF(K304 + L303 &lt; 0, K304 + L303, 0)</f>
        <v>0</v>
      </c>
    </row>
    <row r="305" spans="1:12" s="1" customFormat="1">
      <c r="A305" s="3">
        <v>45428</v>
      </c>
      <c r="B305" s="1" t="s">
        <v>16</v>
      </c>
      <c r="C305" s="1">
        <v>1</v>
      </c>
      <c r="D305" s="1">
        <v>7</v>
      </c>
      <c r="E305" s="1">
        <v>40536.35199784381</v>
      </c>
      <c r="F305" s="1">
        <f>IF(E305 + F304 &lt; 0, E305 + F304, 0)</f>
        <v>0</v>
      </c>
      <c r="G305" s="1">
        <v>-184926.8917188868</v>
      </c>
      <c r="H305" s="1">
        <f>IF(G305 + H304 &lt; 0, G305 + H304, 0)</f>
        <v>0</v>
      </c>
      <c r="I305" s="1">
        <v>0</v>
      </c>
      <c r="J305" s="1">
        <f>IF(I305 + J304 &lt; 0, I305 + J304, 0)</f>
        <v>0</v>
      </c>
      <c r="K305" s="1">
        <v>0</v>
      </c>
      <c r="L305" s="1">
        <f>IF(K305 + L304 &lt; 0, K305 + L304, 0)</f>
        <v>0</v>
      </c>
    </row>
    <row r="306" spans="1:12" s="1" customFormat="1">
      <c r="A306" s="3">
        <v>45429</v>
      </c>
      <c r="B306" s="1" t="s">
        <v>15</v>
      </c>
      <c r="C306" s="1">
        <v>21</v>
      </c>
      <c r="D306" s="1">
        <v>6</v>
      </c>
      <c r="E306" s="1">
        <v>0</v>
      </c>
      <c r="F306" s="1">
        <f>IF(E306 + F305 &lt; 0, E306 + F305, 0)</f>
        <v>0</v>
      </c>
      <c r="G306" s="1">
        <v>0</v>
      </c>
      <c r="H306" s="1">
        <f>IF(G306 + H305 &lt; 0, G306 + H305, 0)</f>
        <v>0</v>
      </c>
      <c r="I306" s="1">
        <v>27182.14428058988</v>
      </c>
      <c r="J306" s="1">
        <f>IF(I306 + J305 &lt; 0, I306 + J305, 0)</f>
        <v>0</v>
      </c>
      <c r="K306" s="1">
        <v>50617.77600637704</v>
      </c>
      <c r="L306" s="1">
        <f>IF(K306 + L305 &lt; 0, K306 + L305, 0)</f>
        <v>0</v>
      </c>
    </row>
    <row r="307" spans="1:12" s="1" customFormat="1">
      <c r="A307" s="3">
        <v>45432</v>
      </c>
      <c r="B307" s="1" t="s">
        <v>12</v>
      </c>
      <c r="C307" s="1">
        <v>20</v>
      </c>
      <c r="D307" s="1">
        <v>5</v>
      </c>
      <c r="E307" s="1">
        <v>0</v>
      </c>
      <c r="F307" s="1">
        <f>IF(E307 + F306 &lt; 0, E307 + F306, 0)</f>
        <v>0</v>
      </c>
      <c r="G307" s="1">
        <v>0</v>
      </c>
      <c r="H307" s="1">
        <f>IF(G307 + H306 &lt; 0, G307 + H306, 0)</f>
        <v>0</v>
      </c>
      <c r="I307" s="1">
        <v>-240785.0150602408</v>
      </c>
      <c r="J307" s="1">
        <f>IF(I307 + J306 &lt; 0, I307 + J306, 0)</f>
        <v>0</v>
      </c>
      <c r="K307" s="1">
        <v>-240785.0150602408</v>
      </c>
      <c r="L307" s="1">
        <f>IF(K307 + L306 &lt; 0, K307 + L306, 0)</f>
        <v>0</v>
      </c>
    </row>
    <row r="308" spans="1:12" s="1" customFormat="1">
      <c r="A308" s="3">
        <v>45433</v>
      </c>
      <c r="B308" s="1" t="s">
        <v>13</v>
      </c>
      <c r="C308" s="1">
        <v>19</v>
      </c>
      <c r="D308" s="1">
        <v>4</v>
      </c>
      <c r="E308" s="1">
        <v>0</v>
      </c>
      <c r="F308" s="1">
        <f>IF(E308 + F307 &lt; 0, E308 + F307, 0)</f>
        <v>0</v>
      </c>
      <c r="G308" s="1">
        <v>0</v>
      </c>
      <c r="H308" s="1">
        <f>IF(G308 + H307 &lt; 0, G308 + H307, 0)</f>
        <v>0</v>
      </c>
      <c r="I308" s="1">
        <v>-252304.3160204828</v>
      </c>
      <c r="J308" s="1">
        <f>IF(I308 + J307 &lt; 0, I308 + J307, 0)</f>
        <v>0</v>
      </c>
      <c r="K308" s="1">
        <v>-250347.4762253108</v>
      </c>
      <c r="L308" s="1">
        <f>IF(K308 + L307 &lt; 0, K308 + L307, 0)</f>
        <v>0</v>
      </c>
    </row>
    <row r="309" spans="1:12" s="1" customFormat="1">
      <c r="A309" s="3">
        <v>45434</v>
      </c>
      <c r="B309" s="1" t="s">
        <v>14</v>
      </c>
      <c r="C309" s="1">
        <v>18</v>
      </c>
      <c r="D309" s="1">
        <v>3</v>
      </c>
      <c r="E309" s="1">
        <v>0</v>
      </c>
      <c r="F309" s="1">
        <f>IF(E309 + F308 &lt; 0, E309 + F308, 0)</f>
        <v>0</v>
      </c>
      <c r="G309" s="1">
        <v>0</v>
      </c>
      <c r="H309" s="1">
        <f>IF(G309 + H308 &lt; 0, G309 + H308, 0)</f>
        <v>0</v>
      </c>
      <c r="I309" s="1">
        <v>-87466.74268339034</v>
      </c>
      <c r="J309" s="1">
        <f>IF(I309 + J308 &lt; 0, I309 + J308, 0)</f>
        <v>0</v>
      </c>
      <c r="K309" s="1">
        <v>-264414.67122767</v>
      </c>
      <c r="L309" s="1">
        <f>IF(K309 + L308 &lt; 0, K309 + L308, 0)</f>
        <v>0</v>
      </c>
    </row>
    <row r="310" spans="1:12" s="1" customFormat="1">
      <c r="A310" s="3">
        <v>45435</v>
      </c>
      <c r="B310" s="1" t="s">
        <v>16</v>
      </c>
      <c r="C310" s="1">
        <v>17</v>
      </c>
      <c r="D310" s="1">
        <v>2</v>
      </c>
      <c r="E310" s="1">
        <v>0</v>
      </c>
      <c r="F310" s="1">
        <f>IF(E310 + F309 &lt; 0, E310 + F309, 0)</f>
        <v>0</v>
      </c>
      <c r="G310" s="1">
        <v>0</v>
      </c>
      <c r="H310" s="1">
        <f>IF(G310 + H309 &lt; 0, G310 + H309, 0)</f>
        <v>0</v>
      </c>
      <c r="I310" s="1">
        <v>-234119.8065902579</v>
      </c>
      <c r="J310" s="1">
        <f>IF(I310 + J309 &lt; 0, I310 + J309, 0)</f>
        <v>0</v>
      </c>
      <c r="K310" s="1">
        <v>201011.8194842406</v>
      </c>
      <c r="L310" s="1">
        <f>IF(K310 + L309 &lt; 0, K310 + L309, 0)</f>
        <v>0</v>
      </c>
    </row>
    <row r="311" spans="1:12" s="1" customFormat="1">
      <c r="A311" s="3">
        <v>45436</v>
      </c>
      <c r="B311" s="1" t="s">
        <v>15</v>
      </c>
      <c r="C311" s="1">
        <v>16</v>
      </c>
      <c r="D311" s="1">
        <v>1</v>
      </c>
      <c r="E311" s="1">
        <v>0</v>
      </c>
      <c r="F311" s="1">
        <f>IF(E311 + F310 &lt; 0, E311 + F310, 0)</f>
        <v>0</v>
      </c>
      <c r="G311" s="1">
        <v>0</v>
      </c>
      <c r="H311" s="1">
        <f>IF(G311 + H310 &lt; 0, G311 + H310, 0)</f>
        <v>0</v>
      </c>
      <c r="I311" s="1">
        <v>8380.149812734091</v>
      </c>
      <c r="J311" s="1">
        <f>IF(I311 + J310 &lt; 0, I311 + J310, 0)</f>
        <v>0</v>
      </c>
      <c r="K311" s="1">
        <v>-170809.925093633</v>
      </c>
      <c r="L311" s="1">
        <f>IF(K311 + L310 &lt; 0, K311 + L310, 0)</f>
        <v>0</v>
      </c>
    </row>
    <row r="312" spans="1:12" s="1" customFormat="1">
      <c r="A312" s="3">
        <v>45439</v>
      </c>
      <c r="B312" s="1" t="s">
        <v>12</v>
      </c>
      <c r="C312" s="1">
        <v>15</v>
      </c>
      <c r="D312" s="1">
        <v>20</v>
      </c>
      <c r="E312" s="1">
        <v>0</v>
      </c>
      <c r="F312" s="1">
        <f>IF(E312 + F311 &lt; 0, E312 + F311, 0)</f>
        <v>0</v>
      </c>
      <c r="G312" s="1">
        <v>0</v>
      </c>
      <c r="H312" s="1">
        <f>IF(G312 + H311 &lt; 0, G312 + H311, 0)</f>
        <v>0</v>
      </c>
      <c r="I312" s="1">
        <v>0</v>
      </c>
      <c r="J312" s="1">
        <f>IF(I312 + J311 &lt; 0, I312 + J311, 0)</f>
        <v>0</v>
      </c>
      <c r="K312" s="1">
        <v>0</v>
      </c>
      <c r="L312" s="1">
        <f>IF(K312 + L311 &lt; 0, K312 + L311, 0)</f>
        <v>0</v>
      </c>
    </row>
    <row r="313" spans="1:12" s="1" customFormat="1">
      <c r="A313" s="3">
        <v>45440</v>
      </c>
      <c r="B313" s="1" t="s">
        <v>13</v>
      </c>
      <c r="C313" s="1">
        <v>14</v>
      </c>
      <c r="D313" s="1">
        <v>19</v>
      </c>
      <c r="E313" s="1">
        <v>0</v>
      </c>
      <c r="F313" s="1">
        <f>IF(E313 + F312 &lt; 0, E313 + F312, 0)</f>
        <v>0</v>
      </c>
      <c r="G313" s="1">
        <v>0</v>
      </c>
      <c r="H313" s="1">
        <f>IF(G313 + H312 &lt; 0, G313 + H312, 0)</f>
        <v>0</v>
      </c>
      <c r="I313" s="1">
        <v>0</v>
      </c>
      <c r="J313" s="1">
        <f>IF(I313 + J312 &lt; 0, I313 + J312, 0)</f>
        <v>0</v>
      </c>
      <c r="K313" s="1">
        <v>0</v>
      </c>
      <c r="L313" s="1">
        <f>IF(K313 + L312 &lt; 0, K313 + L312, 0)</f>
        <v>0</v>
      </c>
    </row>
    <row r="314" spans="1:12" s="1" customFormat="1">
      <c r="A314" s="3">
        <v>45441</v>
      </c>
      <c r="B314" s="1" t="s">
        <v>14</v>
      </c>
      <c r="C314" s="1">
        <v>13</v>
      </c>
      <c r="D314" s="1">
        <v>18</v>
      </c>
      <c r="E314" s="1">
        <v>0</v>
      </c>
      <c r="F314" s="1">
        <f>IF(E314 + F313 &lt; 0, E314 + F313, 0)</f>
        <v>0</v>
      </c>
      <c r="G314" s="1">
        <v>0</v>
      </c>
      <c r="H314" s="1">
        <f>IF(G314 + H313 &lt; 0, G314 + H313, 0)</f>
        <v>0</v>
      </c>
      <c r="I314" s="1">
        <v>0</v>
      </c>
      <c r="J314" s="1">
        <f>IF(I314 + J313 &lt; 0, I314 + J313, 0)</f>
        <v>0</v>
      </c>
      <c r="K314" s="1">
        <v>0</v>
      </c>
      <c r="L314" s="1">
        <f>IF(K314 + L313 &lt; 0, K314 + L313, 0)</f>
        <v>0</v>
      </c>
    </row>
    <row r="315" spans="1:12" s="1" customFormat="1">
      <c r="A315" s="3">
        <v>45442</v>
      </c>
      <c r="B315" s="1" t="s">
        <v>16</v>
      </c>
      <c r="C315" s="1">
        <v>12</v>
      </c>
      <c r="D315" s="1">
        <v>17</v>
      </c>
      <c r="E315" s="1">
        <v>0</v>
      </c>
      <c r="F315" s="1">
        <f>IF(E315 + F314 &lt; 0, E315 + F314, 0)</f>
        <v>0</v>
      </c>
      <c r="G315" s="1">
        <v>0</v>
      </c>
      <c r="H315" s="1">
        <f>IF(G315 + H314 &lt; 0, G315 + H314, 0)</f>
        <v>0</v>
      </c>
      <c r="I315" s="1">
        <v>0</v>
      </c>
      <c r="J315" s="1">
        <f>IF(I315 + J314 &lt; 0, I315 + J314, 0)</f>
        <v>0</v>
      </c>
      <c r="K315" s="1">
        <v>0</v>
      </c>
      <c r="L315" s="1">
        <f>IF(K315 + L314 &lt; 0, K315 + L314, 0)</f>
        <v>0</v>
      </c>
    </row>
    <row r="316" spans="1:12" s="1" customFormat="1">
      <c r="A316" s="3">
        <v>45443</v>
      </c>
      <c r="B316" s="1" t="s">
        <v>15</v>
      </c>
      <c r="C316" s="1">
        <v>11</v>
      </c>
      <c r="D316" s="1">
        <v>16</v>
      </c>
      <c r="E316" s="1">
        <v>0</v>
      </c>
      <c r="F316" s="1">
        <f>IF(E316 + F315 &lt; 0, E316 + F315, 0)</f>
        <v>0</v>
      </c>
      <c r="G316" s="1">
        <v>0</v>
      </c>
      <c r="H316" s="1">
        <f>IF(G316 + H315 &lt; 0, G316 + H315, 0)</f>
        <v>0</v>
      </c>
      <c r="I316" s="1">
        <v>0</v>
      </c>
      <c r="J316" s="1">
        <f>IF(I316 + J315 &lt; 0, I316 + J315, 0)</f>
        <v>0</v>
      </c>
      <c r="K316" s="1">
        <v>0</v>
      </c>
      <c r="L316" s="1">
        <f>IF(K316 + L315 &lt; 0, K316 + L315, 0)</f>
        <v>0</v>
      </c>
    </row>
    <row r="317" spans="1:12" s="1" customFormat="1">
      <c r="A317" s="3">
        <v>45446</v>
      </c>
      <c r="B317" s="1" t="s">
        <v>12</v>
      </c>
      <c r="C317" s="1">
        <v>10</v>
      </c>
      <c r="D317" s="1">
        <v>15</v>
      </c>
      <c r="E317" s="1">
        <v>32443.96641454448</v>
      </c>
      <c r="F317" s="1">
        <f>IF(E317 + F316 &lt; 0, E317 + F316, 0)</f>
        <v>0</v>
      </c>
      <c r="G317" s="1">
        <v>-660365.3459163141</v>
      </c>
      <c r="H317" s="1">
        <f>IF(G317 + H316 &lt; 0, G317 + H316, 0)</f>
        <v>0</v>
      </c>
      <c r="I317" s="1">
        <v>0</v>
      </c>
      <c r="J317" s="1">
        <f>IF(I317 + J316 &lt; 0, I317 + J316, 0)</f>
        <v>0</v>
      </c>
      <c r="K317" s="1">
        <v>0</v>
      </c>
      <c r="L317" s="1">
        <f>IF(K317 + L316 &lt; 0, K317 + L316, 0)</f>
        <v>0</v>
      </c>
    </row>
    <row r="318" spans="1:12" s="1" customFormat="1">
      <c r="A318" s="3">
        <v>45447</v>
      </c>
      <c r="B318" s="1" t="s">
        <v>13</v>
      </c>
      <c r="C318" s="1">
        <v>9</v>
      </c>
      <c r="D318" s="1">
        <v>14</v>
      </c>
      <c r="E318" s="1">
        <v>274846.404047705</v>
      </c>
      <c r="F318" s="1">
        <f>IF(E318 + F317 &lt; 0, E318 + F317, 0)</f>
        <v>0</v>
      </c>
      <c r="G318" s="1">
        <v>274846.404047705</v>
      </c>
      <c r="H318" s="1">
        <f>IF(G318 + H317 &lt; 0, G318 + H317, 0)</f>
        <v>0</v>
      </c>
      <c r="I318" s="1">
        <v>0</v>
      </c>
      <c r="J318" s="1">
        <f>IF(I318 + J317 &lt; 0, I318 + J317, 0)</f>
        <v>0</v>
      </c>
      <c r="K318" s="1">
        <v>0</v>
      </c>
      <c r="L318" s="1">
        <f>IF(K318 + L317 &lt; 0, K318 + L317, 0)</f>
        <v>0</v>
      </c>
    </row>
    <row r="319" spans="1:12" s="1" customFormat="1">
      <c r="A319" s="3">
        <v>45448</v>
      </c>
      <c r="B319" s="1" t="s">
        <v>14</v>
      </c>
      <c r="C319" s="1">
        <v>8</v>
      </c>
      <c r="D319" s="1">
        <v>13</v>
      </c>
      <c r="E319" s="1">
        <v>124274.7316507108</v>
      </c>
      <c r="F319" s="1">
        <f>IF(E319 + F318 &lt; 0, E319 + F318, 0)</f>
        <v>0</v>
      </c>
      <c r="G319" s="1">
        <v>124274.7316507108</v>
      </c>
      <c r="H319" s="1">
        <f>IF(G319 + H318 &lt; 0, G319 + H318, 0)</f>
        <v>0</v>
      </c>
      <c r="I319" s="1">
        <v>0</v>
      </c>
      <c r="J319" s="1">
        <f>IF(I319 + J318 &lt; 0, I319 + J318, 0)</f>
        <v>0</v>
      </c>
      <c r="K319" s="1">
        <v>0</v>
      </c>
      <c r="L319" s="1">
        <f>IF(K319 + L318 &lt; 0, K319 + L318, 0)</f>
        <v>0</v>
      </c>
    </row>
    <row r="320" spans="1:12" s="1" customFormat="1">
      <c r="A320" s="3">
        <v>45449</v>
      </c>
      <c r="B320" s="1" t="s">
        <v>16</v>
      </c>
      <c r="C320" s="1">
        <v>7</v>
      </c>
      <c r="D320" s="1">
        <v>12</v>
      </c>
      <c r="E320" s="1">
        <v>42520.1987701988</v>
      </c>
      <c r="F320" s="1">
        <f>IF(E320 + F319 &lt; 0, E320 + F319, 0)</f>
        <v>0</v>
      </c>
      <c r="G320" s="1">
        <v>47440.29744029746</v>
      </c>
      <c r="H320" s="1">
        <f>IF(G320 + H319 &lt; 0, G320 + H319, 0)</f>
        <v>0</v>
      </c>
      <c r="I320" s="1">
        <v>0</v>
      </c>
      <c r="J320" s="1">
        <f>IF(I320 + J319 &lt; 0, I320 + J319, 0)</f>
        <v>0</v>
      </c>
      <c r="K320" s="1">
        <v>0</v>
      </c>
      <c r="L320" s="1">
        <f>IF(K320 + L319 &lt; 0, K320 + L319, 0)</f>
        <v>0</v>
      </c>
    </row>
    <row r="321" spans="1:12" s="1" customFormat="1">
      <c r="A321" s="3">
        <v>45450</v>
      </c>
      <c r="B321" s="1" t="s">
        <v>15</v>
      </c>
      <c r="C321" s="1">
        <v>6</v>
      </c>
      <c r="D321" s="1">
        <v>11</v>
      </c>
      <c r="E321" s="1">
        <v>180819.2686357244</v>
      </c>
      <c r="F321" s="1">
        <f>IF(E321 + F320 &lt; 0, E321 + F320, 0)</f>
        <v>0</v>
      </c>
      <c r="G321" s="1">
        <v>180819.2686357244</v>
      </c>
      <c r="H321" s="1">
        <f>IF(G321 + H320 &lt; 0, G321 + H320, 0)</f>
        <v>0</v>
      </c>
      <c r="I321" s="1">
        <v>0</v>
      </c>
      <c r="J321" s="1">
        <f>IF(I321 + J320 &lt; 0, I321 + J320, 0)</f>
        <v>0</v>
      </c>
      <c r="K321" s="1">
        <v>0</v>
      </c>
      <c r="L321" s="1">
        <f>IF(K321 + L320 &lt; 0, K321 + L320, 0)</f>
        <v>0</v>
      </c>
    </row>
    <row r="322" spans="1:12" s="1" customFormat="1">
      <c r="A322" s="3">
        <v>45453</v>
      </c>
      <c r="B322" s="1" t="s">
        <v>12</v>
      </c>
      <c r="C322" s="1">
        <v>5</v>
      </c>
      <c r="D322" s="1">
        <v>10</v>
      </c>
      <c r="E322" s="1">
        <v>34505.50993191548</v>
      </c>
      <c r="F322" s="1">
        <f>IF(E322 + F321 &lt; 0, E322 + F321, 0)</f>
        <v>0</v>
      </c>
      <c r="G322" s="1">
        <v>-413648.4874008564</v>
      </c>
      <c r="H322" s="1">
        <f>IF(G322 + H321 &lt; 0, G322 + H321, 0)</f>
        <v>0</v>
      </c>
      <c r="I322" s="1">
        <v>0</v>
      </c>
      <c r="J322" s="1">
        <f>IF(I322 + J321 &lt; 0, I322 + J321, 0)</f>
        <v>0</v>
      </c>
      <c r="K322" s="1">
        <v>0</v>
      </c>
      <c r="L322" s="1">
        <f>IF(K322 + L321 &lt; 0, K322 + L321, 0)</f>
        <v>0</v>
      </c>
    </row>
    <row r="323" spans="1:12" s="1" customFormat="1">
      <c r="A323" s="3">
        <v>45454</v>
      </c>
      <c r="B323" s="1" t="s">
        <v>13</v>
      </c>
      <c r="C323" s="1">
        <v>4</v>
      </c>
      <c r="D323" s="1">
        <v>9</v>
      </c>
      <c r="E323" s="1">
        <v>72077.33196159123</v>
      </c>
      <c r="F323" s="1">
        <f>IF(E323 + F322 &lt; 0, E323 + F322, 0)</f>
        <v>0</v>
      </c>
      <c r="G323" s="1">
        <v>122067.9012345679</v>
      </c>
      <c r="H323" s="1">
        <f>IF(G323 + H322 &lt; 0, G323 + H322, 0)</f>
        <v>0</v>
      </c>
      <c r="I323" s="1">
        <v>0</v>
      </c>
      <c r="J323" s="1">
        <f>IF(I323 + J322 &lt; 0, I323 + J322, 0)</f>
        <v>0</v>
      </c>
      <c r="K323" s="1">
        <v>0</v>
      </c>
      <c r="L323" s="1">
        <f>IF(K323 + L322 &lt; 0, K323 + L322, 0)</f>
        <v>0</v>
      </c>
    </row>
    <row r="324" spans="1:12" s="1" customFormat="1">
      <c r="A324" s="3">
        <v>45455</v>
      </c>
      <c r="B324" s="1" t="s">
        <v>14</v>
      </c>
      <c r="C324" s="1">
        <v>3</v>
      </c>
      <c r="D324" s="1">
        <v>8</v>
      </c>
      <c r="E324" s="1">
        <v>44218.62265688675</v>
      </c>
      <c r="F324" s="1">
        <f>IF(E324 + F323 &lt; 0, E324 + F323, 0)</f>
        <v>0</v>
      </c>
      <c r="G324" s="1">
        <v>217569.9538168976</v>
      </c>
      <c r="H324" s="1">
        <f>IF(G324 + H323 &lt; 0, G324 + H323, 0)</f>
        <v>0</v>
      </c>
      <c r="I324" s="1">
        <v>0</v>
      </c>
      <c r="J324" s="1">
        <f>IF(I324 + J323 &lt; 0, I324 + J323, 0)</f>
        <v>0</v>
      </c>
      <c r="K324" s="1">
        <v>0</v>
      </c>
      <c r="L324" s="1">
        <f>IF(K324 + L323 &lt; 0, K324 + L323, 0)</f>
        <v>0</v>
      </c>
    </row>
    <row r="325" spans="1:12" s="1" customFormat="1">
      <c r="A325" s="3">
        <v>45456</v>
      </c>
      <c r="B325" s="1" t="s">
        <v>16</v>
      </c>
      <c r="C325" s="1">
        <v>2</v>
      </c>
      <c r="D325" s="1">
        <v>7</v>
      </c>
      <c r="E325" s="1">
        <v>47324.55395072218</v>
      </c>
      <c r="F325" s="1">
        <f>IF(E325 + F324 &lt; 0, E325 + F324, 0)</f>
        <v>0</v>
      </c>
      <c r="G325" s="1">
        <v>99490.22939677148</v>
      </c>
      <c r="H325" s="1">
        <f>IF(G325 + H324 &lt; 0, G325 + H324, 0)</f>
        <v>0</v>
      </c>
      <c r="I325" s="1">
        <v>0</v>
      </c>
      <c r="J325" s="1">
        <f>IF(I325 + J324 &lt; 0, I325 + J324, 0)</f>
        <v>0</v>
      </c>
      <c r="K325" s="1">
        <v>0</v>
      </c>
      <c r="L325" s="1">
        <f>IF(K325 + L324 &lt; 0, K325 + L324, 0)</f>
        <v>0</v>
      </c>
    </row>
    <row r="326" spans="1:12" s="1" customFormat="1">
      <c r="A326" s="3">
        <v>45457</v>
      </c>
      <c r="B326" s="1" t="s">
        <v>15</v>
      </c>
      <c r="C326" s="1">
        <v>1</v>
      </c>
      <c r="D326" s="1">
        <v>6</v>
      </c>
      <c r="E326" s="1">
        <v>69673.1770390282</v>
      </c>
      <c r="F326" s="1">
        <f>IF(E326 + F325 &lt; 0, E326 + F325, 0)</f>
        <v>0</v>
      </c>
      <c r="G326" s="1">
        <v>377028.8203069176</v>
      </c>
      <c r="H326" s="1">
        <f>IF(G326 + H325 &lt; 0, G326 + H325, 0)</f>
        <v>0</v>
      </c>
      <c r="I326" s="1">
        <v>61948.40461642906</v>
      </c>
      <c r="J326" s="1">
        <f>IF(I326 + J325 &lt; 0, I326 + J325, 0)</f>
        <v>0</v>
      </c>
      <c r="K326" s="1">
        <v>61948.40461642906</v>
      </c>
      <c r="L326" s="1">
        <f>IF(K326 + L325 &lt; 0, K326 + L325, 0)</f>
        <v>0</v>
      </c>
    </row>
    <row r="327" spans="1:12" s="1" customFormat="1">
      <c r="A327" s="3">
        <v>45460</v>
      </c>
      <c r="B327" s="1" t="s">
        <v>12</v>
      </c>
      <c r="C327" s="1">
        <v>21</v>
      </c>
      <c r="D327" s="1">
        <v>5</v>
      </c>
      <c r="E327" s="1">
        <v>0</v>
      </c>
      <c r="F327" s="1">
        <f>IF(E327 + F326 &lt; 0, E327 + F326, 0)</f>
        <v>0</v>
      </c>
      <c r="G327" s="1">
        <v>0</v>
      </c>
      <c r="H327" s="1">
        <f>IF(G327 + H326 &lt; 0, G327 + H326, 0)</f>
        <v>0</v>
      </c>
      <c r="I327" s="1">
        <v>186933.2161687171</v>
      </c>
      <c r="J327" s="1">
        <f>IF(I327 + J326 &lt; 0, I327 + J326, 0)</f>
        <v>0</v>
      </c>
      <c r="K327" s="1">
        <v>186933.2161687171</v>
      </c>
      <c r="L327" s="1">
        <f>IF(K327 + L326 &lt; 0, K327 + L326, 0)</f>
        <v>0</v>
      </c>
    </row>
    <row r="328" spans="1:12" s="1" customFormat="1">
      <c r="A328" s="3">
        <v>45461</v>
      </c>
      <c r="B328" s="1" t="s">
        <v>13</v>
      </c>
      <c r="C328" s="1">
        <v>20</v>
      </c>
      <c r="D328" s="1">
        <v>4</v>
      </c>
      <c r="E328" s="1">
        <v>0</v>
      </c>
      <c r="F328" s="1">
        <f>IF(E328 + F327 &lt; 0, E328 + F327, 0)</f>
        <v>0</v>
      </c>
      <c r="G328" s="1">
        <v>0</v>
      </c>
      <c r="H328" s="1">
        <f>IF(G328 + H327 &lt; 0, G328 + H327, 0)</f>
        <v>0</v>
      </c>
      <c r="I328" s="1">
        <v>46441.28113879004</v>
      </c>
      <c r="J328" s="1">
        <f>IF(I328 + J327 &lt; 0, I328 + J327, 0)</f>
        <v>0</v>
      </c>
      <c r="K328" s="1">
        <v>46441.28113879004</v>
      </c>
      <c r="L328" s="1">
        <f>IF(K328 + L327 &lt; 0, K328 + L327, 0)</f>
        <v>0</v>
      </c>
    </row>
    <row r="329" spans="1:12" s="1" customFormat="1">
      <c r="A329" s="3">
        <v>45462</v>
      </c>
      <c r="B329" s="1" t="s">
        <v>14</v>
      </c>
      <c r="C329" s="1">
        <v>19</v>
      </c>
      <c r="D329" s="1">
        <v>3</v>
      </c>
      <c r="E329" s="1">
        <v>0</v>
      </c>
      <c r="F329" s="1">
        <f>IF(E329 + F328 &lt; 0, E329 + F328, 0)</f>
        <v>0</v>
      </c>
      <c r="G329" s="1">
        <v>0</v>
      </c>
      <c r="H329" s="1">
        <f>IF(G329 + H328 &lt; 0, G329 + H328, 0)</f>
        <v>0</v>
      </c>
      <c r="I329" s="1">
        <v>186191.8604651163</v>
      </c>
      <c r="J329" s="1">
        <f>IF(I329 + J328 &lt; 0, I329 + J328, 0)</f>
        <v>0</v>
      </c>
      <c r="K329" s="1">
        <v>186191.8604651163</v>
      </c>
      <c r="L329" s="1">
        <f>IF(K329 + L328 &lt; 0, K329 + L328, 0)</f>
        <v>0</v>
      </c>
    </row>
    <row r="330" spans="1:12" s="1" customFormat="1">
      <c r="A330" s="3">
        <v>45463</v>
      </c>
      <c r="B330" s="1" t="s">
        <v>16</v>
      </c>
      <c r="C330" s="1">
        <v>18</v>
      </c>
      <c r="D330" s="1">
        <v>2</v>
      </c>
      <c r="E330" s="1">
        <v>0</v>
      </c>
      <c r="F330" s="1">
        <f>IF(E330 + F329 &lt; 0, E330 + F329, 0)</f>
        <v>0</v>
      </c>
      <c r="G330" s="1">
        <v>0</v>
      </c>
      <c r="H330" s="1">
        <f>IF(G330 + H329 &lt; 0, G330 + H329, 0)</f>
        <v>0</v>
      </c>
      <c r="I330" s="1">
        <v>-65708.19112627988</v>
      </c>
      <c r="J330" s="1">
        <f>IF(I330 + J329 &lt; 0, I330 + J329, 0)</f>
        <v>0</v>
      </c>
      <c r="K330" s="1">
        <v>-240405.2901023891</v>
      </c>
      <c r="L330" s="1">
        <f>IF(K330 + L329 &lt; 0, K330 + L329, 0)</f>
        <v>0</v>
      </c>
    </row>
    <row r="331" spans="1:12" s="1" customFormat="1">
      <c r="A331" s="3">
        <v>45464</v>
      </c>
      <c r="B331" s="1" t="s">
        <v>15</v>
      </c>
      <c r="C331" s="1">
        <v>17</v>
      </c>
      <c r="D331" s="1">
        <v>1</v>
      </c>
      <c r="E331" s="1">
        <v>0</v>
      </c>
      <c r="F331" s="1">
        <f>IF(E331 + F330 &lt; 0, E331 + F330, 0)</f>
        <v>0</v>
      </c>
      <c r="G331" s="1">
        <v>0</v>
      </c>
      <c r="H331" s="1">
        <f>IF(G331 + H330 &lt; 0, G331 + H330, 0)</f>
        <v>0</v>
      </c>
      <c r="I331" s="1">
        <v>-37216.94667640614</v>
      </c>
      <c r="J331" s="1">
        <f>IF(I331 + J330 &lt; 0, I331 + J330, 0)</f>
        <v>0</v>
      </c>
      <c r="K331" s="1">
        <v>189732.468955442</v>
      </c>
      <c r="L331" s="1">
        <f>IF(K331 + L330 &lt; 0, K331 + L330, 0)</f>
        <v>0</v>
      </c>
    </row>
    <row r="332" spans="1:12" s="1" customFormat="1">
      <c r="A332" s="3">
        <v>45467</v>
      </c>
      <c r="B332" s="1" t="s">
        <v>12</v>
      </c>
      <c r="C332" s="1">
        <v>16</v>
      </c>
      <c r="D332" s="1">
        <v>21</v>
      </c>
      <c r="E332" s="1">
        <v>0</v>
      </c>
      <c r="F332" s="1">
        <f>IF(E332 + F331 &lt; 0, E332 + F331, 0)</f>
        <v>0</v>
      </c>
      <c r="G332" s="1">
        <v>0</v>
      </c>
      <c r="H332" s="1">
        <f>IF(G332 + H331 &lt; 0, G332 + H331, 0)</f>
        <v>0</v>
      </c>
      <c r="I332" s="1">
        <v>0</v>
      </c>
      <c r="J332" s="1">
        <f>IF(I332 + J331 &lt; 0, I332 + J331, 0)</f>
        <v>0</v>
      </c>
      <c r="K332" s="1">
        <v>0</v>
      </c>
      <c r="L332" s="1">
        <f>IF(K332 + L331 &lt; 0, K332 + L331, 0)</f>
        <v>0</v>
      </c>
    </row>
    <row r="333" spans="1:12" s="1" customFormat="1">
      <c r="A333" s="3">
        <v>45468</v>
      </c>
      <c r="B333" s="1" t="s">
        <v>13</v>
      </c>
      <c r="C333" s="1">
        <v>15</v>
      </c>
      <c r="D333" s="1">
        <v>20</v>
      </c>
      <c r="E333" s="1">
        <v>0</v>
      </c>
      <c r="F333" s="1">
        <f>IF(E333 + F332 &lt; 0, E333 + F332, 0)</f>
        <v>0</v>
      </c>
      <c r="G333" s="1">
        <v>0</v>
      </c>
      <c r="H333" s="1">
        <f>IF(G333 + H332 &lt; 0, G333 + H332, 0)</f>
        <v>0</v>
      </c>
      <c r="I333" s="1">
        <v>0</v>
      </c>
      <c r="J333" s="1">
        <f>IF(I333 + J332 &lt; 0, I333 + J332, 0)</f>
        <v>0</v>
      </c>
      <c r="K333" s="1">
        <v>0</v>
      </c>
      <c r="L333" s="1">
        <f>IF(K333 + L332 &lt; 0, K333 + L332, 0)</f>
        <v>0</v>
      </c>
    </row>
    <row r="334" spans="1:12" s="1" customFormat="1">
      <c r="A334" s="3">
        <v>45469</v>
      </c>
      <c r="B334" s="1" t="s">
        <v>14</v>
      </c>
      <c r="C334" s="1">
        <v>14</v>
      </c>
      <c r="D334" s="1">
        <v>19</v>
      </c>
      <c r="E334" s="1">
        <v>0</v>
      </c>
      <c r="F334" s="1">
        <f>IF(E334 + F333 &lt; 0, E334 + F333, 0)</f>
        <v>0</v>
      </c>
      <c r="G334" s="1">
        <v>0</v>
      </c>
      <c r="H334" s="1">
        <f>IF(G334 + H333 &lt; 0, G334 + H333, 0)</f>
        <v>0</v>
      </c>
      <c r="I334" s="1">
        <v>0</v>
      </c>
      <c r="J334" s="1">
        <f>IF(I334 + J333 &lt; 0, I334 + J333, 0)</f>
        <v>0</v>
      </c>
      <c r="K334" s="1">
        <v>0</v>
      </c>
      <c r="L334" s="1">
        <f>IF(K334 + L333 &lt; 0, K334 + L333, 0)</f>
        <v>0</v>
      </c>
    </row>
    <row r="335" spans="1:12" s="1" customFormat="1">
      <c r="A335" s="3">
        <v>45470</v>
      </c>
      <c r="B335" s="1" t="s">
        <v>16</v>
      </c>
      <c r="C335" s="1">
        <v>13</v>
      </c>
      <c r="D335" s="1">
        <v>18</v>
      </c>
      <c r="E335" s="1">
        <v>0</v>
      </c>
      <c r="F335" s="1">
        <f>IF(E335 + F334 &lt; 0, E335 + F334, 0)</f>
        <v>0</v>
      </c>
      <c r="G335" s="1">
        <v>0</v>
      </c>
      <c r="H335" s="1">
        <f>IF(G335 + H334 &lt; 0, G335 + H334, 0)</f>
        <v>0</v>
      </c>
      <c r="I335" s="1">
        <v>0</v>
      </c>
      <c r="J335" s="1">
        <f>IF(I335 + J334 &lt; 0, I335 + J334, 0)</f>
        <v>0</v>
      </c>
      <c r="K335" s="1">
        <v>0</v>
      </c>
      <c r="L335" s="1">
        <f>IF(K335 + L334 &lt; 0, K335 + L334, 0)</f>
        <v>0</v>
      </c>
    </row>
    <row r="336" spans="1:12" s="1" customFormat="1">
      <c r="A336" s="3">
        <v>45471</v>
      </c>
      <c r="B336" s="1" t="s">
        <v>15</v>
      </c>
      <c r="C336" s="1">
        <v>12</v>
      </c>
      <c r="D336" s="1">
        <v>17</v>
      </c>
      <c r="E336" s="1">
        <v>0</v>
      </c>
      <c r="F336" s="1">
        <f>IF(E336 + F335 &lt; 0, E336 + F335, 0)</f>
        <v>0</v>
      </c>
      <c r="G336" s="1">
        <v>0</v>
      </c>
      <c r="H336" s="1">
        <f>IF(G336 + H335 &lt; 0, G336 + H335, 0)</f>
        <v>0</v>
      </c>
      <c r="I336" s="1">
        <v>0</v>
      </c>
      <c r="J336" s="1">
        <f>IF(I336 + J335 &lt; 0, I336 + J335, 0)</f>
        <v>0</v>
      </c>
      <c r="K336" s="1">
        <v>0</v>
      </c>
      <c r="L336" s="1">
        <f>IF(K336 + L335 &lt; 0, K336 + L335, 0)</f>
        <v>0</v>
      </c>
    </row>
    <row r="337" spans="1:12" s="1" customFormat="1">
      <c r="A337" s="3">
        <v>45474</v>
      </c>
      <c r="B337" s="1" t="s">
        <v>12</v>
      </c>
      <c r="C337" s="1">
        <v>11</v>
      </c>
      <c r="D337" s="1">
        <v>16</v>
      </c>
      <c r="E337" s="1">
        <v>0</v>
      </c>
      <c r="F337" s="1">
        <f>IF(E337 + F336 &lt; 0, E337 + F336, 0)</f>
        <v>0</v>
      </c>
      <c r="G337" s="1">
        <v>0</v>
      </c>
      <c r="H337" s="1">
        <f>IF(G337 + H336 &lt; 0, G337 + H336, 0)</f>
        <v>0</v>
      </c>
      <c r="I337" s="1">
        <v>0</v>
      </c>
      <c r="J337" s="1">
        <f>IF(I337 + J336 &lt; 0, I337 + J336, 0)</f>
        <v>0</v>
      </c>
      <c r="K337" s="1">
        <v>0</v>
      </c>
      <c r="L337" s="1">
        <f>IF(K337 + L336 &lt; 0, K337 + L336, 0)</f>
        <v>0</v>
      </c>
    </row>
    <row r="338" spans="1:12" s="1" customFormat="1">
      <c r="A338" s="3">
        <v>45476</v>
      </c>
      <c r="B338" s="1" t="s">
        <v>14</v>
      </c>
      <c r="C338" s="1">
        <v>10</v>
      </c>
      <c r="D338" s="1">
        <v>15</v>
      </c>
      <c r="E338" s="1">
        <v>140971.9781448701</v>
      </c>
      <c r="F338" s="1">
        <f>IF(E338 + F337 &lt; 0, E338 + F337, 0)</f>
        <v>0</v>
      </c>
      <c r="G338" s="1">
        <v>140971.9781448701</v>
      </c>
      <c r="H338" s="1">
        <f>IF(G338 + H337 &lt; 0, G338 + H337, 0)</f>
        <v>0</v>
      </c>
      <c r="I338" s="1">
        <v>0</v>
      </c>
      <c r="J338" s="1">
        <f>IF(I338 + J337 &lt; 0, I338 + J337, 0)</f>
        <v>0</v>
      </c>
      <c r="K338" s="1">
        <v>0</v>
      </c>
      <c r="L338" s="1">
        <f>IF(K338 + L337 &lt; 0, K338 + L337, 0)</f>
        <v>0</v>
      </c>
    </row>
    <row r="339" spans="1:12" s="1" customFormat="1">
      <c r="A339" s="3">
        <v>45477</v>
      </c>
      <c r="B339" s="1" t="s">
        <v>16</v>
      </c>
      <c r="C339" s="1">
        <v>9</v>
      </c>
      <c r="D339" s="1">
        <v>14</v>
      </c>
      <c r="E339" s="1">
        <v>21357.42561614098</v>
      </c>
      <c r="F339" s="1">
        <f>IF(E339 + F338 &lt; 0, E339 + F338, 0)</f>
        <v>0</v>
      </c>
      <c r="G339" s="1">
        <v>21357.42561614098</v>
      </c>
      <c r="H339" s="1">
        <f>IF(G339 + H338 &lt; 0, G339 + H338, 0)</f>
        <v>0</v>
      </c>
      <c r="I339" s="1">
        <v>0</v>
      </c>
      <c r="J339" s="1">
        <f>IF(I339 + J338 &lt; 0, I339 + J338, 0)</f>
        <v>0</v>
      </c>
      <c r="K339" s="1">
        <v>0</v>
      </c>
      <c r="L339" s="1">
        <f>IF(K339 + L338 &lt; 0, K339 + L338, 0)</f>
        <v>0</v>
      </c>
    </row>
    <row r="340" spans="1:12" s="1" customFormat="1">
      <c r="A340" s="3">
        <v>45478</v>
      </c>
      <c r="B340" s="1" t="s">
        <v>15</v>
      </c>
      <c r="C340" s="1">
        <v>8</v>
      </c>
      <c r="D340" s="1">
        <v>13</v>
      </c>
      <c r="E340" s="1">
        <v>130541.2453094193</v>
      </c>
      <c r="F340" s="1">
        <f>IF(E340 + F339 &lt; 0, E340 + F339, 0)</f>
        <v>0</v>
      </c>
      <c r="G340" s="1">
        <v>130541.2453094193</v>
      </c>
      <c r="H340" s="1">
        <f>IF(G340 + H339 &lt; 0, G340 + H339, 0)</f>
        <v>0</v>
      </c>
      <c r="I340" s="1">
        <v>0</v>
      </c>
      <c r="J340" s="1">
        <f>IF(I340 + J339 &lt; 0, I340 + J339, 0)</f>
        <v>0</v>
      </c>
      <c r="K340" s="1">
        <v>0</v>
      </c>
      <c r="L340" s="1">
        <f>IF(K340 + L339 &lt; 0, K340 + L339, 0)</f>
        <v>0</v>
      </c>
    </row>
    <row r="341" spans="1:12" s="1" customFormat="1">
      <c r="A341" s="3">
        <v>45481</v>
      </c>
      <c r="B341" s="1" t="s">
        <v>12</v>
      </c>
      <c r="C341" s="1">
        <v>7</v>
      </c>
      <c r="D341" s="1">
        <v>12</v>
      </c>
      <c r="E341" s="1">
        <v>82675.39636690416</v>
      </c>
      <c r="F341" s="1">
        <f>IF(E341 + F340 &lt; 0, E341 + F340, 0)</f>
        <v>0</v>
      </c>
      <c r="G341" s="1">
        <v>82675.39636690416</v>
      </c>
      <c r="H341" s="1">
        <f>IF(G341 + H340 &lt; 0, G341 + H340, 0)</f>
        <v>0</v>
      </c>
      <c r="I341" s="1">
        <v>0</v>
      </c>
      <c r="J341" s="1">
        <f>IF(I341 + J340 &lt; 0, I341 + J340, 0)</f>
        <v>0</v>
      </c>
      <c r="K341" s="1">
        <v>0</v>
      </c>
      <c r="L341" s="1">
        <f>IF(K341 + L340 &lt; 0, K341 + L340, 0)</f>
        <v>0</v>
      </c>
    </row>
    <row r="342" spans="1:12" s="1" customFormat="1">
      <c r="A342" s="3">
        <v>45482</v>
      </c>
      <c r="B342" s="1" t="s">
        <v>13</v>
      </c>
      <c r="C342" s="1">
        <v>6</v>
      </c>
      <c r="D342" s="1">
        <v>11</v>
      </c>
      <c r="E342" s="1">
        <v>145942.0055078568</v>
      </c>
      <c r="F342" s="1">
        <f>IF(E342 + F341 &lt; 0, E342 + F341, 0)</f>
        <v>0</v>
      </c>
      <c r="G342" s="1">
        <v>145942.0055078568</v>
      </c>
      <c r="H342" s="1">
        <f>IF(G342 + H341 &lt; 0, G342 + H341, 0)</f>
        <v>0</v>
      </c>
      <c r="I342" s="1">
        <v>0</v>
      </c>
      <c r="J342" s="1">
        <f>IF(I342 + J341 &lt; 0, I342 + J341, 0)</f>
        <v>0</v>
      </c>
      <c r="K342" s="1">
        <v>0</v>
      </c>
      <c r="L342" s="1">
        <f>IF(K342 + L341 &lt; 0, K342 + L341, 0)</f>
        <v>0</v>
      </c>
    </row>
    <row r="343" spans="1:12" s="1" customFormat="1">
      <c r="A343" s="3">
        <v>45484</v>
      </c>
      <c r="B343" s="1" t="s">
        <v>16</v>
      </c>
      <c r="C343" s="1">
        <v>5</v>
      </c>
      <c r="D343" s="1">
        <v>10</v>
      </c>
      <c r="E343" s="1">
        <v>-30984.2051084089</v>
      </c>
      <c r="F343" s="1">
        <f>IF(E343 + F342 &lt; 0, E343 + F342, 0)</f>
        <v>0</v>
      </c>
      <c r="G343" s="1">
        <v>135495.0781702374</v>
      </c>
      <c r="H343" s="1">
        <f>IF(G343 + H342 &lt; 0, G343 + H342, 0)</f>
        <v>0</v>
      </c>
      <c r="I343" s="1">
        <v>0</v>
      </c>
      <c r="J343" s="1">
        <f>IF(I343 + J342 &lt; 0, I343 + J342, 0)</f>
        <v>0</v>
      </c>
      <c r="K343" s="1">
        <v>0</v>
      </c>
      <c r="L343" s="1">
        <f>IF(K343 + L342 &lt; 0, K343 + L342, 0)</f>
        <v>0</v>
      </c>
    </row>
    <row r="344" spans="1:12" s="1" customFormat="1">
      <c r="A344" s="3">
        <v>45485</v>
      </c>
      <c r="B344" s="1" t="s">
        <v>15</v>
      </c>
      <c r="C344" s="1">
        <v>4</v>
      </c>
      <c r="D344" s="1">
        <v>9</v>
      </c>
      <c r="E344" s="1">
        <v>133153.3078676211</v>
      </c>
      <c r="F344" s="1">
        <f>IF(E344 + F343 &lt; 0, E344 + F343, 0)</f>
        <v>0</v>
      </c>
      <c r="G344" s="1">
        <v>132266.5553879241</v>
      </c>
      <c r="H344" s="1">
        <f>IF(G344 + H343 &lt; 0, G344 + H343, 0)</f>
        <v>0</v>
      </c>
      <c r="I344" s="1">
        <v>0</v>
      </c>
      <c r="J344" s="1">
        <f>IF(I344 + J343 &lt; 0, I344 + J343, 0)</f>
        <v>0</v>
      </c>
      <c r="K344" s="1">
        <v>0</v>
      </c>
      <c r="L344" s="1">
        <f>IF(K344 + L343 &lt; 0, K344 + L343, 0)</f>
        <v>0</v>
      </c>
    </row>
    <row r="345" spans="1:12" s="1" customFormat="1">
      <c r="A345" s="3">
        <v>45488</v>
      </c>
      <c r="B345" s="1" t="s">
        <v>12</v>
      </c>
      <c r="C345" s="1">
        <v>3</v>
      </c>
      <c r="D345" s="1">
        <v>8</v>
      </c>
      <c r="E345" s="1">
        <v>130672.6486346912</v>
      </c>
      <c r="F345" s="1">
        <f>IF(E345 + F344 &lt; 0, E345 + F344, 0)</f>
        <v>0</v>
      </c>
      <c r="G345" s="1">
        <v>220724.9370602286</v>
      </c>
      <c r="H345" s="1">
        <f>IF(G345 + H344 &lt; 0, G345 + H344, 0)</f>
        <v>0</v>
      </c>
      <c r="I345" s="1">
        <v>0</v>
      </c>
      <c r="J345" s="1">
        <f>IF(I345 + J344 &lt; 0, I345 + J344, 0)</f>
        <v>0</v>
      </c>
      <c r="K345" s="1">
        <v>0</v>
      </c>
      <c r="L345" s="1">
        <f>IF(K345 + L344 &lt; 0, K345 + L344, 0)</f>
        <v>0</v>
      </c>
    </row>
    <row r="346" spans="1:12" s="1" customFormat="1">
      <c r="A346" s="3">
        <v>45489</v>
      </c>
      <c r="B346" s="1" t="s">
        <v>13</v>
      </c>
      <c r="C346" s="1">
        <v>2</v>
      </c>
      <c r="D346" s="1">
        <v>7</v>
      </c>
      <c r="E346" s="1">
        <v>154097.400696184</v>
      </c>
      <c r="F346" s="1">
        <f>IF(E346 + F345 &lt; 0, E346 + F345, 0)</f>
        <v>0</v>
      </c>
      <c r="G346" s="1">
        <v>323270.1128859104</v>
      </c>
      <c r="H346" s="1">
        <f>IF(G346 + H345 &lt; 0, G346 + H345, 0)</f>
        <v>0</v>
      </c>
      <c r="I346" s="1">
        <v>0</v>
      </c>
      <c r="J346" s="1">
        <f>IF(I346 + J345 &lt; 0, I346 + J345, 0)</f>
        <v>0</v>
      </c>
      <c r="K346" s="1">
        <v>0</v>
      </c>
      <c r="L346" s="1">
        <f>IF(K346 + L345 &lt; 0, K346 + L345, 0)</f>
        <v>0</v>
      </c>
    </row>
    <row r="347" spans="1:12" s="1" customFormat="1">
      <c r="A347" s="3">
        <v>45490</v>
      </c>
      <c r="B347" s="1" t="s">
        <v>14</v>
      </c>
      <c r="C347" s="1">
        <v>1</v>
      </c>
      <c r="D347" s="1">
        <v>6</v>
      </c>
      <c r="E347" s="1">
        <v>224273.4034535863</v>
      </c>
      <c r="F347" s="1">
        <f>IF(E347 + F346 &lt; 0, E347 + F346, 0)</f>
        <v>0</v>
      </c>
      <c r="G347" s="1">
        <v>-107048.0684163963</v>
      </c>
      <c r="H347" s="1">
        <f>IF(G347 + H346 &lt; 0, G347 + H346, 0)</f>
        <v>0</v>
      </c>
      <c r="I347" s="1">
        <v>-251829.2682926828</v>
      </c>
      <c r="J347" s="1">
        <f>IF(I347 + J346 &lt; 0, I347 + J346, 0)</f>
        <v>0</v>
      </c>
      <c r="K347" s="1">
        <v>-251829.2682926828</v>
      </c>
      <c r="L347" s="1">
        <f>IF(K347 + L346 &lt; 0, K347 + L346, 0)</f>
        <v>0</v>
      </c>
    </row>
    <row r="348" spans="1:12" s="1" customFormat="1">
      <c r="A348" s="3">
        <v>45491</v>
      </c>
      <c r="B348" s="1" t="s">
        <v>16</v>
      </c>
      <c r="C348" s="1">
        <v>20</v>
      </c>
      <c r="D348" s="1">
        <v>5</v>
      </c>
      <c r="E348" s="1">
        <v>0</v>
      </c>
      <c r="F348" s="1">
        <f>IF(E348 + F347 &lt; 0, E348 + F347, 0)</f>
        <v>0</v>
      </c>
      <c r="G348" s="1">
        <v>0</v>
      </c>
      <c r="H348" s="1">
        <f>IF(G348 + H347 &lt; 0, G348 + H347, 0)</f>
        <v>0</v>
      </c>
      <c r="I348" s="1">
        <v>-32905.30671859785</v>
      </c>
      <c r="J348" s="1">
        <f>IF(I348 + J347 &lt; 0, I348 + J347, 0)</f>
        <v>0</v>
      </c>
      <c r="K348" s="1">
        <v>-10467.38072054527</v>
      </c>
      <c r="L348" s="1">
        <f>IF(K348 + L347 &lt; 0, K348 + L347, 0)</f>
        <v>0</v>
      </c>
    </row>
    <row r="349" spans="1:12" s="1" customFormat="1">
      <c r="A349" s="3">
        <v>45492</v>
      </c>
      <c r="B349" s="1" t="s">
        <v>15</v>
      </c>
      <c r="C349" s="1">
        <v>19</v>
      </c>
      <c r="D349" s="1">
        <v>4</v>
      </c>
      <c r="E349" s="1">
        <v>0</v>
      </c>
      <c r="F349" s="1">
        <f>IF(E349 + F348 &lt; 0, E349 + F348, 0)</f>
        <v>0</v>
      </c>
      <c r="G349" s="1">
        <v>0</v>
      </c>
      <c r="H349" s="1">
        <f>IF(G349 + H348 &lt; 0, G349 + H348, 0)</f>
        <v>0</v>
      </c>
      <c r="I349" s="1">
        <v>193832.5471698112</v>
      </c>
      <c r="J349" s="1">
        <f>IF(I349 + J348 &lt; 0, I349 + J348, 0)</f>
        <v>0</v>
      </c>
      <c r="K349" s="1">
        <v>193832.5471698112</v>
      </c>
      <c r="L349" s="1">
        <f>IF(K349 + L348 &lt; 0, K349 + L348, 0)</f>
        <v>0</v>
      </c>
    </row>
    <row r="350" spans="1:12" s="1" customFormat="1">
      <c r="A350" s="3">
        <v>45495</v>
      </c>
      <c r="B350" s="1" t="s">
        <v>12</v>
      </c>
      <c r="C350" s="1">
        <v>18</v>
      </c>
      <c r="D350" s="1">
        <v>3</v>
      </c>
      <c r="E350" s="1">
        <v>0</v>
      </c>
      <c r="F350" s="1">
        <f>IF(E350 + F349 &lt; 0, E350 + F349, 0)</f>
        <v>0</v>
      </c>
      <c r="G350" s="1">
        <v>0</v>
      </c>
      <c r="H350" s="1">
        <f>IF(G350 + H349 &lt; 0, G350 + H349, 0)</f>
        <v>0</v>
      </c>
      <c r="I350" s="1">
        <v>-9480.175195942858</v>
      </c>
      <c r="J350" s="1">
        <f>IF(I350 + J349 &lt; 0, I350 + J349, 0)</f>
        <v>0</v>
      </c>
      <c r="K350" s="1">
        <v>93822.0378054403</v>
      </c>
      <c r="L350" s="1">
        <f>IF(K350 + L349 &lt; 0, K350 + L349, 0)</f>
        <v>0</v>
      </c>
    </row>
    <row r="351" spans="1:12" s="1" customFormat="1">
      <c r="A351" s="3">
        <v>45496</v>
      </c>
      <c r="B351" s="1" t="s">
        <v>13</v>
      </c>
      <c r="C351" s="1">
        <v>17</v>
      </c>
      <c r="D351" s="1">
        <v>2</v>
      </c>
      <c r="E351" s="1">
        <v>0</v>
      </c>
      <c r="F351" s="1">
        <f>IF(E351 + F350 &lt; 0, E351 + F350, 0)</f>
        <v>0</v>
      </c>
      <c r="G351" s="1">
        <v>0</v>
      </c>
      <c r="H351" s="1">
        <f>IF(G351 + H350 &lt; 0, G351 + H350, 0)</f>
        <v>0</v>
      </c>
      <c r="I351" s="1">
        <v>120775.9769094138</v>
      </c>
      <c r="J351" s="1">
        <f>IF(I351 + J350 &lt; 0, I351 + J350, 0)</f>
        <v>0</v>
      </c>
      <c r="K351" s="1">
        <v>148534.6358792185</v>
      </c>
      <c r="L351" s="1">
        <f>IF(K351 + L350 &lt; 0, K351 + L350, 0)</f>
        <v>0</v>
      </c>
    </row>
    <row r="352" spans="1:12" s="1" customFormat="1">
      <c r="A352" s="3">
        <v>45497</v>
      </c>
      <c r="B352" s="1" t="s">
        <v>14</v>
      </c>
      <c r="C352" s="1">
        <v>16</v>
      </c>
      <c r="D352" s="1">
        <v>1</v>
      </c>
      <c r="E352" s="1">
        <v>0</v>
      </c>
      <c r="F352" s="1">
        <f>IF(E352 + F351 &lt; 0, E352 + F351, 0)</f>
        <v>0</v>
      </c>
      <c r="G352" s="1">
        <v>0</v>
      </c>
      <c r="H352" s="1">
        <f>IF(G352 + H351 &lt; 0, G352 + H351, 0)</f>
        <v>0</v>
      </c>
      <c r="I352" s="1">
        <v>-77812.5</v>
      </c>
      <c r="J352" s="1">
        <f>IF(I352 + J351 &lt; 0, I352 + J351, 0)</f>
        <v>0</v>
      </c>
      <c r="K352" s="1">
        <v>189120.3703703703</v>
      </c>
      <c r="L352" s="1">
        <f>IF(K352 + L351 &lt; 0, K352 + L351, 0)</f>
        <v>0</v>
      </c>
    </row>
    <row r="353" spans="1:12" s="1" customFormat="1">
      <c r="A353" s="3">
        <v>45498</v>
      </c>
      <c r="B353" s="1" t="s">
        <v>16</v>
      </c>
      <c r="C353" s="1">
        <v>15</v>
      </c>
      <c r="D353" s="1">
        <v>16</v>
      </c>
      <c r="E353" s="1">
        <v>0</v>
      </c>
      <c r="F353" s="1">
        <f>IF(E353 + F352 &lt; 0, E353 + F352, 0)</f>
        <v>0</v>
      </c>
      <c r="G353" s="1">
        <v>0</v>
      </c>
      <c r="H353" s="1">
        <f>IF(G353 + H352 &lt; 0, G353 + H352, 0)</f>
        <v>0</v>
      </c>
      <c r="I353" s="1">
        <v>0</v>
      </c>
      <c r="J353" s="1">
        <f>IF(I353 + J352 &lt; 0, I353 + J352, 0)</f>
        <v>0</v>
      </c>
      <c r="K353" s="1">
        <v>0</v>
      </c>
      <c r="L353" s="1">
        <f>IF(K353 + L352 &lt; 0, K353 + L352, 0)</f>
        <v>0</v>
      </c>
    </row>
    <row r="354" spans="1:12" s="1" customFormat="1">
      <c r="A354" s="3">
        <v>45499</v>
      </c>
      <c r="B354" s="1" t="s">
        <v>15</v>
      </c>
      <c r="C354" s="1">
        <v>14</v>
      </c>
      <c r="D354" s="1">
        <v>15</v>
      </c>
      <c r="E354" s="1">
        <v>0</v>
      </c>
      <c r="F354" s="1">
        <f>IF(E354 + F353 &lt; 0, E354 + F353, 0)</f>
        <v>0</v>
      </c>
      <c r="G354" s="1">
        <v>0</v>
      </c>
      <c r="H354" s="1">
        <f>IF(G354 + H353 &lt; 0, G354 + H353, 0)</f>
        <v>0</v>
      </c>
      <c r="I354" s="1">
        <v>0</v>
      </c>
      <c r="J354" s="1">
        <f>IF(I354 + J353 &lt; 0, I354 + J353, 0)</f>
        <v>0</v>
      </c>
      <c r="K354" s="1">
        <v>0</v>
      </c>
      <c r="L354" s="1">
        <f>IF(K354 + L353 &lt; 0, K354 + L353, 0)</f>
        <v>0</v>
      </c>
    </row>
    <row r="355" spans="1:12" s="1" customFormat="1">
      <c r="A355" s="3">
        <v>45502</v>
      </c>
      <c r="B355" s="1" t="s">
        <v>12</v>
      </c>
      <c r="C355" s="1">
        <v>13</v>
      </c>
      <c r="D355" s="1">
        <v>14</v>
      </c>
      <c r="E355" s="1">
        <v>0</v>
      </c>
      <c r="F355" s="1">
        <f>IF(E355 + F354 &lt; 0, E355 + F354, 0)</f>
        <v>0</v>
      </c>
      <c r="G355" s="1">
        <v>0</v>
      </c>
      <c r="H355" s="1">
        <f>IF(G355 + H354 &lt; 0, G355 + H354, 0)</f>
        <v>0</v>
      </c>
      <c r="I355" s="1">
        <v>0</v>
      </c>
      <c r="J355" s="1">
        <f>IF(I355 + J354 &lt; 0, I355 + J354, 0)</f>
        <v>0</v>
      </c>
      <c r="K355" s="1">
        <v>0</v>
      </c>
      <c r="L355" s="1">
        <f>IF(K355 + L354 &lt; 0, K355 + L354, 0)</f>
        <v>0</v>
      </c>
    </row>
    <row r="356" spans="1:12" s="1" customFormat="1">
      <c r="A356" s="3">
        <v>45503</v>
      </c>
      <c r="B356" s="1" t="s">
        <v>13</v>
      </c>
      <c r="C356" s="1">
        <v>12</v>
      </c>
      <c r="D356" s="1">
        <v>13</v>
      </c>
      <c r="E356" s="1">
        <v>0</v>
      </c>
      <c r="F356" s="1">
        <f>IF(E356 + F355 &lt; 0, E356 + F355, 0)</f>
        <v>0</v>
      </c>
      <c r="G356" s="1">
        <v>0</v>
      </c>
      <c r="H356" s="1">
        <f>IF(G356 + H355 &lt; 0, G356 + H355, 0)</f>
        <v>0</v>
      </c>
      <c r="I356" s="1">
        <v>0</v>
      </c>
      <c r="J356" s="1">
        <f>IF(I356 + J355 &lt; 0, I356 + J355, 0)</f>
        <v>0</v>
      </c>
      <c r="K356" s="1">
        <v>0</v>
      </c>
      <c r="L356" s="1">
        <f>IF(K356 + L355 &lt; 0, K356 + L355, 0)</f>
        <v>0</v>
      </c>
    </row>
    <row r="357" spans="1:12" s="1" customFormat="1">
      <c r="A357" s="3">
        <v>45504</v>
      </c>
      <c r="B357" s="1" t="s">
        <v>14</v>
      </c>
      <c r="C357" s="1">
        <v>11</v>
      </c>
      <c r="D357" s="1">
        <v>12</v>
      </c>
      <c r="E357" s="1">
        <v>0</v>
      </c>
      <c r="F357" s="1">
        <f>IF(E357 + F356 &lt; 0, E357 + F356, 0)</f>
        <v>0</v>
      </c>
      <c r="G357" s="1">
        <v>0</v>
      </c>
      <c r="H357" s="1">
        <f>IF(G357 + H356 &lt; 0, G357 + H356, 0)</f>
        <v>0</v>
      </c>
      <c r="I357" s="1">
        <v>0</v>
      </c>
      <c r="J357" s="1">
        <f>IF(I357 + J356 &lt; 0, I357 + J356, 0)</f>
        <v>0</v>
      </c>
      <c r="K357" s="1">
        <v>0</v>
      </c>
      <c r="L357" s="1">
        <f>IF(K357 + L356 &lt; 0, K357 + L356, 0)</f>
        <v>0</v>
      </c>
    </row>
    <row r="358" spans="1:12" s="1" customFormat="1">
      <c r="A358" s="3">
        <v>45505</v>
      </c>
      <c r="B358" s="1" t="s">
        <v>16</v>
      </c>
      <c r="C358" s="1">
        <v>10</v>
      </c>
      <c r="D358" s="1">
        <v>11</v>
      </c>
      <c r="E358" s="1">
        <v>-80550.5705482003</v>
      </c>
      <c r="F358" s="1">
        <f>IF(E358 + F357 &lt; 0, E358 + F357, 0)</f>
        <v>0</v>
      </c>
      <c r="G358" s="1">
        <v>-153099.9221210172</v>
      </c>
      <c r="H358" s="1">
        <f>IF(G358 + H357 &lt; 0, G358 + H357, 0)</f>
        <v>0</v>
      </c>
      <c r="I358" s="1">
        <v>0</v>
      </c>
      <c r="J358" s="1">
        <f>IF(I358 + J357 &lt; 0, I358 + J357, 0)</f>
        <v>0</v>
      </c>
      <c r="K358" s="1">
        <v>0</v>
      </c>
      <c r="L358" s="1">
        <f>IF(K358 + L357 &lt; 0, K358 + L357, 0)</f>
        <v>0</v>
      </c>
    </row>
    <row r="359" spans="1:12" s="1" customFormat="1">
      <c r="A359" s="3">
        <v>45506</v>
      </c>
      <c r="B359" s="1" t="s">
        <v>15</v>
      </c>
      <c r="C359" s="1">
        <v>9</v>
      </c>
      <c r="D359" s="1">
        <v>10</v>
      </c>
      <c r="E359" s="1">
        <v>-227860.4394847419</v>
      </c>
      <c r="F359" s="1">
        <f>IF(E359 + F358 &lt; 0, E359 + F358, 0)</f>
        <v>0</v>
      </c>
      <c r="G359" s="1">
        <v>-659004.959702418</v>
      </c>
      <c r="H359" s="1">
        <f>IF(G359 + H358 &lt; 0, G359 + H358, 0)</f>
        <v>0</v>
      </c>
      <c r="I359" s="1">
        <v>0</v>
      </c>
      <c r="J359" s="1">
        <f>IF(I359 + J358 &lt; 0, I359 + J358, 0)</f>
        <v>0</v>
      </c>
      <c r="K359" s="1">
        <v>0</v>
      </c>
      <c r="L359" s="1">
        <f>IF(K359 + L358 &lt; 0, K359 + L358, 0)</f>
        <v>0</v>
      </c>
    </row>
    <row r="360" spans="1:12" s="1" customFormat="1">
      <c r="A360" s="3">
        <v>45509</v>
      </c>
      <c r="B360" s="1" t="s">
        <v>12</v>
      </c>
      <c r="C360" s="1">
        <v>8</v>
      </c>
      <c r="D360" s="1">
        <v>9</v>
      </c>
      <c r="E360" s="1">
        <v>403119.2792275386</v>
      </c>
      <c r="F360" s="1">
        <f>IF(E360 + F359 &lt; 0, E360 + F359, 0)</f>
        <v>0</v>
      </c>
      <c r="G360" s="1">
        <v>403119.2792275386</v>
      </c>
      <c r="H360" s="1">
        <f>IF(G360 + H359 &lt; 0, G360 + H359, 0)</f>
        <v>0</v>
      </c>
      <c r="I360" s="1">
        <v>0</v>
      </c>
      <c r="J360" s="1">
        <f>IF(I360 + J359 &lt; 0, I360 + J359, 0)</f>
        <v>0</v>
      </c>
      <c r="K360" s="1">
        <v>0</v>
      </c>
      <c r="L360" s="1">
        <f>IF(K360 + L359 &lt; 0, K360 + L359, 0)</f>
        <v>0</v>
      </c>
    </row>
    <row r="361" spans="1:12" s="1" customFormat="1">
      <c r="A361" s="3">
        <v>45510</v>
      </c>
      <c r="B361" s="1" t="s">
        <v>13</v>
      </c>
      <c r="C361" s="1">
        <v>7</v>
      </c>
      <c r="D361" s="1">
        <v>8</v>
      </c>
      <c r="E361" s="1">
        <v>201011.5813554476</v>
      </c>
      <c r="F361" s="1">
        <f>IF(E361 + F360 &lt; 0, E361 + F360, 0)</f>
        <v>0</v>
      </c>
      <c r="G361" s="1">
        <v>201011.5813554476</v>
      </c>
      <c r="H361" s="1">
        <f>IF(G361 + H360 &lt; 0, G361 + H360, 0)</f>
        <v>0</v>
      </c>
      <c r="I361" s="1">
        <v>0</v>
      </c>
      <c r="J361" s="1">
        <f>IF(I361 + J360 &lt; 0, I361 + J360, 0)</f>
        <v>0</v>
      </c>
      <c r="K361" s="1">
        <v>0</v>
      </c>
      <c r="L361" s="1">
        <f>IF(K361 + L360 &lt; 0, K361 + L360, 0)</f>
        <v>0</v>
      </c>
    </row>
    <row r="362" spans="1:12" s="1" customFormat="1">
      <c r="A362" s="3">
        <v>45511</v>
      </c>
      <c r="B362" s="1" t="s">
        <v>14</v>
      </c>
      <c r="C362" s="1">
        <v>6</v>
      </c>
      <c r="D362" s="1">
        <v>7</v>
      </c>
      <c r="E362" s="1">
        <v>214551.2959353116</v>
      </c>
      <c r="F362" s="1">
        <f>IF(E362 + F361 &lt; 0, E362 + F361, 0)</f>
        <v>0</v>
      </c>
      <c r="G362" s="1">
        <v>214551.2959353116</v>
      </c>
      <c r="H362" s="1">
        <f>IF(G362 + H361 &lt; 0, G362 + H361, 0)</f>
        <v>0</v>
      </c>
      <c r="I362" s="1">
        <v>0</v>
      </c>
      <c r="J362" s="1">
        <f>IF(I362 + J361 &lt; 0, I362 + J361, 0)</f>
        <v>0</v>
      </c>
      <c r="K362" s="1">
        <v>0</v>
      </c>
      <c r="L362" s="1">
        <f>IF(K362 + L361 &lt; 0, K362 + L361, 0)</f>
        <v>0</v>
      </c>
    </row>
    <row r="363" spans="1:12" s="1" customFormat="1">
      <c r="A363" s="3">
        <v>45512</v>
      </c>
      <c r="B363" s="1" t="s">
        <v>16</v>
      </c>
      <c r="C363" s="1">
        <v>5</v>
      </c>
      <c r="D363" s="1">
        <v>6</v>
      </c>
      <c r="E363" s="1">
        <v>264775.4323321432</v>
      </c>
      <c r="F363" s="1">
        <f>IF(E363 + F362 &lt; 0, E363 + F362, 0)</f>
        <v>0</v>
      </c>
      <c r="G363" s="1">
        <v>270811.4541762936</v>
      </c>
      <c r="H363" s="1">
        <f>IF(G363 + H362 &lt; 0, G363 + H362, 0)</f>
        <v>0</v>
      </c>
      <c r="I363" s="1">
        <v>119216.2417374882</v>
      </c>
      <c r="J363" s="1">
        <f>IF(I363 + J362 &lt; 0, I363 + J362, 0)</f>
        <v>0</v>
      </c>
      <c r="K363" s="1">
        <v>119216.2417374882</v>
      </c>
      <c r="L363" s="1">
        <f>IF(K363 + L362 &lt; 0, K363 + L362, 0)</f>
        <v>0</v>
      </c>
    </row>
    <row r="364" spans="1:12" s="1" customFormat="1">
      <c r="A364" s="3">
        <v>45513</v>
      </c>
      <c r="B364" s="1" t="s">
        <v>15</v>
      </c>
      <c r="C364" s="1">
        <v>4</v>
      </c>
      <c r="D364" s="1">
        <v>5</v>
      </c>
      <c r="E364" s="1">
        <v>202549.182599058</v>
      </c>
      <c r="F364" s="1">
        <f>IF(E364 + F363 &lt; 0, E364 + F363, 0)</f>
        <v>0</v>
      </c>
      <c r="G364" s="1">
        <v>202549.182599058</v>
      </c>
      <c r="H364" s="1">
        <f>IF(G364 + H363 &lt; 0, G364 + H363, 0)</f>
        <v>0</v>
      </c>
      <c r="I364" s="1">
        <v>62210.9158186864</v>
      </c>
      <c r="J364" s="1">
        <f>IF(I364 + J363 &lt; 0, I364 + J363, 0)</f>
        <v>0</v>
      </c>
      <c r="K364" s="1">
        <v>62210.9158186864</v>
      </c>
      <c r="L364" s="1">
        <f>IF(K364 + L363 &lt; 0, K364 + L363, 0)</f>
        <v>0</v>
      </c>
    </row>
    <row r="365" spans="1:12" s="1" customFormat="1">
      <c r="A365" s="3">
        <v>45516</v>
      </c>
      <c r="B365" s="1" t="s">
        <v>12</v>
      </c>
      <c r="C365" s="1">
        <v>3</v>
      </c>
      <c r="D365" s="1">
        <v>4</v>
      </c>
      <c r="E365" s="1">
        <v>48699.17860947859</v>
      </c>
      <c r="F365" s="1">
        <f>IF(E365 + F364 &lt; 0, E365 + F364, 0)</f>
        <v>0</v>
      </c>
      <c r="G365" s="1">
        <v>-393958.1400144344</v>
      </c>
      <c r="H365" s="1">
        <f>IF(G365 + H364 &lt; 0, G365 + H364, 0)</f>
        <v>0</v>
      </c>
      <c r="I365" s="1">
        <v>-140125.9559154296</v>
      </c>
      <c r="J365" s="1">
        <f>IF(I365 + J364 &lt; 0, I365 + J364, 0)</f>
        <v>0</v>
      </c>
      <c r="K365" s="1">
        <v>-140125.9559154296</v>
      </c>
      <c r="L365" s="1">
        <f>IF(K365 + L364 &lt; 0, K365 + L364, 0)</f>
        <v>0</v>
      </c>
    </row>
    <row r="366" spans="1:12" s="1" customFormat="1">
      <c r="A366" s="3">
        <v>45517</v>
      </c>
      <c r="B366" s="1" t="s">
        <v>13</v>
      </c>
      <c r="C366" s="1">
        <v>2</v>
      </c>
      <c r="D366" s="1">
        <v>3</v>
      </c>
      <c r="E366" s="1">
        <v>213883.046207265</v>
      </c>
      <c r="F366" s="1">
        <f>IF(E366 + F365 &lt; 0, E366 + F365, 0)</f>
        <v>0</v>
      </c>
      <c r="G366" s="1">
        <v>224742.922008547</v>
      </c>
      <c r="H366" s="1">
        <f>IF(G366 + H365 &lt; 0, G366 + H365, 0)</f>
        <v>0</v>
      </c>
      <c r="I366" s="1">
        <v>56396.14855570838</v>
      </c>
      <c r="J366" s="1">
        <f>IF(I366 + J365 &lt; 0, I366 + J365, 0)</f>
        <v>0</v>
      </c>
      <c r="K366" s="1">
        <v>56396.14855570838</v>
      </c>
      <c r="L366" s="1">
        <f>IF(K366 + L365 &lt; 0, K366 + L365, 0)</f>
        <v>0</v>
      </c>
    </row>
    <row r="367" spans="1:12" s="1" customFormat="1">
      <c r="A367" s="3">
        <v>45518</v>
      </c>
      <c r="B367" s="1" t="s">
        <v>14</v>
      </c>
      <c r="C367" s="1">
        <v>1</v>
      </c>
      <c r="D367" s="1">
        <v>2</v>
      </c>
      <c r="E367" s="1">
        <v>-46650.87047119714</v>
      </c>
      <c r="F367" s="1">
        <f>IF(E367 + F366 &lt; 0, E367 + F366, 0)</f>
        <v>0</v>
      </c>
      <c r="G367" s="1">
        <v>61806.81589030047</v>
      </c>
      <c r="H367" s="1">
        <f>IF(G367 + H366 &lt; 0, G367 + H366, 0)</f>
        <v>0</v>
      </c>
      <c r="I367" s="1">
        <v>-220173.3241505969</v>
      </c>
      <c r="J367" s="1">
        <f>IF(I367 + J366 &lt; 0, I367 + J366, 0)</f>
        <v>0</v>
      </c>
      <c r="K367" s="1">
        <v>-219042.699724518</v>
      </c>
      <c r="L367" s="1">
        <f>IF(K367 + L366 &lt; 0, K367 + L366, 0)</f>
        <v>0</v>
      </c>
    </row>
    <row r="368" spans="1:12" s="1" customFormat="1">
      <c r="A368" s="3">
        <v>45527</v>
      </c>
      <c r="B368" s="1" t="s">
        <v>15</v>
      </c>
      <c r="C368" s="1">
        <v>18</v>
      </c>
      <c r="D368" s="1">
        <v>1</v>
      </c>
      <c r="E368" s="1">
        <v>0</v>
      </c>
      <c r="F368" s="1">
        <f>IF(E368 + F367 &lt; 0, E368 + F367, 0)</f>
        <v>0</v>
      </c>
      <c r="G368" s="1">
        <v>0</v>
      </c>
      <c r="H368" s="1">
        <f>IF(G368 + H367 &lt; 0, G368 + H367, 0)</f>
        <v>0</v>
      </c>
      <c r="I368" s="1">
        <v>194534.2664092664</v>
      </c>
      <c r="J368" s="1">
        <f>IF(I368 + J367 &lt; 0, I368 + J367, 0)</f>
        <v>0</v>
      </c>
      <c r="K368" s="1">
        <v>202340.7335907336</v>
      </c>
      <c r="L368" s="1">
        <f>IF(K368 + L367 &lt; 0, K368 + L367, 0)</f>
        <v>0</v>
      </c>
    </row>
    <row r="369" spans="1:12" s="1" customFormat="1">
      <c r="A369" s="3">
        <v>45530</v>
      </c>
      <c r="B369" s="1" t="s">
        <v>12</v>
      </c>
      <c r="C369" s="1">
        <v>17</v>
      </c>
      <c r="D369" s="1">
        <v>21</v>
      </c>
      <c r="E369" s="1">
        <v>0</v>
      </c>
      <c r="F369" s="1">
        <f>IF(E369 + F368 &lt; 0, E369 + F368, 0)</f>
        <v>0</v>
      </c>
      <c r="G369" s="1">
        <v>0</v>
      </c>
      <c r="H369" s="1">
        <f>IF(G369 + H368 &lt; 0, G369 + H368, 0)</f>
        <v>0</v>
      </c>
      <c r="I369" s="1">
        <v>0</v>
      </c>
      <c r="J369" s="1">
        <f>IF(I369 + J368 &lt; 0, I369 + J368, 0)</f>
        <v>0</v>
      </c>
      <c r="K369" s="1">
        <v>0</v>
      </c>
      <c r="L369" s="1">
        <f>IF(K369 + L368 &lt; 0, K369 + L368, 0)</f>
        <v>0</v>
      </c>
    </row>
    <row r="370" spans="1:12" s="1" customFormat="1">
      <c r="A370" s="3">
        <v>45531</v>
      </c>
      <c r="B370" s="1" t="s">
        <v>13</v>
      </c>
      <c r="C370" s="1">
        <v>16</v>
      </c>
      <c r="D370" s="1">
        <v>20</v>
      </c>
      <c r="E370" s="1">
        <v>0</v>
      </c>
      <c r="F370" s="1">
        <f>IF(E370 + F369 &lt; 0, E370 + F369, 0)</f>
        <v>0</v>
      </c>
      <c r="G370" s="1">
        <v>0</v>
      </c>
      <c r="H370" s="1">
        <f>IF(G370 + H369 &lt; 0, G370 + H369, 0)</f>
        <v>0</v>
      </c>
      <c r="I370" s="1">
        <v>0</v>
      </c>
      <c r="J370" s="1">
        <f>IF(I370 + J369 &lt; 0, I370 + J369, 0)</f>
        <v>0</v>
      </c>
      <c r="K370" s="1">
        <v>0</v>
      </c>
      <c r="L370" s="1">
        <f>IF(K370 + L369 &lt; 0, K370 + L369, 0)</f>
        <v>0</v>
      </c>
    </row>
    <row r="371" spans="1:12" s="1" customFormat="1">
      <c r="A371" s="3">
        <v>45532</v>
      </c>
      <c r="B371" s="1" t="s">
        <v>14</v>
      </c>
      <c r="C371" s="1">
        <v>15</v>
      </c>
      <c r="D371" s="1">
        <v>19</v>
      </c>
      <c r="E371" s="1">
        <v>0</v>
      </c>
      <c r="F371" s="1">
        <f>IF(E371 + F370 &lt; 0, E371 + F370, 0)</f>
        <v>0</v>
      </c>
      <c r="G371" s="1">
        <v>0</v>
      </c>
      <c r="H371" s="1">
        <f>IF(G371 + H370 &lt; 0, G371 + H370, 0)</f>
        <v>0</v>
      </c>
      <c r="I371" s="1">
        <v>0</v>
      </c>
      <c r="J371" s="1">
        <f>IF(I371 + J370 &lt; 0, I371 + J370, 0)</f>
        <v>0</v>
      </c>
      <c r="K371" s="1">
        <v>0</v>
      </c>
      <c r="L371" s="1">
        <f>IF(K371 + L370 &lt; 0, K371 + L370, 0)</f>
        <v>0</v>
      </c>
    </row>
    <row r="372" spans="1:12" s="1" customFormat="1">
      <c r="A372" s="3">
        <v>45533</v>
      </c>
      <c r="B372" s="1" t="s">
        <v>16</v>
      </c>
      <c r="C372" s="1">
        <v>14</v>
      </c>
      <c r="D372" s="1">
        <v>18</v>
      </c>
      <c r="E372" s="1">
        <v>0</v>
      </c>
      <c r="F372" s="1">
        <f>IF(E372 + F371 &lt; 0, E372 + F371, 0)</f>
        <v>0</v>
      </c>
      <c r="G372" s="1">
        <v>0</v>
      </c>
      <c r="H372" s="1">
        <f>IF(G372 + H371 &lt; 0, G372 + H371, 0)</f>
        <v>0</v>
      </c>
      <c r="I372" s="1">
        <v>0</v>
      </c>
      <c r="J372" s="1">
        <f>IF(I372 + J371 &lt; 0, I372 + J371, 0)</f>
        <v>0</v>
      </c>
      <c r="K372" s="1">
        <v>0</v>
      </c>
      <c r="L372" s="1">
        <f>IF(K372 + L371 &lt; 0, K372 + L371, 0)</f>
        <v>0</v>
      </c>
    </row>
    <row r="373" spans="1:12" s="1" customFormat="1">
      <c r="A373" s="3">
        <v>45534</v>
      </c>
      <c r="B373" s="1" t="s">
        <v>15</v>
      </c>
      <c r="C373" s="1">
        <v>13</v>
      </c>
      <c r="D373" s="1">
        <v>17</v>
      </c>
      <c r="E373" s="1">
        <v>0</v>
      </c>
      <c r="F373" s="1">
        <f>IF(E373 + F372 &lt; 0, E373 + F372, 0)</f>
        <v>0</v>
      </c>
      <c r="G373" s="1">
        <v>0</v>
      </c>
      <c r="H373" s="1">
        <f>IF(G373 + H372 &lt; 0, G373 + H372, 0)</f>
        <v>0</v>
      </c>
      <c r="I373" s="1">
        <v>0</v>
      </c>
      <c r="J373" s="1">
        <f>IF(I373 + J372 &lt; 0, I373 + J372, 0)</f>
        <v>0</v>
      </c>
      <c r="K373" s="1">
        <v>0</v>
      </c>
      <c r="L373" s="1">
        <f>IF(K373 + L372 &lt; 0, K373 + L372, 0)</f>
        <v>0</v>
      </c>
    </row>
    <row r="374" spans="1:12" s="1" customFormat="1">
      <c r="A374" s="3">
        <v>45537</v>
      </c>
      <c r="B374" s="1" t="s">
        <v>12</v>
      </c>
      <c r="C374" s="1">
        <v>12</v>
      </c>
      <c r="D374" s="1">
        <v>16</v>
      </c>
      <c r="E374" s="1">
        <v>0</v>
      </c>
      <c r="F374" s="1">
        <f>IF(E374 + F373 &lt; 0, E374 + F373, 0)</f>
        <v>0</v>
      </c>
      <c r="G374" s="1">
        <v>0</v>
      </c>
      <c r="H374" s="1">
        <f>IF(G374 + H373 &lt; 0, G374 + H373, 0)</f>
        <v>0</v>
      </c>
      <c r="I374" s="1">
        <v>0</v>
      </c>
      <c r="J374" s="1">
        <f>IF(I374 + J373 &lt; 0, I374 + J373, 0)</f>
        <v>0</v>
      </c>
      <c r="K374" s="1">
        <v>0</v>
      </c>
      <c r="L374" s="1">
        <f>IF(K374 + L373 &lt; 0, K374 + L373, 0)</f>
        <v>0</v>
      </c>
    </row>
    <row r="375" spans="1:12" s="1" customFormat="1">
      <c r="A375" s="3">
        <v>45538</v>
      </c>
      <c r="B375" s="1" t="s">
        <v>13</v>
      </c>
      <c r="C375" s="1">
        <v>11</v>
      </c>
      <c r="D375" s="1">
        <v>15</v>
      </c>
      <c r="E375" s="1">
        <v>0</v>
      </c>
      <c r="F375" s="1">
        <f>IF(E375 + F374 &lt; 0, E375 + F374, 0)</f>
        <v>0</v>
      </c>
      <c r="G375" s="1">
        <v>0</v>
      </c>
      <c r="H375" s="1">
        <f>IF(G375 + H374 &lt; 0, G375 + H374, 0)</f>
        <v>0</v>
      </c>
      <c r="I375" s="1">
        <v>0</v>
      </c>
      <c r="J375" s="1">
        <f>IF(I375 + J374 &lt; 0, I375 + J374, 0)</f>
        <v>0</v>
      </c>
      <c r="K375" s="1">
        <v>0</v>
      </c>
      <c r="L375" s="1">
        <f>IF(K375 + L374 &lt; 0, K375 + L374, 0)</f>
        <v>0</v>
      </c>
    </row>
    <row r="376" spans="1:12" s="1" customFormat="1">
      <c r="A376" s="3">
        <v>45539</v>
      </c>
      <c r="B376" s="1" t="s">
        <v>14</v>
      </c>
      <c r="C376" s="1">
        <v>10</v>
      </c>
      <c r="D376" s="1">
        <v>14</v>
      </c>
      <c r="E376" s="1">
        <v>-435980.9911744739</v>
      </c>
      <c r="F376" s="1">
        <f>IF(E376 + F375 &lt; 0, E376 + F375, 0)</f>
        <v>0</v>
      </c>
      <c r="G376" s="1">
        <v>-232028.3623745946</v>
      </c>
      <c r="H376" s="1">
        <f>IF(G376 + H375 &lt; 0, G376 + H375, 0)</f>
        <v>0</v>
      </c>
      <c r="I376" s="1">
        <v>0</v>
      </c>
      <c r="J376" s="1">
        <f>IF(I376 + J375 &lt; 0, I376 + J375, 0)</f>
        <v>0</v>
      </c>
      <c r="K376" s="1">
        <v>0</v>
      </c>
      <c r="L376" s="1">
        <f>IF(K376 + L375 &lt; 0, K376 + L375, 0)</f>
        <v>0</v>
      </c>
    </row>
    <row r="377" spans="1:12" s="1" customFormat="1">
      <c r="A377" s="3">
        <v>45540</v>
      </c>
      <c r="B377" s="1" t="s">
        <v>16</v>
      </c>
      <c r="C377" s="1">
        <v>9</v>
      </c>
      <c r="D377" s="1">
        <v>13</v>
      </c>
      <c r="E377" s="1">
        <v>248689.2097264438</v>
      </c>
      <c r="F377" s="1">
        <f>IF(E377 + F376 &lt; 0, E377 + F376, 0)</f>
        <v>0</v>
      </c>
      <c r="G377" s="1">
        <v>248689.2097264438</v>
      </c>
      <c r="H377" s="1">
        <f>IF(G377 + H376 &lt; 0, G377 + H376, 0)</f>
        <v>0</v>
      </c>
      <c r="I377" s="1">
        <v>0</v>
      </c>
      <c r="J377" s="1">
        <f>IF(I377 + J376 &lt; 0, I377 + J376, 0)</f>
        <v>0</v>
      </c>
      <c r="K377" s="1">
        <v>0</v>
      </c>
      <c r="L377" s="1">
        <f>IF(K377 + L376 &lt; 0, K377 + L376, 0)</f>
        <v>0</v>
      </c>
    </row>
    <row r="378" spans="1:12" s="1" customFormat="1">
      <c r="A378" s="3">
        <v>45541</v>
      </c>
      <c r="B378" s="1" t="s">
        <v>15</v>
      </c>
      <c r="C378" s="1">
        <v>8</v>
      </c>
      <c r="D378" s="1">
        <v>12</v>
      </c>
      <c r="E378" s="1">
        <v>-52307.82429649965</v>
      </c>
      <c r="F378" s="1">
        <f>IF(E378 + F377 &lt; 0, E378 + F377, 0)</f>
        <v>0</v>
      </c>
      <c r="G378" s="1">
        <v>-115782.0483489667</v>
      </c>
      <c r="H378" s="1">
        <f>IF(G378 + H377 &lt; 0, G378 + H377, 0)</f>
        <v>0</v>
      </c>
      <c r="I378" s="1">
        <v>0</v>
      </c>
      <c r="J378" s="1">
        <f>IF(I378 + J377 &lt; 0, I378 + J377, 0)</f>
        <v>0</v>
      </c>
      <c r="K378" s="1">
        <v>0</v>
      </c>
      <c r="L378" s="1">
        <f>IF(K378 + L377 &lt; 0, K378 + L377, 0)</f>
        <v>0</v>
      </c>
    </row>
    <row r="379" spans="1:12" s="1" customFormat="1">
      <c r="A379" s="3">
        <v>45544</v>
      </c>
      <c r="B379" s="1" t="s">
        <v>12</v>
      </c>
      <c r="C379" s="1">
        <v>7</v>
      </c>
      <c r="D379" s="1">
        <v>11</v>
      </c>
      <c r="E379" s="1">
        <v>203908.3583930911</v>
      </c>
      <c r="F379" s="1">
        <f>IF(E379 + F378 &lt; 0, E379 + F378, 0)</f>
        <v>0</v>
      </c>
      <c r="G379" s="1">
        <v>267618.9374662656</v>
      </c>
      <c r="H379" s="1">
        <f>IF(G379 + H378 &lt; 0, G379 + H378, 0)</f>
        <v>0</v>
      </c>
      <c r="I379" s="1">
        <v>0</v>
      </c>
      <c r="J379" s="1">
        <f>IF(I379 + J378 &lt; 0, I379 + J378, 0)</f>
        <v>0</v>
      </c>
      <c r="K379" s="1">
        <v>0</v>
      </c>
      <c r="L379" s="1">
        <f>IF(K379 + L378 &lt; 0, K379 + L378, 0)</f>
        <v>0</v>
      </c>
    </row>
    <row r="380" spans="1:12" s="1" customFormat="1">
      <c r="A380" s="3">
        <v>45545</v>
      </c>
      <c r="B380" s="1" t="s">
        <v>13</v>
      </c>
      <c r="C380" s="1">
        <v>6</v>
      </c>
      <c r="D380" s="1">
        <v>10</v>
      </c>
      <c r="E380" s="1">
        <v>-201654.5391545391</v>
      </c>
      <c r="F380" s="1">
        <f>IF(E380 + F379 &lt; 0, E380 + F379, 0)</f>
        <v>0</v>
      </c>
      <c r="G380" s="1">
        <v>-623896.9738969738</v>
      </c>
      <c r="H380" s="1">
        <f>IF(G380 + H379 &lt; 0, G380 + H379, 0)</f>
        <v>0</v>
      </c>
      <c r="I380" s="1">
        <v>0</v>
      </c>
      <c r="J380" s="1">
        <f>IF(I380 + J379 &lt; 0, I380 + J379, 0)</f>
        <v>0</v>
      </c>
      <c r="K380" s="1">
        <v>0</v>
      </c>
      <c r="L380" s="1">
        <f>IF(K380 + L379 &lt; 0, K380 + L379, 0)</f>
        <v>0</v>
      </c>
    </row>
    <row r="381" spans="1:12" s="1" customFormat="1">
      <c r="A381" s="3">
        <v>45546</v>
      </c>
      <c r="B381" s="1" t="s">
        <v>14</v>
      </c>
      <c r="C381" s="1">
        <v>5</v>
      </c>
      <c r="D381" s="1">
        <v>9</v>
      </c>
      <c r="E381" s="1">
        <v>-158803.6184998802</v>
      </c>
      <c r="F381" s="1">
        <f>IF(E381 + F380 &lt; 0, E381 + F380, 0)</f>
        <v>0</v>
      </c>
      <c r="G381" s="1">
        <v>202352.4243150412</v>
      </c>
      <c r="H381" s="1">
        <f>IF(G381 + H380 &lt; 0, G381 + H380, 0)</f>
        <v>0</v>
      </c>
      <c r="I381" s="1">
        <v>0</v>
      </c>
      <c r="J381" s="1">
        <f>IF(I381 + J380 &lt; 0, I381 + J380, 0)</f>
        <v>0</v>
      </c>
      <c r="K381" s="1">
        <v>0</v>
      </c>
      <c r="L381" s="1">
        <f>IF(K381 + L380 &lt; 0, K381 + L380, 0)</f>
        <v>0</v>
      </c>
    </row>
    <row r="382" spans="1:12" s="1" customFormat="1">
      <c r="A382" s="3">
        <v>45547</v>
      </c>
      <c r="B382" s="1" t="s">
        <v>16</v>
      </c>
      <c r="C382" s="1">
        <v>4</v>
      </c>
      <c r="D382" s="1">
        <v>8</v>
      </c>
      <c r="E382" s="1">
        <v>-16427.73437500001</v>
      </c>
      <c r="F382" s="1">
        <f>IF(E382 + F381 &lt; 0, E382 + F381, 0)</f>
        <v>0</v>
      </c>
      <c r="G382" s="1">
        <v>130742.1875</v>
      </c>
      <c r="H382" s="1">
        <f>IF(G382 + H381 &lt; 0, G382 + H381, 0)</f>
        <v>0</v>
      </c>
      <c r="I382" s="1">
        <v>0</v>
      </c>
      <c r="J382" s="1">
        <f>IF(I382 + J381 &lt; 0, I382 + J381, 0)</f>
        <v>0</v>
      </c>
      <c r="K382" s="1">
        <v>0</v>
      </c>
      <c r="L382" s="1">
        <f>IF(K382 + L381 &lt; 0, K382 + L381, 0)</f>
        <v>0</v>
      </c>
    </row>
    <row r="383" spans="1:12" s="1" customFormat="1">
      <c r="A383" s="3">
        <v>45548</v>
      </c>
      <c r="B383" s="1" t="s">
        <v>15</v>
      </c>
      <c r="C383" s="1">
        <v>3</v>
      </c>
      <c r="D383" s="1">
        <v>7</v>
      </c>
      <c r="E383" s="1">
        <v>28512.03417629785</v>
      </c>
      <c r="F383" s="1">
        <f>IF(E383 + F382 &lt; 0, E383 + F382, 0)</f>
        <v>0</v>
      </c>
      <c r="G383" s="1">
        <v>23744.13548460924</v>
      </c>
      <c r="H383" s="1">
        <f>IF(G383 + H382 &lt; 0, G383 + H382, 0)</f>
        <v>0</v>
      </c>
      <c r="I383" s="1">
        <v>0</v>
      </c>
      <c r="J383" s="1">
        <f>IF(I383 + J382 &lt; 0, I383 + J382, 0)</f>
        <v>0</v>
      </c>
      <c r="K383" s="1">
        <v>0</v>
      </c>
      <c r="L383" s="1">
        <f>IF(K383 + L382 &lt; 0, K383 + L382, 0)</f>
        <v>0</v>
      </c>
    </row>
    <row r="384" spans="1:12" s="1" customFormat="1">
      <c r="A384" s="3">
        <v>45551</v>
      </c>
      <c r="B384" s="1" t="s">
        <v>12</v>
      </c>
      <c r="C384" s="1">
        <v>2</v>
      </c>
      <c r="D384" s="1">
        <v>6</v>
      </c>
      <c r="E384" s="1">
        <v>-6542.6124361486</v>
      </c>
      <c r="F384" s="1">
        <f>IF(E384 + F383 &lt; 0, E384 + F383, 0)</f>
        <v>0</v>
      </c>
      <c r="G384" s="1">
        <v>88393.44010446675</v>
      </c>
      <c r="H384" s="1">
        <f>IF(G384 + H383 &lt; 0, G384 + H383, 0)</f>
        <v>0</v>
      </c>
      <c r="I384" s="1">
        <v>83578.11140121846</v>
      </c>
      <c r="J384" s="1">
        <f>IF(I384 + J383 &lt; 0, I384 + J383, 0)</f>
        <v>0</v>
      </c>
      <c r="K384" s="1">
        <v>98781.54917319409</v>
      </c>
      <c r="L384" s="1">
        <f>IF(K384 + L383 &lt; 0, K384 + L383, 0)</f>
        <v>0</v>
      </c>
    </row>
    <row r="385" spans="1:12" s="1" customFormat="1">
      <c r="A385" s="3">
        <v>45552</v>
      </c>
      <c r="B385" s="1" t="s">
        <v>13</v>
      </c>
      <c r="C385" s="1">
        <v>1</v>
      </c>
      <c r="D385" s="1">
        <v>5</v>
      </c>
      <c r="E385" s="1">
        <v>-12180.93093093095</v>
      </c>
      <c r="F385" s="1">
        <f>IF(E385 + F384 &lt; 0, E385 + F384, 0)</f>
        <v>0</v>
      </c>
      <c r="G385" s="1">
        <v>-278509.7597597598</v>
      </c>
      <c r="H385" s="1">
        <f>IF(G385 + H384 &lt; 0, G385 + H384, 0)</f>
        <v>0</v>
      </c>
      <c r="I385" s="1">
        <v>132255.3897180763</v>
      </c>
      <c r="J385" s="1">
        <f>IF(I385 + J384 &lt; 0, I385 + J384, 0)</f>
        <v>0</v>
      </c>
      <c r="K385" s="1">
        <v>132255.3897180763</v>
      </c>
      <c r="L385" s="1">
        <f>IF(K385 + L384 &lt; 0, K385 + L384, 0)</f>
        <v>0</v>
      </c>
    </row>
    <row r="386" spans="1:12" s="1" customFormat="1">
      <c r="A386" s="3">
        <v>45553</v>
      </c>
      <c r="B386" s="1" t="s">
        <v>14</v>
      </c>
      <c r="C386" s="1">
        <v>21</v>
      </c>
      <c r="D386" s="1">
        <v>4</v>
      </c>
      <c r="E386" s="1">
        <v>0</v>
      </c>
      <c r="F386" s="1">
        <f>IF(E386 + F385 &lt; 0, E386 + F385, 0)</f>
        <v>0</v>
      </c>
      <c r="G386" s="1">
        <v>0</v>
      </c>
      <c r="H386" s="1">
        <f>IF(G386 + H385 &lt; 0, G386 + H385, 0)</f>
        <v>0</v>
      </c>
      <c r="I386" s="1">
        <v>94097.51924721984</v>
      </c>
      <c r="J386" s="1">
        <f>IF(I386 + J385 &lt; 0, I386 + J385, 0)</f>
        <v>0</v>
      </c>
      <c r="K386" s="1">
        <v>94097.51924721984</v>
      </c>
      <c r="L386" s="1">
        <f>IF(K386 + L385 &lt; 0, K386 + L385, 0)</f>
        <v>0</v>
      </c>
    </row>
    <row r="387" spans="1:12" s="1" customFormat="1">
      <c r="A387" s="3">
        <v>45554</v>
      </c>
      <c r="B387" s="1" t="s">
        <v>16</v>
      </c>
      <c r="C387" s="1">
        <v>20</v>
      </c>
      <c r="D387" s="1">
        <v>3</v>
      </c>
      <c r="E387" s="1">
        <v>0</v>
      </c>
      <c r="F387" s="1">
        <f>IF(E387 + F386 &lt; 0, E387 + F386, 0)</f>
        <v>0</v>
      </c>
      <c r="G387" s="1">
        <v>0</v>
      </c>
      <c r="H387" s="1">
        <f>IF(G387 + H386 &lt; 0, G387 + H386, 0)</f>
        <v>0</v>
      </c>
      <c r="I387" s="1">
        <v>193433.0299089727</v>
      </c>
      <c r="J387" s="1">
        <f>IF(I387 + J386 &lt; 0, I387 + J386, 0)</f>
        <v>0</v>
      </c>
      <c r="K387" s="1">
        <v>193433.0299089727</v>
      </c>
      <c r="L387" s="1">
        <f>IF(K387 + L386 &lt; 0, K387 + L386, 0)</f>
        <v>0</v>
      </c>
    </row>
    <row r="388" spans="1:12" s="1" customFormat="1">
      <c r="A388" s="3">
        <v>45555</v>
      </c>
      <c r="B388" s="1" t="s">
        <v>15</v>
      </c>
      <c r="C388" s="1">
        <v>19</v>
      </c>
      <c r="D388" s="1">
        <v>2</v>
      </c>
      <c r="E388" s="1">
        <v>0</v>
      </c>
      <c r="F388" s="1">
        <f>IF(E388 + F387 &lt; 0, E388 + F387, 0)</f>
        <v>0</v>
      </c>
      <c r="G388" s="1">
        <v>0</v>
      </c>
      <c r="H388" s="1">
        <f>IF(G388 + H387 &lt; 0, G388 + H387, 0)</f>
        <v>0</v>
      </c>
      <c r="I388" s="1">
        <v>-38024.80916030534</v>
      </c>
      <c r="J388" s="1">
        <f>IF(I388 + J387 &lt; 0, I388 + J387, 0)</f>
        <v>0</v>
      </c>
      <c r="K388" s="1">
        <v>-61916.87871077184</v>
      </c>
      <c r="L388" s="1">
        <f>IF(K388 + L387 &lt; 0, K388 + L387, 0)</f>
        <v>0</v>
      </c>
    </row>
    <row r="389" spans="1:12" s="1" customFormat="1">
      <c r="A389" s="3">
        <v>45558</v>
      </c>
      <c r="B389" s="1" t="s">
        <v>12</v>
      </c>
      <c r="C389" s="1">
        <v>18</v>
      </c>
      <c r="D389" s="1">
        <v>1</v>
      </c>
      <c r="E389" s="1">
        <v>0</v>
      </c>
      <c r="F389" s="1">
        <f>IF(E389 + F388 &lt; 0, E389 + F388, 0)</f>
        <v>0</v>
      </c>
      <c r="G389" s="1">
        <v>0</v>
      </c>
      <c r="H389" s="1">
        <f>IF(G389 + H388 &lt; 0, G389 + H388, 0)</f>
        <v>0</v>
      </c>
      <c r="I389" s="1">
        <v>-27892.39482200647</v>
      </c>
      <c r="J389" s="1">
        <f>IF(I389 + J388 &lt; 0, I389 + J388, 0)</f>
        <v>0</v>
      </c>
      <c r="K389" s="1">
        <v>-279126.213592233</v>
      </c>
      <c r="L389" s="1">
        <f>IF(K389 + L388 &lt; 0, K389 + L388, 0)</f>
        <v>0</v>
      </c>
    </row>
    <row r="390" spans="1:12" s="1" customFormat="1">
      <c r="A390" s="3">
        <v>45559</v>
      </c>
      <c r="B390" s="1" t="s">
        <v>13</v>
      </c>
      <c r="C390" s="1">
        <v>17</v>
      </c>
      <c r="D390" s="1">
        <v>22</v>
      </c>
      <c r="E390" s="1">
        <v>0</v>
      </c>
      <c r="F390" s="1">
        <f>IF(E390 + F389 &lt; 0, E390 + F389, 0)</f>
        <v>0</v>
      </c>
      <c r="G390" s="1">
        <v>0</v>
      </c>
      <c r="H390" s="1">
        <f>IF(G390 + H389 &lt; 0, G390 + H389, 0)</f>
        <v>0</v>
      </c>
      <c r="I390" s="1">
        <v>0</v>
      </c>
      <c r="J390" s="1">
        <f>IF(I390 + J389 &lt; 0, I390 + J389, 0)</f>
        <v>0</v>
      </c>
      <c r="K390" s="1">
        <v>0</v>
      </c>
      <c r="L390" s="1">
        <f>IF(K390 + L389 &lt; 0, K390 + L389, 0)</f>
        <v>0</v>
      </c>
    </row>
    <row r="391" spans="1:12" s="1" customFormat="1">
      <c r="A391" s="3">
        <v>45560</v>
      </c>
      <c r="B391" s="1" t="s">
        <v>14</v>
      </c>
      <c r="C391" s="1">
        <v>16</v>
      </c>
      <c r="D391" s="1">
        <v>21</v>
      </c>
      <c r="E391" s="1">
        <v>0</v>
      </c>
      <c r="F391" s="1">
        <f>IF(E391 + F390 &lt; 0, E391 + F390, 0)</f>
        <v>0</v>
      </c>
      <c r="G391" s="1">
        <v>0</v>
      </c>
      <c r="H391" s="1">
        <f>IF(G391 + H390 &lt; 0, G391 + H390, 0)</f>
        <v>0</v>
      </c>
      <c r="I391" s="1">
        <v>0</v>
      </c>
      <c r="J391" s="1">
        <f>IF(I391 + J390 &lt; 0, I391 + J390, 0)</f>
        <v>0</v>
      </c>
      <c r="K391" s="1">
        <v>0</v>
      </c>
      <c r="L391" s="1">
        <f>IF(K391 + L390 &lt; 0, K391 + L390, 0)</f>
        <v>0</v>
      </c>
    </row>
    <row r="392" spans="1:12" s="1" customFormat="1">
      <c r="A392" s="3">
        <v>45561</v>
      </c>
      <c r="B392" s="1" t="s">
        <v>16</v>
      </c>
      <c r="C392" s="1">
        <v>15</v>
      </c>
      <c r="D392" s="1">
        <v>20</v>
      </c>
      <c r="E392" s="1">
        <v>0</v>
      </c>
      <c r="F392" s="1">
        <f>IF(E392 + F391 &lt; 0, E392 + F391, 0)</f>
        <v>0</v>
      </c>
      <c r="G392" s="1">
        <v>0</v>
      </c>
      <c r="H392" s="1">
        <f>IF(G392 + H391 &lt; 0, G392 + H391, 0)</f>
        <v>0</v>
      </c>
      <c r="I392" s="1">
        <v>0</v>
      </c>
      <c r="J392" s="1">
        <f>IF(I392 + J391 &lt; 0, I392 + J391, 0)</f>
        <v>0</v>
      </c>
      <c r="K392" s="1">
        <v>0</v>
      </c>
      <c r="L392" s="1">
        <f>IF(K392 + L391 &lt; 0, K392 + L391, 0)</f>
        <v>0</v>
      </c>
    </row>
    <row r="393" spans="1:12" s="1" customFormat="1">
      <c r="A393" s="3">
        <v>45562</v>
      </c>
      <c r="B393" s="1" t="s">
        <v>15</v>
      </c>
      <c r="C393" s="1">
        <v>14</v>
      </c>
      <c r="D393" s="1">
        <v>19</v>
      </c>
      <c r="E393" s="1">
        <v>0</v>
      </c>
      <c r="F393" s="1">
        <f>IF(E393 + F392 &lt; 0, E393 + F392, 0)</f>
        <v>0</v>
      </c>
      <c r="G393" s="1">
        <v>0</v>
      </c>
      <c r="H393" s="1">
        <f>IF(G393 + H392 &lt; 0, G393 + H392, 0)</f>
        <v>0</v>
      </c>
      <c r="I393" s="1">
        <v>0</v>
      </c>
      <c r="J393" s="1">
        <f>IF(I393 + J392 &lt; 0, I393 + J392, 0)</f>
        <v>0</v>
      </c>
      <c r="K393" s="1">
        <v>0</v>
      </c>
      <c r="L393" s="1">
        <f>IF(K393 + L392 &lt; 0, K393 + L392, 0)</f>
        <v>0</v>
      </c>
    </row>
    <row r="394" spans="1:12" s="1" customFormat="1">
      <c r="A394" s="3">
        <v>45565</v>
      </c>
      <c r="B394" s="1" t="s">
        <v>12</v>
      </c>
      <c r="C394" s="1">
        <v>13</v>
      </c>
      <c r="D394" s="1">
        <v>18</v>
      </c>
      <c r="E394" s="1">
        <v>0</v>
      </c>
      <c r="F394" s="1">
        <f>IF(E394 + F393 &lt; 0, E394 + F393, 0)</f>
        <v>0</v>
      </c>
      <c r="G394" s="1">
        <v>0</v>
      </c>
      <c r="H394" s="1">
        <f>IF(G394 + H393 &lt; 0, G394 + H393, 0)</f>
        <v>0</v>
      </c>
      <c r="I394" s="1">
        <v>0</v>
      </c>
      <c r="J394" s="1">
        <f>IF(I394 + J393 &lt; 0, I394 + J393, 0)</f>
        <v>0</v>
      </c>
      <c r="K394" s="1">
        <v>0</v>
      </c>
      <c r="L394" s="1">
        <f>IF(K394 + L393 &lt; 0, K394 + L393, 0)</f>
        <v>0</v>
      </c>
    </row>
    <row r="395" spans="1:12" s="1" customFormat="1">
      <c r="A395" s="3">
        <v>45566</v>
      </c>
      <c r="B395" s="1" t="s">
        <v>13</v>
      </c>
      <c r="C395" s="1">
        <v>12</v>
      </c>
      <c r="D395" s="1">
        <v>17</v>
      </c>
      <c r="E395" s="1">
        <v>0</v>
      </c>
      <c r="F395" s="1">
        <f>IF(E395 + F394 &lt; 0, E395 + F394, 0)</f>
        <v>0</v>
      </c>
      <c r="G395" s="1">
        <v>0</v>
      </c>
      <c r="H395" s="1">
        <f>IF(G395 + H394 &lt; 0, G395 + H394, 0)</f>
        <v>0</v>
      </c>
      <c r="I395" s="1">
        <v>0</v>
      </c>
      <c r="J395" s="1">
        <f>IF(I395 + J394 &lt; 0, I395 + J394, 0)</f>
        <v>0</v>
      </c>
      <c r="K395" s="1">
        <v>0</v>
      </c>
      <c r="L395" s="1">
        <f>IF(K395 + L394 &lt; 0, K395 + L394, 0)</f>
        <v>0</v>
      </c>
    </row>
    <row r="396" spans="1:12" s="1" customFormat="1">
      <c r="A396" s="3">
        <v>45568</v>
      </c>
      <c r="B396" s="1" t="s">
        <v>16</v>
      </c>
      <c r="C396" s="1">
        <v>11</v>
      </c>
      <c r="D396" s="1">
        <v>16</v>
      </c>
      <c r="E396" s="1">
        <v>0</v>
      </c>
      <c r="F396" s="1">
        <f>IF(E396 + F395 &lt; 0, E396 + F395, 0)</f>
        <v>0</v>
      </c>
      <c r="G396" s="1">
        <v>0</v>
      </c>
      <c r="H396" s="1">
        <f>IF(G396 + H395 &lt; 0, G396 + H395, 0)</f>
        <v>0</v>
      </c>
      <c r="I396" s="1">
        <v>0</v>
      </c>
      <c r="J396" s="1">
        <f>IF(I396 + J395 &lt; 0, I396 + J395, 0)</f>
        <v>0</v>
      </c>
      <c r="K396" s="1">
        <v>0</v>
      </c>
      <c r="L396" s="1">
        <f>IF(K396 + L395 &lt; 0, K396 + L395, 0)</f>
        <v>0</v>
      </c>
    </row>
    <row r="397" spans="1:12" s="1" customFormat="1">
      <c r="A397" s="3">
        <v>45569</v>
      </c>
      <c r="B397" s="1" t="s">
        <v>15</v>
      </c>
      <c r="C397" s="1">
        <v>10</v>
      </c>
      <c r="D397" s="1">
        <v>15</v>
      </c>
      <c r="E397" s="1">
        <v>466121.3446100918</v>
      </c>
      <c r="F397" s="1">
        <f>IF(E397 + F396 &lt; 0, E397 + F396, 0)</f>
        <v>0</v>
      </c>
      <c r="G397" s="1">
        <v>466121.3446100918</v>
      </c>
      <c r="H397" s="1">
        <f>IF(G397 + H396 &lt; 0, G397 + H396, 0)</f>
        <v>0</v>
      </c>
      <c r="I397" s="1">
        <v>0</v>
      </c>
      <c r="J397" s="1">
        <f>IF(I397 + J396 &lt; 0, I397 + J396, 0)</f>
        <v>0</v>
      </c>
      <c r="K397" s="1">
        <v>0</v>
      </c>
      <c r="L397" s="1">
        <f>IF(K397 + L396 &lt; 0, K397 + L396, 0)</f>
        <v>0</v>
      </c>
    </row>
    <row r="398" spans="1:12" s="1" customFormat="1">
      <c r="A398" s="3">
        <v>45572</v>
      </c>
      <c r="B398" s="1" t="s">
        <v>12</v>
      </c>
      <c r="C398" s="1">
        <v>9</v>
      </c>
      <c r="D398" s="1">
        <v>14</v>
      </c>
      <c r="E398" s="1">
        <v>89002.81248887464</v>
      </c>
      <c r="F398" s="1">
        <f>IF(E398 + F397 &lt; 0, E398 + F397, 0)</f>
        <v>0</v>
      </c>
      <c r="G398" s="1">
        <v>89002.81248887464</v>
      </c>
      <c r="H398" s="1">
        <f>IF(G398 + H397 &lt; 0, G398 + H397, 0)</f>
        <v>0</v>
      </c>
      <c r="I398" s="1">
        <v>0</v>
      </c>
      <c r="J398" s="1">
        <f>IF(I398 + J397 &lt; 0, I398 + J397, 0)</f>
        <v>0</v>
      </c>
      <c r="K398" s="1">
        <v>0</v>
      </c>
      <c r="L398" s="1">
        <f>IF(K398 + L397 &lt; 0, K398 + L397, 0)</f>
        <v>0</v>
      </c>
    </row>
    <row r="399" spans="1:12" s="1" customFormat="1">
      <c r="A399" s="3">
        <v>45573</v>
      </c>
      <c r="B399" s="1" t="s">
        <v>13</v>
      </c>
      <c r="C399" s="1">
        <v>8</v>
      </c>
      <c r="D399" s="1">
        <v>13</v>
      </c>
      <c r="E399" s="1">
        <v>813923.4566184649</v>
      </c>
      <c r="F399" s="1">
        <f>IF(E399 + F398 &lt; 0, E399 + F398, 0)</f>
        <v>0</v>
      </c>
      <c r="G399" s="1">
        <v>1483945.70355951</v>
      </c>
      <c r="H399" s="1">
        <f>IF(G399 + H398 &lt; 0, G399 + H398, 0)</f>
        <v>0</v>
      </c>
      <c r="I399" s="1">
        <v>0</v>
      </c>
      <c r="J399" s="1">
        <f>IF(I399 + J398 &lt; 0, I399 + J398, 0)</f>
        <v>0</v>
      </c>
      <c r="K399" s="1">
        <v>0</v>
      </c>
      <c r="L399" s="1">
        <f>IF(K399 + L398 &lt; 0, K399 + L398, 0)</f>
        <v>0</v>
      </c>
    </row>
    <row r="400" spans="1:12" s="1" customFormat="1">
      <c r="A400" s="3">
        <v>45574</v>
      </c>
      <c r="B400" s="1" t="s">
        <v>14</v>
      </c>
      <c r="C400" s="1">
        <v>7</v>
      </c>
      <c r="D400" s="1">
        <v>12</v>
      </c>
      <c r="E400" s="1">
        <v>117664.9600801976</v>
      </c>
      <c r="F400" s="1">
        <f>IF(E400 + F399 &lt; 0, E400 + F399, 0)</f>
        <v>0</v>
      </c>
      <c r="G400" s="1">
        <v>117664.9600801976</v>
      </c>
      <c r="H400" s="1">
        <f>IF(G400 + H399 &lt; 0, G400 + H399, 0)</f>
        <v>0</v>
      </c>
      <c r="I400" s="1">
        <v>0</v>
      </c>
      <c r="J400" s="1">
        <f>IF(I400 + J399 &lt; 0, I400 + J399, 0)</f>
        <v>0</v>
      </c>
      <c r="K400" s="1">
        <v>0</v>
      </c>
      <c r="L400" s="1">
        <f>IF(K400 + L399 &lt; 0, K400 + L399, 0)</f>
        <v>0</v>
      </c>
    </row>
    <row r="401" spans="1:12" s="1" customFormat="1">
      <c r="A401" s="3">
        <v>45575</v>
      </c>
      <c r="B401" s="1" t="s">
        <v>16</v>
      </c>
      <c r="C401" s="1">
        <v>6</v>
      </c>
      <c r="D401" s="1">
        <v>11</v>
      </c>
      <c r="E401" s="1">
        <v>-355274.2426958236</v>
      </c>
      <c r="F401" s="1">
        <f>IF(E401 + F400 &lt; 0, E401 + F400, 0)</f>
        <v>0</v>
      </c>
      <c r="G401" s="1">
        <v>-448306.148055207</v>
      </c>
      <c r="H401" s="1">
        <f>IF(G401 + H400 &lt; 0, G401 + H400, 0)</f>
        <v>0</v>
      </c>
      <c r="I401" s="1">
        <v>0</v>
      </c>
      <c r="J401" s="1">
        <f>IF(I401 + J400 &lt; 0, I401 + J400, 0)</f>
        <v>0</v>
      </c>
      <c r="K401" s="1">
        <v>0</v>
      </c>
      <c r="L401" s="1">
        <f>IF(K401 + L400 &lt; 0, K401 + L400, 0)</f>
        <v>0</v>
      </c>
    </row>
    <row r="402" spans="1:12" s="1" customFormat="1">
      <c r="A402" s="3">
        <v>45576</v>
      </c>
      <c r="B402" s="1" t="s">
        <v>15</v>
      </c>
      <c r="C402" s="1">
        <v>5</v>
      </c>
      <c r="D402" s="1">
        <v>10</v>
      </c>
      <c r="E402" s="1">
        <v>18323.78423700391</v>
      </c>
      <c r="F402" s="1">
        <f>IF(E402 + F401 &lt; 0, E402 + F401, 0)</f>
        <v>0</v>
      </c>
      <c r="G402" s="1">
        <v>18323.78423700391</v>
      </c>
      <c r="H402" s="1">
        <f>IF(G402 + H401 &lt; 0, G402 + H401, 0)</f>
        <v>0</v>
      </c>
      <c r="I402" s="1">
        <v>0</v>
      </c>
      <c r="J402" s="1">
        <f>IF(I402 + J401 &lt; 0, I402 + J401, 0)</f>
        <v>0</v>
      </c>
      <c r="K402" s="1">
        <v>0</v>
      </c>
      <c r="L402" s="1">
        <f>IF(K402 + L401 &lt; 0, K402 + L401, 0)</f>
        <v>0</v>
      </c>
    </row>
    <row r="403" spans="1:12" s="1" customFormat="1">
      <c r="A403" s="3">
        <v>45579</v>
      </c>
      <c r="B403" s="1" t="s">
        <v>12</v>
      </c>
      <c r="C403" s="1">
        <v>4</v>
      </c>
      <c r="D403" s="1">
        <v>9</v>
      </c>
      <c r="E403" s="1">
        <v>496401.6958134606</v>
      </c>
      <c r="F403" s="1">
        <f>IF(E403 + F402 &lt; 0, E403 + F402, 0)</f>
        <v>0</v>
      </c>
      <c r="G403" s="1">
        <v>496401.6958134606</v>
      </c>
      <c r="H403" s="1">
        <f>IF(G403 + H402 &lt; 0, G403 + H402, 0)</f>
        <v>0</v>
      </c>
      <c r="I403" s="1">
        <v>0</v>
      </c>
      <c r="J403" s="1">
        <f>IF(I403 + J402 &lt; 0, I403 + J402, 0)</f>
        <v>0</v>
      </c>
      <c r="K403" s="1">
        <v>0</v>
      </c>
      <c r="L403" s="1">
        <f>IF(K403 + L402 &lt; 0, K403 + L402, 0)</f>
        <v>0</v>
      </c>
    </row>
    <row r="404" spans="1:12" s="1" customFormat="1">
      <c r="A404" s="3">
        <v>45580</v>
      </c>
      <c r="B404" s="1" t="s">
        <v>13</v>
      </c>
      <c r="C404" s="1">
        <v>3</v>
      </c>
      <c r="D404" s="1">
        <v>8</v>
      </c>
      <c r="E404" s="1">
        <v>269560.1043695564</v>
      </c>
      <c r="F404" s="1">
        <f>IF(E404 + F403 &lt; 0, E404 + F403, 0)</f>
        <v>0</v>
      </c>
      <c r="G404" s="1">
        <v>269560.1043695564</v>
      </c>
      <c r="H404" s="1">
        <f>IF(G404 + H403 &lt; 0, G404 + H403, 0)</f>
        <v>0</v>
      </c>
      <c r="I404" s="1">
        <v>0</v>
      </c>
      <c r="J404" s="1">
        <f>IF(I404 + J403 &lt; 0, I404 + J403, 0)</f>
        <v>0</v>
      </c>
      <c r="K404" s="1">
        <v>0</v>
      </c>
      <c r="L404" s="1">
        <f>IF(K404 + L403 &lt; 0, K404 + L403, 0)</f>
        <v>0</v>
      </c>
    </row>
    <row r="405" spans="1:12" s="1" customFormat="1">
      <c r="A405" s="3">
        <v>45581</v>
      </c>
      <c r="B405" s="1" t="s">
        <v>14</v>
      </c>
      <c r="C405" s="1">
        <v>2</v>
      </c>
      <c r="D405" s="1">
        <v>7</v>
      </c>
      <c r="E405" s="1">
        <v>514998.3204568358</v>
      </c>
      <c r="F405" s="1">
        <f>IF(E405 + F404 &lt; 0, E405 + F404, 0)</f>
        <v>0</v>
      </c>
      <c r="G405" s="1">
        <v>514998.3204568358</v>
      </c>
      <c r="H405" s="1">
        <f>IF(G405 + H404 &lt; 0, G405 + H404, 0)</f>
        <v>0</v>
      </c>
      <c r="I405" s="1">
        <v>0</v>
      </c>
      <c r="J405" s="1">
        <f>IF(I405 + J404 &lt; 0, I405 + J404, 0)</f>
        <v>0</v>
      </c>
      <c r="K405" s="1">
        <v>0</v>
      </c>
      <c r="L405" s="1">
        <f>IF(K405 + L404 &lt; 0, K405 + L404, 0)</f>
        <v>0</v>
      </c>
    </row>
    <row r="406" spans="1:12" s="1" customFormat="1">
      <c r="A406" s="3">
        <v>45582</v>
      </c>
      <c r="B406" s="1" t="s">
        <v>16</v>
      </c>
      <c r="C406" s="1">
        <v>1</v>
      </c>
      <c r="D406" s="1">
        <v>6</v>
      </c>
      <c r="E406" s="1">
        <v>157515.0506674644</v>
      </c>
      <c r="F406" s="1">
        <f>IF(E406 + F405 &lt; 0, E406 + F405, 0)</f>
        <v>0</v>
      </c>
      <c r="G406" s="1">
        <v>507985.2671727182</v>
      </c>
      <c r="H406" s="1">
        <f>IF(G406 + H405 &lt; 0, G406 + H405, 0)</f>
        <v>0</v>
      </c>
      <c r="I406" s="1">
        <v>146580.483736447</v>
      </c>
      <c r="J406" s="1">
        <f>IF(I406 + J405 &lt; 0, I406 + J405, 0)</f>
        <v>0</v>
      </c>
      <c r="K406" s="1">
        <v>146580.483736447</v>
      </c>
      <c r="L406" s="1">
        <f>IF(K406 + L405 &lt; 0, K406 + L405, 0)</f>
        <v>0</v>
      </c>
    </row>
    <row r="407" spans="1:12" s="1" customFormat="1">
      <c r="A407" s="3">
        <v>45583</v>
      </c>
      <c r="B407" s="1" t="s">
        <v>15</v>
      </c>
      <c r="C407" s="1">
        <v>21</v>
      </c>
      <c r="D407" s="1">
        <v>5</v>
      </c>
      <c r="E407" s="1">
        <v>0</v>
      </c>
      <c r="F407" s="1">
        <f>IF(E407 + F406 &lt; 0, E407 + F406, 0)</f>
        <v>0</v>
      </c>
      <c r="G407" s="1">
        <v>0</v>
      </c>
      <c r="H407" s="1">
        <f>IF(G407 + H406 &lt; 0, G407 + H406, 0)</f>
        <v>0</v>
      </c>
      <c r="I407" s="1">
        <v>-75010.53518752631</v>
      </c>
      <c r="J407" s="1">
        <f>IF(I407 + J406 &lt; 0, I407 + J406, 0)</f>
        <v>0</v>
      </c>
      <c r="K407" s="1">
        <v>-75010.53518752631</v>
      </c>
      <c r="L407" s="1">
        <f>IF(K407 + L406 &lt; 0, K407 + L406, 0)</f>
        <v>0</v>
      </c>
    </row>
    <row r="408" spans="1:12" s="1" customFormat="1">
      <c r="A408" s="3">
        <v>45586</v>
      </c>
      <c r="B408" s="1" t="s">
        <v>12</v>
      </c>
      <c r="C408" s="1">
        <v>20</v>
      </c>
      <c r="D408" s="1">
        <v>4</v>
      </c>
      <c r="E408" s="1">
        <v>0</v>
      </c>
      <c r="F408" s="1">
        <f>IF(E408 + F407 &lt; 0, E408 + F407, 0)</f>
        <v>0</v>
      </c>
      <c r="G408" s="1">
        <v>0</v>
      </c>
      <c r="H408" s="1">
        <f>IF(G408 + H407 &lt; 0, G408 + H407, 0)</f>
        <v>0</v>
      </c>
      <c r="I408" s="1">
        <v>-32952.54833040422</v>
      </c>
      <c r="J408" s="1">
        <f>IF(I408 + J407 &lt; 0, I408 + J407, 0)</f>
        <v>0</v>
      </c>
      <c r="K408" s="1">
        <v>-32952.54833040422</v>
      </c>
      <c r="L408" s="1">
        <f>IF(K408 + L407 &lt; 0, K408 + L407, 0)</f>
        <v>0</v>
      </c>
    </row>
    <row r="409" spans="1:12" s="1" customFormat="1">
      <c r="A409" s="3">
        <v>45587</v>
      </c>
      <c r="B409" s="1" t="s">
        <v>13</v>
      </c>
      <c r="C409" s="1">
        <v>19</v>
      </c>
      <c r="D409" s="1">
        <v>3</v>
      </c>
      <c r="E409" s="1">
        <v>0</v>
      </c>
      <c r="F409" s="1">
        <f>IF(E409 + F408 &lt; 0, E409 + F408, 0)</f>
        <v>0</v>
      </c>
      <c r="G409" s="1">
        <v>0</v>
      </c>
      <c r="H409" s="1">
        <f>IF(G409 + H408 &lt; 0, G409 + H408, 0)</f>
        <v>0</v>
      </c>
      <c r="I409" s="1">
        <v>189040.0843881856</v>
      </c>
      <c r="J409" s="1">
        <f>IF(I409 + J408 &lt; 0, I409 + J408, 0)</f>
        <v>0</v>
      </c>
      <c r="K409" s="1">
        <v>189040.0843881856</v>
      </c>
      <c r="L409" s="1">
        <f>IF(K409 + L408 &lt; 0, K409 + L408, 0)</f>
        <v>0</v>
      </c>
    </row>
    <row r="410" spans="1:12" s="1" customFormat="1">
      <c r="A410" s="3">
        <v>45588</v>
      </c>
      <c r="B410" s="1" t="s">
        <v>14</v>
      </c>
      <c r="C410" s="1">
        <v>18</v>
      </c>
      <c r="D410" s="1">
        <v>2</v>
      </c>
      <c r="E410" s="1">
        <v>0</v>
      </c>
      <c r="F410" s="1">
        <f>IF(E410 + F409 &lt; 0, E410 + F409, 0)</f>
        <v>0</v>
      </c>
      <c r="G410" s="1">
        <v>0</v>
      </c>
      <c r="H410" s="1">
        <f>IF(G410 + H409 &lt; 0, G410 + H409, 0)</f>
        <v>0</v>
      </c>
      <c r="I410" s="1">
        <v>-91874.73095135603</v>
      </c>
      <c r="J410" s="1">
        <f>IF(I410 + J409 &lt; 0, I410 + J409, 0)</f>
        <v>0</v>
      </c>
      <c r="K410" s="1">
        <v>-213377.0985794232</v>
      </c>
      <c r="L410" s="1">
        <f>IF(K410 + L409 &lt; 0, K410 + L409, 0)</f>
        <v>0</v>
      </c>
    </row>
    <row r="411" spans="1:12" s="1" customFormat="1">
      <c r="A411" s="3">
        <v>45589</v>
      </c>
      <c r="B411" s="1" t="s">
        <v>16</v>
      </c>
      <c r="C411" s="1">
        <v>17</v>
      </c>
      <c r="D411" s="1">
        <v>1</v>
      </c>
      <c r="E411" s="1">
        <v>0</v>
      </c>
      <c r="F411" s="1">
        <f>IF(E411 + F410 &lt; 0, E411 + F410, 0)</f>
        <v>0</v>
      </c>
      <c r="G411" s="1">
        <v>0</v>
      </c>
      <c r="H411" s="1">
        <f>IF(G411 + H410 &lt; 0, G411 + H410, 0)</f>
        <v>0</v>
      </c>
      <c r="I411" s="1">
        <v>-141973.9022369511</v>
      </c>
      <c r="J411" s="1">
        <f>IF(I411 + J410 &lt; 0, I411 + J410, 0)</f>
        <v>0</v>
      </c>
      <c r="K411" s="1">
        <v>211215.8243579122</v>
      </c>
      <c r="L411" s="1">
        <f>IF(K411 + L410 &lt; 0, K411 + L410, 0)</f>
        <v>0</v>
      </c>
    </row>
    <row r="412" spans="1:12" s="1" customFormat="1">
      <c r="A412" s="3">
        <v>45590</v>
      </c>
      <c r="B412" s="1" t="s">
        <v>15</v>
      </c>
      <c r="C412" s="1">
        <v>16</v>
      </c>
      <c r="D412" s="1">
        <v>20</v>
      </c>
      <c r="E412" s="1">
        <v>0</v>
      </c>
      <c r="F412" s="1">
        <f>IF(E412 + F411 &lt; 0, E412 + F411, 0)</f>
        <v>0</v>
      </c>
      <c r="G412" s="1">
        <v>0</v>
      </c>
      <c r="H412" s="1">
        <f>IF(G412 + H411 &lt; 0, G412 + H411, 0)</f>
        <v>0</v>
      </c>
      <c r="I412" s="1">
        <v>0</v>
      </c>
      <c r="J412" s="1">
        <f>IF(I412 + J411 &lt; 0, I412 + J411, 0)</f>
        <v>0</v>
      </c>
      <c r="K412" s="1">
        <v>0</v>
      </c>
      <c r="L412" s="1">
        <f>IF(K412 + L411 &lt; 0, K412 + L411, 0)</f>
        <v>0</v>
      </c>
    </row>
    <row r="413" spans="1:12" s="1" customFormat="1">
      <c r="A413" s="3">
        <v>45593</v>
      </c>
      <c r="B413" s="1" t="s">
        <v>12</v>
      </c>
      <c r="C413" s="1">
        <v>15</v>
      </c>
      <c r="D413" s="1">
        <v>19</v>
      </c>
      <c r="E413" s="1">
        <v>0</v>
      </c>
      <c r="F413" s="1">
        <f>IF(E413 + F412 &lt; 0, E413 + F412, 0)</f>
        <v>0</v>
      </c>
      <c r="G413" s="1">
        <v>0</v>
      </c>
      <c r="H413" s="1">
        <f>IF(G413 + H412 &lt; 0, G413 + H412, 0)</f>
        <v>0</v>
      </c>
      <c r="I413" s="1">
        <v>0</v>
      </c>
      <c r="J413" s="1">
        <f>IF(I413 + J412 &lt; 0, I413 + J412, 0)</f>
        <v>0</v>
      </c>
      <c r="K413" s="1">
        <v>0</v>
      </c>
      <c r="L413" s="1">
        <f>IF(K413 + L412 &lt; 0, K413 + L412, 0)</f>
        <v>0</v>
      </c>
    </row>
    <row r="414" spans="1:12" s="1" customFormat="1">
      <c r="A414" s="3">
        <v>45594</v>
      </c>
      <c r="B414" s="1" t="s">
        <v>13</v>
      </c>
      <c r="C414" s="1">
        <v>14</v>
      </c>
      <c r="D414" s="1">
        <v>18</v>
      </c>
      <c r="E414" s="1">
        <v>0</v>
      </c>
      <c r="F414" s="1">
        <f>IF(E414 + F413 &lt; 0, E414 + F413, 0)</f>
        <v>0</v>
      </c>
      <c r="G414" s="1">
        <v>0</v>
      </c>
      <c r="H414" s="1">
        <f>IF(G414 + H413 &lt; 0, G414 + H413, 0)</f>
        <v>0</v>
      </c>
      <c r="I414" s="1">
        <v>0</v>
      </c>
      <c r="J414" s="1">
        <f>IF(I414 + J413 &lt; 0, I414 + J413, 0)</f>
        <v>0</v>
      </c>
      <c r="K414" s="1">
        <v>0</v>
      </c>
      <c r="L414" s="1">
        <f>IF(K414 + L413 &lt; 0, K414 + L413, 0)</f>
        <v>0</v>
      </c>
    </row>
    <row r="415" spans="1:12" s="1" customFormat="1">
      <c r="A415" s="3">
        <v>45595</v>
      </c>
      <c r="B415" s="1" t="s">
        <v>14</v>
      </c>
      <c r="C415" s="1">
        <v>13</v>
      </c>
      <c r="D415" s="1">
        <v>17</v>
      </c>
      <c r="E415" s="1">
        <v>0</v>
      </c>
      <c r="F415" s="1">
        <f>IF(E415 + F414 &lt; 0, E415 + F414, 0)</f>
        <v>0</v>
      </c>
      <c r="G415" s="1">
        <v>0</v>
      </c>
      <c r="H415" s="1">
        <f>IF(G415 + H414 &lt; 0, G415 + H414, 0)</f>
        <v>0</v>
      </c>
      <c r="I415" s="1">
        <v>0</v>
      </c>
      <c r="J415" s="1">
        <f>IF(I415 + J414 &lt; 0, I415 + J414, 0)</f>
        <v>0</v>
      </c>
      <c r="K415" s="1">
        <v>0</v>
      </c>
      <c r="L415" s="1">
        <f>IF(K415 + L414 &lt; 0, K415 + L414, 0)</f>
        <v>0</v>
      </c>
    </row>
    <row r="416" spans="1:12" s="1" customFormat="1">
      <c r="A416" s="3">
        <v>45596</v>
      </c>
      <c r="B416" s="1" t="s">
        <v>16</v>
      </c>
      <c r="C416" s="1">
        <v>12</v>
      </c>
      <c r="D416" s="1">
        <v>16</v>
      </c>
      <c r="E416" s="1">
        <v>0</v>
      </c>
      <c r="F416" s="1">
        <f>IF(E416 + F415 &lt; 0, E416 + F415, 0)</f>
        <v>0</v>
      </c>
      <c r="G416" s="1">
        <v>0</v>
      </c>
      <c r="H416" s="1">
        <f>IF(G416 + H415 &lt; 0, G416 + H415, 0)</f>
        <v>0</v>
      </c>
      <c r="I416" s="1">
        <v>0</v>
      </c>
      <c r="J416" s="1">
        <f>IF(I416 + J415 &lt; 0, I416 + J415, 0)</f>
        <v>0</v>
      </c>
      <c r="K416" s="1">
        <v>0</v>
      </c>
      <c r="L416" s="1">
        <f>IF(K416 + L415 &lt; 0, K416 + L415, 0)</f>
        <v>0</v>
      </c>
    </row>
    <row r="417" spans="1:12" s="1" customFormat="1">
      <c r="A417" s="3">
        <v>45597</v>
      </c>
      <c r="B417" s="1" t="s">
        <v>15</v>
      </c>
      <c r="C417" s="1">
        <v>11</v>
      </c>
      <c r="D417" s="1">
        <v>15</v>
      </c>
      <c r="E417" s="1">
        <v>0</v>
      </c>
      <c r="F417" s="1">
        <f>IF(E417 + F416 &lt; 0, E417 + F416, 0)</f>
        <v>0</v>
      </c>
      <c r="G417" s="1">
        <v>0</v>
      </c>
      <c r="H417" s="1">
        <f>IF(G417 + H416 &lt; 0, G417 + H416, 0)</f>
        <v>0</v>
      </c>
      <c r="I417" s="1">
        <v>0</v>
      </c>
      <c r="J417" s="1">
        <f>IF(I417 + J416 &lt; 0, I417 + J416, 0)</f>
        <v>0</v>
      </c>
      <c r="K417" s="1">
        <v>0</v>
      </c>
      <c r="L417" s="1">
        <f>IF(K417 + L416 &lt; 0, K417 + L416, 0)</f>
        <v>0</v>
      </c>
    </row>
    <row r="418" spans="1:12" s="1" customFormat="1">
      <c r="A418" s="3">
        <v>45600</v>
      </c>
      <c r="B418" s="1" t="s">
        <v>12</v>
      </c>
      <c r="C418" s="1">
        <v>10</v>
      </c>
      <c r="D418" s="1">
        <v>14</v>
      </c>
      <c r="E418" s="1">
        <v>8002.09400590809</v>
      </c>
      <c r="F418" s="1">
        <f>IF(E418 + F417 &lt; 0, E418 + F417, 0)</f>
        <v>0</v>
      </c>
      <c r="G418" s="1">
        <v>8002.09400590809</v>
      </c>
      <c r="H418" s="1">
        <f>IF(G418 + H417 &lt; 0, G418 + H417, 0)</f>
        <v>0</v>
      </c>
      <c r="I418" s="1">
        <v>0</v>
      </c>
      <c r="J418" s="1">
        <f>IF(I418 + J417 &lt; 0, I418 + J417, 0)</f>
        <v>0</v>
      </c>
      <c r="K418" s="1">
        <v>0</v>
      </c>
      <c r="L418" s="1">
        <f>IF(K418 + L417 &lt; 0, K418 + L417, 0)</f>
        <v>0</v>
      </c>
    </row>
    <row r="419" spans="1:12" s="1" customFormat="1">
      <c r="A419" s="3">
        <v>45601</v>
      </c>
      <c r="B419" s="1" t="s">
        <v>13</v>
      </c>
      <c r="C419" s="1">
        <v>9</v>
      </c>
      <c r="D419" s="1">
        <v>13</v>
      </c>
      <c r="E419" s="1">
        <v>205123.948649845</v>
      </c>
      <c r="F419" s="1">
        <f>IF(E419 + F418 &lt; 0, E419 + F418, 0)</f>
        <v>0</v>
      </c>
      <c r="G419" s="1">
        <v>205123.948649845</v>
      </c>
      <c r="H419" s="1">
        <f>IF(G419 + H418 &lt; 0, G419 + H418, 0)</f>
        <v>0</v>
      </c>
      <c r="I419" s="1">
        <v>0</v>
      </c>
      <c r="J419" s="1">
        <f>IF(I419 + J418 &lt; 0, I419 + J418, 0)</f>
        <v>0</v>
      </c>
      <c r="K419" s="1">
        <v>0</v>
      </c>
      <c r="L419" s="1">
        <f>IF(K419 + L418 &lt; 0, K419 + L418, 0)</f>
        <v>0</v>
      </c>
    </row>
    <row r="420" spans="1:12" s="1" customFormat="1">
      <c r="A420" s="3">
        <v>45602</v>
      </c>
      <c r="B420" s="1" t="s">
        <v>14</v>
      </c>
      <c r="C420" s="1">
        <v>8</v>
      </c>
      <c r="D420" s="1">
        <v>12</v>
      </c>
      <c r="E420" s="1">
        <v>-149303.1198080118</v>
      </c>
      <c r="F420" s="1">
        <f>IF(E420 + F419 &lt; 0, E420 + F419, 0)</f>
        <v>0</v>
      </c>
      <c r="G420" s="1">
        <v>56433.45024921544</v>
      </c>
      <c r="H420" s="1">
        <f>IF(G420 + H419 &lt; 0, G420 + H419, 0)</f>
        <v>0</v>
      </c>
      <c r="I420" s="1">
        <v>0</v>
      </c>
      <c r="J420" s="1">
        <f>IF(I420 + J419 &lt; 0, I420 + J419, 0)</f>
        <v>0</v>
      </c>
      <c r="K420" s="1">
        <v>0</v>
      </c>
      <c r="L420" s="1">
        <f>IF(K420 + L419 &lt; 0, K420 + L419, 0)</f>
        <v>0</v>
      </c>
    </row>
    <row r="421" spans="1:12" s="1" customFormat="1">
      <c r="A421" s="3">
        <v>45603</v>
      </c>
      <c r="B421" s="1" t="s">
        <v>16</v>
      </c>
      <c r="C421" s="1">
        <v>7</v>
      </c>
      <c r="D421" s="1">
        <v>11</v>
      </c>
      <c r="E421" s="1">
        <v>110043.0940033598</v>
      </c>
      <c r="F421" s="1">
        <f>IF(E421 + F420 &lt; 0, E421 + F420, 0)</f>
        <v>0</v>
      </c>
      <c r="G421" s="1">
        <v>95318.09217734275</v>
      </c>
      <c r="H421" s="1">
        <f>IF(G421 + H420 &lt; 0, G421 + H420, 0)</f>
        <v>0</v>
      </c>
      <c r="I421" s="1">
        <v>0</v>
      </c>
      <c r="J421" s="1">
        <f>IF(I421 + J420 &lt; 0, I421 + J420, 0)</f>
        <v>0</v>
      </c>
      <c r="K421" s="1">
        <v>0</v>
      </c>
      <c r="L421" s="1">
        <f>IF(K421 + L420 &lt; 0, K421 + L420, 0)</f>
        <v>0</v>
      </c>
    </row>
    <row r="422" spans="1:12" s="1" customFormat="1">
      <c r="A422" s="3">
        <v>45604</v>
      </c>
      <c r="B422" s="1" t="s">
        <v>15</v>
      </c>
      <c r="C422" s="1">
        <v>6</v>
      </c>
      <c r="D422" s="1">
        <v>10</v>
      </c>
      <c r="E422" s="1">
        <v>2908.615136876029</v>
      </c>
      <c r="F422" s="1">
        <f>IF(E422 + F421 &lt; 0, E422 + F421, 0)</f>
        <v>0</v>
      </c>
      <c r="G422" s="1">
        <v>63570.48748353096</v>
      </c>
      <c r="H422" s="1">
        <f>IF(G422 + H421 &lt; 0, G422 + H421, 0)</f>
        <v>0</v>
      </c>
      <c r="I422" s="1">
        <v>0</v>
      </c>
      <c r="J422" s="1">
        <f>IF(I422 + J421 &lt; 0, I422 + J421, 0)</f>
        <v>0</v>
      </c>
      <c r="K422" s="1">
        <v>0</v>
      </c>
      <c r="L422" s="1">
        <f>IF(K422 + L421 &lt; 0, K422 + L421, 0)</f>
        <v>0</v>
      </c>
    </row>
    <row r="423" spans="1:12" s="1" customFormat="1">
      <c r="A423" s="3">
        <v>45607</v>
      </c>
      <c r="B423" s="1" t="s">
        <v>12</v>
      </c>
      <c r="C423" s="1">
        <v>5</v>
      </c>
      <c r="D423" s="1">
        <v>9</v>
      </c>
      <c r="E423" s="1">
        <v>54838.58858858859</v>
      </c>
      <c r="F423" s="1">
        <f>IF(E423 + F422 &lt; 0, E423 + F422, 0)</f>
        <v>0</v>
      </c>
      <c r="G423" s="1">
        <v>66572.82282282284</v>
      </c>
      <c r="H423" s="1">
        <f>IF(G423 + H422 &lt; 0, G423 + H422, 0)</f>
        <v>0</v>
      </c>
      <c r="I423" s="1">
        <v>0</v>
      </c>
      <c r="J423" s="1">
        <f>IF(I423 + J422 &lt; 0, I423 + J422, 0)</f>
        <v>0</v>
      </c>
      <c r="K423" s="1">
        <v>0</v>
      </c>
      <c r="L423" s="1">
        <f>IF(K423 + L422 &lt; 0, K423 + L422, 0)</f>
        <v>0</v>
      </c>
    </row>
    <row r="424" spans="1:12" s="1" customFormat="1">
      <c r="A424" s="3">
        <v>45608</v>
      </c>
      <c r="B424" s="1" t="s">
        <v>13</v>
      </c>
      <c r="C424" s="1">
        <v>4</v>
      </c>
      <c r="D424" s="1">
        <v>8</v>
      </c>
      <c r="E424" s="1">
        <v>143928.7511126591</v>
      </c>
      <c r="F424" s="1">
        <f>IF(E424 + F423 &lt; 0, E424 + F423, 0)</f>
        <v>0</v>
      </c>
      <c r="G424" s="1">
        <v>199659.429544487</v>
      </c>
      <c r="H424" s="1">
        <f>IF(G424 + H423 &lt; 0, G424 + H423, 0)</f>
        <v>0</v>
      </c>
      <c r="I424" s="1">
        <v>0</v>
      </c>
      <c r="J424" s="1">
        <f>IF(I424 + J423 &lt; 0, I424 + J423, 0)</f>
        <v>0</v>
      </c>
      <c r="K424" s="1">
        <v>0</v>
      </c>
      <c r="L424" s="1">
        <f>IF(K424 + L423 &lt; 0, K424 + L423, 0)</f>
        <v>0</v>
      </c>
    </row>
    <row r="425" spans="1:12" s="1" customFormat="1">
      <c r="A425" s="3">
        <v>45609</v>
      </c>
      <c r="B425" s="1" t="s">
        <v>14</v>
      </c>
      <c r="C425" s="1">
        <v>3</v>
      </c>
      <c r="D425" s="1">
        <v>7</v>
      </c>
      <c r="E425" s="1">
        <v>-342410.3708262809</v>
      </c>
      <c r="F425" s="1">
        <f>IF(E425 + F424 &lt; 0, E425 + F424, 0)</f>
        <v>0</v>
      </c>
      <c r="G425" s="1">
        <v>219168.333589783</v>
      </c>
      <c r="H425" s="1">
        <f>IF(G425 + H424 &lt; 0, G425 + H424, 0)</f>
        <v>0</v>
      </c>
      <c r="I425" s="1">
        <v>0</v>
      </c>
      <c r="J425" s="1">
        <f>IF(I425 + J424 &lt; 0, I425 + J424, 0)</f>
        <v>0</v>
      </c>
      <c r="K425" s="1">
        <v>0</v>
      </c>
      <c r="L425" s="1">
        <f>IF(K425 + L424 &lt; 0, K425 + L424, 0)</f>
        <v>0</v>
      </c>
    </row>
    <row r="426" spans="1:12" s="1" customFormat="1">
      <c r="A426" s="3">
        <v>45610</v>
      </c>
      <c r="B426" s="1" t="s">
        <v>16</v>
      </c>
      <c r="C426" s="1">
        <v>2</v>
      </c>
      <c r="D426" s="1">
        <v>6</v>
      </c>
      <c r="E426" s="1">
        <v>150302.9133706348</v>
      </c>
      <c r="F426" s="1">
        <f>IF(E426 + F425 &lt; 0, E426 + F425, 0)</f>
        <v>0</v>
      </c>
      <c r="G426" s="1">
        <v>363688.9832143546</v>
      </c>
      <c r="H426" s="1">
        <f>IF(G426 + H425 &lt; 0, G426 + H425, 0)</f>
        <v>0</v>
      </c>
      <c r="I426" s="1">
        <v>191203.8576654473</v>
      </c>
      <c r="J426" s="1">
        <f>IF(I426 + J425 &lt; 0, I426 + J425, 0)</f>
        <v>0</v>
      </c>
      <c r="K426" s="1">
        <v>191203.8576654473</v>
      </c>
      <c r="L426" s="1">
        <f>IF(K426 + L425 &lt; 0, K426 + L425, 0)</f>
        <v>0</v>
      </c>
    </row>
    <row r="427" spans="1:12" s="1" customFormat="1">
      <c r="A427" s="3">
        <v>45611</v>
      </c>
      <c r="B427" s="1" t="s">
        <v>15</v>
      </c>
      <c r="C427" s="1">
        <v>1</v>
      </c>
      <c r="D427" s="1">
        <v>5</v>
      </c>
      <c r="E427" s="1">
        <v>-154853.6001236093</v>
      </c>
      <c r="F427" s="1">
        <f>IF(E427 + F426 &lt; 0, E427 + F426, 0)</f>
        <v>0</v>
      </c>
      <c r="G427" s="1">
        <v>-260410.2286773795</v>
      </c>
      <c r="H427" s="1">
        <f>IF(G427 + H426 &lt; 0, G427 + H426, 0)</f>
        <v>0</v>
      </c>
      <c r="I427" s="1">
        <v>-253678.0772032047</v>
      </c>
      <c r="J427" s="1">
        <f>IF(I427 + J426 &lt; 0, I427 + J426, 0)</f>
        <v>0</v>
      </c>
      <c r="K427" s="1">
        <v>-246786.2345229424</v>
      </c>
      <c r="L427" s="1">
        <f>IF(K427 + L426 &lt; 0, K427 + L426, 0)</f>
        <v>0</v>
      </c>
    </row>
    <row r="428" spans="1:12" s="1" customFormat="1">
      <c r="A428" s="3">
        <v>45614</v>
      </c>
      <c r="B428" s="1" t="s">
        <v>12</v>
      </c>
      <c r="C428" s="1">
        <v>21</v>
      </c>
      <c r="D428" s="1">
        <v>4</v>
      </c>
      <c r="E428" s="1">
        <v>0</v>
      </c>
      <c r="F428" s="1">
        <f>IF(E428 + F427 &lt; 0, E428 + F427, 0)</f>
        <v>0</v>
      </c>
      <c r="G428" s="1">
        <v>0</v>
      </c>
      <c r="H428" s="1">
        <f>IF(G428 + H427 &lt; 0, G428 + H427, 0)</f>
        <v>0</v>
      </c>
      <c r="I428" s="1">
        <v>157432.4324324325</v>
      </c>
      <c r="J428" s="1">
        <f>IF(I428 + J427 &lt; 0, I428 + J427, 0)</f>
        <v>0</v>
      </c>
      <c r="K428" s="1">
        <v>157432.4324324325</v>
      </c>
      <c r="L428" s="1">
        <f>IF(K428 + L427 &lt; 0, K428 + L427, 0)</f>
        <v>0</v>
      </c>
    </row>
    <row r="429" spans="1:12" s="1" customFormat="1">
      <c r="A429" s="3">
        <v>45615</v>
      </c>
      <c r="B429" s="1" t="s">
        <v>13</v>
      </c>
      <c r="C429" s="1">
        <v>20</v>
      </c>
      <c r="D429" s="1">
        <v>3</v>
      </c>
      <c r="E429" s="1">
        <v>0</v>
      </c>
      <c r="F429" s="1">
        <f>IF(E429 + F428 &lt; 0, E429 + F428, 0)</f>
        <v>0</v>
      </c>
      <c r="G429" s="1">
        <v>0</v>
      </c>
      <c r="H429" s="1">
        <f>IF(G429 + H428 &lt; 0, G429 + H428, 0)</f>
        <v>0</v>
      </c>
      <c r="I429" s="1">
        <v>184188.9632107024</v>
      </c>
      <c r="J429" s="1">
        <f>IF(I429 + J428 &lt; 0, I429 + J428, 0)</f>
        <v>0</v>
      </c>
      <c r="K429" s="1">
        <v>184188.9632107024</v>
      </c>
      <c r="L429" s="1">
        <f>IF(K429 + L428 &lt; 0, K429 + L428, 0)</f>
        <v>0</v>
      </c>
    </row>
    <row r="430" spans="1:12" s="1" customFormat="1">
      <c r="A430" s="3">
        <v>45616</v>
      </c>
      <c r="B430" s="1" t="s">
        <v>14</v>
      </c>
      <c r="C430" s="1">
        <v>19</v>
      </c>
      <c r="D430" s="1">
        <v>2</v>
      </c>
      <c r="E430" s="1">
        <v>0</v>
      </c>
      <c r="F430" s="1">
        <f>IF(E430 + F429 &lt; 0, E430 + F429, 0)</f>
        <v>0</v>
      </c>
      <c r="G430" s="1">
        <v>0</v>
      </c>
      <c r="H430" s="1">
        <f>IF(G430 + H429 &lt; 0, G430 + H429, 0)</f>
        <v>0</v>
      </c>
      <c r="I430" s="1">
        <v>-358378.3354510801</v>
      </c>
      <c r="J430" s="1">
        <f>IF(I430 + J429 &lt; 0, I430 + J429, 0)</f>
        <v>0</v>
      </c>
      <c r="K430" s="1">
        <v>-369790.3430749682</v>
      </c>
      <c r="L430" s="1">
        <f>IF(K430 + L429 &lt; 0, K430 + L429, 0)</f>
        <v>0</v>
      </c>
    </row>
    <row r="431" spans="1:12" s="1" customFormat="1">
      <c r="A431" s="3">
        <v>45617</v>
      </c>
      <c r="B431" s="1" t="s">
        <v>16</v>
      </c>
      <c r="C431" s="1">
        <v>18</v>
      </c>
      <c r="D431" s="1">
        <v>1</v>
      </c>
      <c r="E431" s="1">
        <v>0</v>
      </c>
      <c r="F431" s="1">
        <f>IF(E431 + F430 &lt; 0, E431 + F430, 0)</f>
        <v>0</v>
      </c>
      <c r="G431" s="1">
        <v>0</v>
      </c>
      <c r="H431" s="1">
        <f>IF(G431 + H430 &lt; 0, G431 + H430, 0)</f>
        <v>0</v>
      </c>
      <c r="I431" s="1">
        <v>197517.6759913925</v>
      </c>
      <c r="J431" s="1">
        <f>IF(I431 + J430 &lt; 0, I431 + J430, 0)</f>
        <v>0</v>
      </c>
      <c r="K431" s="1">
        <v>197517.6759913925</v>
      </c>
      <c r="L431" s="1">
        <f>IF(K431 + L430 &lt; 0, K431 + L430, 0)</f>
        <v>0</v>
      </c>
    </row>
    <row r="432" spans="1:12" s="1" customFormat="1">
      <c r="A432" s="3">
        <v>45618</v>
      </c>
      <c r="B432" s="1" t="s">
        <v>15</v>
      </c>
      <c r="C432" s="1">
        <v>17</v>
      </c>
      <c r="D432" s="1">
        <v>22</v>
      </c>
      <c r="E432" s="1">
        <v>0</v>
      </c>
      <c r="F432" s="1">
        <f>IF(E432 + F431 &lt; 0, E432 + F431, 0)</f>
        <v>0</v>
      </c>
      <c r="G432" s="1">
        <v>0</v>
      </c>
      <c r="H432" s="1">
        <f>IF(G432 + H431 &lt; 0, G432 + H431, 0)</f>
        <v>0</v>
      </c>
      <c r="I432" s="1">
        <v>0</v>
      </c>
      <c r="J432" s="1">
        <f>IF(I432 + J431 &lt; 0, I432 + J431, 0)</f>
        <v>0</v>
      </c>
      <c r="K432" s="1">
        <v>0</v>
      </c>
      <c r="L432" s="1">
        <f>IF(K432 + L431 &lt; 0, K432 + L431, 0)</f>
        <v>0</v>
      </c>
    </row>
    <row r="433" spans="1:12" s="1" customFormat="1">
      <c r="A433" s="3">
        <v>45621</v>
      </c>
      <c r="B433" s="1" t="s">
        <v>12</v>
      </c>
      <c r="C433" s="1">
        <v>16</v>
      </c>
      <c r="D433" s="1">
        <v>21</v>
      </c>
      <c r="E433" s="1">
        <v>0</v>
      </c>
      <c r="F433" s="1">
        <f>IF(E433 + F432 &lt; 0, E433 + F432, 0)</f>
        <v>0</v>
      </c>
      <c r="G433" s="1">
        <v>0</v>
      </c>
      <c r="H433" s="1">
        <f>IF(G433 + H432 &lt; 0, G433 + H432, 0)</f>
        <v>0</v>
      </c>
      <c r="I433" s="1">
        <v>0</v>
      </c>
      <c r="J433" s="1">
        <f>IF(I433 + J432 &lt; 0, I433 + J432, 0)</f>
        <v>0</v>
      </c>
      <c r="K433" s="1">
        <v>0</v>
      </c>
      <c r="L433" s="1">
        <f>IF(K433 + L432 &lt; 0, K433 + L432, 0)</f>
        <v>0</v>
      </c>
    </row>
    <row r="434" spans="1:12" s="1" customFormat="1">
      <c r="A434" s="3">
        <v>45622</v>
      </c>
      <c r="B434" s="1" t="s">
        <v>13</v>
      </c>
      <c r="C434" s="1">
        <v>15</v>
      </c>
      <c r="D434" s="1">
        <v>20</v>
      </c>
      <c r="E434" s="1">
        <v>0</v>
      </c>
      <c r="F434" s="1">
        <f>IF(E434 + F433 &lt; 0, E434 + F433, 0)</f>
        <v>0</v>
      </c>
      <c r="G434" s="1">
        <v>0</v>
      </c>
      <c r="H434" s="1">
        <f>IF(G434 + H433 &lt; 0, G434 + H433, 0)</f>
        <v>0</v>
      </c>
      <c r="I434" s="1">
        <v>0</v>
      </c>
      <c r="J434" s="1">
        <f>IF(I434 + J433 &lt; 0, I434 + J433, 0)</f>
        <v>0</v>
      </c>
      <c r="K434" s="1">
        <v>0</v>
      </c>
      <c r="L434" s="1">
        <f>IF(K434 + L433 &lt; 0, K434 + L433, 0)</f>
        <v>0</v>
      </c>
    </row>
    <row r="435" spans="1:12" s="1" customFormat="1">
      <c r="A435" s="3">
        <v>45623</v>
      </c>
      <c r="B435" s="1" t="s">
        <v>14</v>
      </c>
      <c r="C435" s="1">
        <v>14</v>
      </c>
      <c r="D435" s="1">
        <v>19</v>
      </c>
      <c r="E435" s="1">
        <v>0</v>
      </c>
      <c r="F435" s="1">
        <f>IF(E435 + F434 &lt; 0, E435 + F434, 0)</f>
        <v>0</v>
      </c>
      <c r="G435" s="1">
        <v>0</v>
      </c>
      <c r="H435" s="1">
        <f>IF(G435 + H434 &lt; 0, G435 + H434, 0)</f>
        <v>0</v>
      </c>
      <c r="I435" s="1">
        <v>0</v>
      </c>
      <c r="J435" s="1">
        <f>IF(I435 + J434 &lt; 0, I435 + J434, 0)</f>
        <v>0</v>
      </c>
      <c r="K435" s="1">
        <v>0</v>
      </c>
      <c r="L435" s="1">
        <f>IF(K435 + L434 &lt; 0, K435 + L434, 0)</f>
        <v>0</v>
      </c>
    </row>
    <row r="436" spans="1:12" s="1" customFormat="1">
      <c r="A436" s="3">
        <v>45624</v>
      </c>
      <c r="B436" s="1" t="s">
        <v>16</v>
      </c>
      <c r="C436" s="1">
        <v>13</v>
      </c>
      <c r="D436" s="1">
        <v>18</v>
      </c>
      <c r="E436" s="1">
        <v>0</v>
      </c>
      <c r="F436" s="1">
        <f>IF(E436 + F435 &lt; 0, E436 + F435, 0)</f>
        <v>0</v>
      </c>
      <c r="G436" s="1">
        <v>0</v>
      </c>
      <c r="H436" s="1">
        <f>IF(G436 + H435 &lt; 0, G436 + H435, 0)</f>
        <v>0</v>
      </c>
      <c r="I436" s="1">
        <v>0</v>
      </c>
      <c r="J436" s="1">
        <f>IF(I436 + J435 &lt; 0, I436 + J435, 0)</f>
        <v>0</v>
      </c>
      <c r="K436" s="1">
        <v>0</v>
      </c>
      <c r="L436" s="1">
        <f>IF(K436 + L435 &lt; 0, K436 + L435, 0)</f>
        <v>0</v>
      </c>
    </row>
    <row r="437" spans="1:12" s="1" customFormat="1">
      <c r="A437" s="3">
        <v>45625</v>
      </c>
      <c r="B437" s="1" t="s">
        <v>15</v>
      </c>
      <c r="C437" s="1">
        <v>12</v>
      </c>
      <c r="D437" s="1">
        <v>17</v>
      </c>
      <c r="E437" s="1">
        <v>0</v>
      </c>
      <c r="F437" s="1">
        <f>IF(E437 + F436 &lt; 0, E437 + F436, 0)</f>
        <v>0</v>
      </c>
      <c r="G437" s="1">
        <v>0</v>
      </c>
      <c r="H437" s="1">
        <f>IF(G437 + H436 &lt; 0, G437 + H436, 0)</f>
        <v>0</v>
      </c>
      <c r="I437" s="1">
        <v>0</v>
      </c>
      <c r="J437" s="1">
        <f>IF(I437 + J436 &lt; 0, I437 + J436, 0)</f>
        <v>0</v>
      </c>
      <c r="K437" s="1">
        <v>0</v>
      </c>
      <c r="L437" s="1">
        <f>IF(K437 + L436 &lt; 0, K437 + L436, 0)</f>
        <v>0</v>
      </c>
    </row>
    <row r="438" spans="1:12" s="1" customFormat="1">
      <c r="A438" s="3">
        <v>45628</v>
      </c>
      <c r="B438" s="1" t="s">
        <v>12</v>
      </c>
      <c r="C438" s="1">
        <v>11</v>
      </c>
      <c r="D438" s="1">
        <v>16</v>
      </c>
      <c r="E438" s="1">
        <v>0</v>
      </c>
      <c r="F438" s="1">
        <f>IF(E438 + F437 &lt; 0, E438 + F437, 0)</f>
        <v>0</v>
      </c>
      <c r="G438" s="1">
        <v>0</v>
      </c>
      <c r="H438" s="1">
        <f>IF(G438 + H437 &lt; 0, G438 + H437, 0)</f>
        <v>0</v>
      </c>
      <c r="I438" s="1">
        <v>0</v>
      </c>
      <c r="J438" s="1">
        <f>IF(I438 + J437 &lt; 0, I438 + J437, 0)</f>
        <v>0</v>
      </c>
      <c r="K438" s="1">
        <v>0</v>
      </c>
      <c r="L438" s="1">
        <f>IF(K438 + L437 &lt; 0, K438 + L437, 0)</f>
        <v>0</v>
      </c>
    </row>
    <row r="439" spans="1:12" s="1" customFormat="1">
      <c r="A439" s="3">
        <v>45629</v>
      </c>
      <c r="B439" s="1" t="s">
        <v>13</v>
      </c>
      <c r="C439" s="1">
        <v>10</v>
      </c>
      <c r="D439" s="1">
        <v>15</v>
      </c>
      <c r="E439" s="1">
        <v>-86635.67916410572</v>
      </c>
      <c r="F439" s="1">
        <f>IF(E439 + F438 &lt; 0, E439 + F438, 0)</f>
        <v>0</v>
      </c>
      <c r="G439" s="1">
        <v>-65131.37676705594</v>
      </c>
      <c r="H439" s="1">
        <f>IF(G439 + H438 &lt; 0, G439 + H438, 0)</f>
        <v>0</v>
      </c>
      <c r="I439" s="1">
        <v>0</v>
      </c>
      <c r="J439" s="1">
        <f>IF(I439 + J438 &lt; 0, I439 + J438, 0)</f>
        <v>0</v>
      </c>
      <c r="K439" s="1">
        <v>0</v>
      </c>
      <c r="L439" s="1">
        <f>IF(K439 + L438 &lt; 0, K439 + L438, 0)</f>
        <v>0</v>
      </c>
    </row>
    <row r="440" spans="1:12" s="1" customFormat="1">
      <c r="A440" s="3">
        <v>45630</v>
      </c>
      <c r="B440" s="1" t="s">
        <v>14</v>
      </c>
      <c r="C440" s="1">
        <v>9</v>
      </c>
      <c r="D440" s="1">
        <v>14</v>
      </c>
      <c r="E440" s="1">
        <v>172501.5913430935</v>
      </c>
      <c r="F440" s="1">
        <f>IF(E440 + F439 &lt; 0, E440 + F439, 0)</f>
        <v>0</v>
      </c>
      <c r="G440" s="1">
        <v>172501.5913430935</v>
      </c>
      <c r="H440" s="1">
        <f>IF(G440 + H439 &lt; 0, G440 + H439, 0)</f>
        <v>0</v>
      </c>
      <c r="I440" s="1">
        <v>0</v>
      </c>
      <c r="J440" s="1">
        <f>IF(I440 + J439 &lt; 0, I440 + J439, 0)</f>
        <v>0</v>
      </c>
      <c r="K440" s="1">
        <v>0</v>
      </c>
      <c r="L440" s="1">
        <f>IF(K440 + L439 &lt; 0, K440 + L439, 0)</f>
        <v>0</v>
      </c>
    </row>
    <row r="441" spans="1:12" s="1" customFormat="1">
      <c r="A441" s="3">
        <v>45631</v>
      </c>
      <c r="B441" s="1" t="s">
        <v>16</v>
      </c>
      <c r="C441" s="1">
        <v>8</v>
      </c>
      <c r="D441" s="1">
        <v>13</v>
      </c>
      <c r="E441" s="1">
        <v>287253.9294979398</v>
      </c>
      <c r="F441" s="1">
        <f>IF(E441 + F440 &lt; 0, E441 + F440, 0)</f>
        <v>0</v>
      </c>
      <c r="G441" s="1">
        <v>287253.9294979398</v>
      </c>
      <c r="H441" s="1">
        <f>IF(G441 + H440 &lt; 0, G441 + H440, 0)</f>
        <v>0</v>
      </c>
      <c r="I441" s="1">
        <v>0</v>
      </c>
      <c r="J441" s="1">
        <f>IF(I441 + J440 &lt; 0, I441 + J440, 0)</f>
        <v>0</v>
      </c>
      <c r="K441" s="1">
        <v>0</v>
      </c>
      <c r="L441" s="1">
        <f>IF(K441 + L440 &lt; 0, K441 + L440, 0)</f>
        <v>0</v>
      </c>
    </row>
    <row r="442" spans="1:12" s="1" customFormat="1">
      <c r="A442" s="3">
        <v>45632</v>
      </c>
      <c r="B442" s="1" t="s">
        <v>15</v>
      </c>
      <c r="C442" s="1">
        <v>7</v>
      </c>
      <c r="D442" s="1">
        <v>12</v>
      </c>
      <c r="E442" s="1">
        <v>175924.505140402</v>
      </c>
      <c r="F442" s="1">
        <f>IF(E442 + F441 &lt; 0, E442 + F441, 0)</f>
        <v>0</v>
      </c>
      <c r="G442" s="1">
        <v>175924.505140402</v>
      </c>
      <c r="H442" s="1">
        <f>IF(G442 + H441 &lt; 0, G442 + H441, 0)</f>
        <v>0</v>
      </c>
      <c r="I442" s="1">
        <v>0</v>
      </c>
      <c r="J442" s="1">
        <f>IF(I442 + J441 &lt; 0, I442 + J441, 0)</f>
        <v>0</v>
      </c>
      <c r="K442" s="1">
        <v>0</v>
      </c>
      <c r="L442" s="1">
        <f>IF(K442 + L441 &lt; 0, K442 + L441, 0)</f>
        <v>0</v>
      </c>
    </row>
    <row r="443" spans="1:12" s="1" customFormat="1">
      <c r="A443" s="3">
        <v>45635</v>
      </c>
      <c r="B443" s="1" t="s">
        <v>12</v>
      </c>
      <c r="C443" s="1">
        <v>6</v>
      </c>
      <c r="D443" s="1">
        <v>11</v>
      </c>
      <c r="E443" s="1">
        <v>204345.1248398246</v>
      </c>
      <c r="F443" s="1">
        <f>IF(E443 + F442 &lt; 0, E443 + F442, 0)</f>
        <v>0</v>
      </c>
      <c r="G443" s="1">
        <v>204345.1248398246</v>
      </c>
      <c r="H443" s="1">
        <f>IF(G443 + H442 &lt; 0, G443 + H442, 0)</f>
        <v>0</v>
      </c>
      <c r="I443" s="1">
        <v>0</v>
      </c>
      <c r="J443" s="1">
        <f>IF(I443 + J442 &lt; 0, I443 + J442, 0)</f>
        <v>0</v>
      </c>
      <c r="K443" s="1">
        <v>0</v>
      </c>
      <c r="L443" s="1">
        <f>IF(K443 + L442 &lt; 0, K443 + L442, 0)</f>
        <v>0</v>
      </c>
    </row>
    <row r="444" spans="1:12" s="1" customFormat="1">
      <c r="A444" s="3">
        <v>45636</v>
      </c>
      <c r="B444" s="1" t="s">
        <v>13</v>
      </c>
      <c r="C444" s="1">
        <v>5</v>
      </c>
      <c r="D444" s="1">
        <v>10</v>
      </c>
      <c r="E444" s="1">
        <v>62016.62762566722</v>
      </c>
      <c r="F444" s="1">
        <f>IF(E444 + F443 &lt; 0, E444 + F443, 0)</f>
        <v>0</v>
      </c>
      <c r="G444" s="1">
        <v>81506.08655581584</v>
      </c>
      <c r="H444" s="1">
        <f>IF(G444 + H443 &lt; 0, G444 + H443, 0)</f>
        <v>0</v>
      </c>
      <c r="I444" s="1">
        <v>0</v>
      </c>
      <c r="J444" s="1">
        <f>IF(I444 + J443 &lt; 0, I444 + J443, 0)</f>
        <v>0</v>
      </c>
      <c r="K444" s="1">
        <v>0</v>
      </c>
      <c r="L444" s="1">
        <f>IF(K444 + L443 &lt; 0, K444 + L443, 0)</f>
        <v>0</v>
      </c>
    </row>
    <row r="445" spans="1:12" s="1" customFormat="1">
      <c r="A445" s="3">
        <v>45637</v>
      </c>
      <c r="B445" s="1" t="s">
        <v>14</v>
      </c>
      <c r="C445" s="1">
        <v>4</v>
      </c>
      <c r="D445" s="1">
        <v>9</v>
      </c>
      <c r="E445" s="1">
        <v>131161.1509155009</v>
      </c>
      <c r="F445" s="1">
        <f>IF(E445 + F444 &lt; 0, E445 + F444, 0)</f>
        <v>0</v>
      </c>
      <c r="G445" s="1">
        <v>134197.6572273399</v>
      </c>
      <c r="H445" s="1">
        <f>IF(G445 + H444 &lt; 0, G445 + H444, 0)</f>
        <v>0</v>
      </c>
      <c r="I445" s="1">
        <v>0</v>
      </c>
      <c r="J445" s="1">
        <f>IF(I445 + J444 &lt; 0, I445 + J444, 0)</f>
        <v>0</v>
      </c>
      <c r="K445" s="1">
        <v>0</v>
      </c>
      <c r="L445" s="1">
        <f>IF(K445 + L444 &lt; 0, K445 + L444, 0)</f>
        <v>0</v>
      </c>
    </row>
    <row r="446" spans="1:12" s="1" customFormat="1">
      <c r="A446" s="3">
        <v>45638</v>
      </c>
      <c r="B446" s="1" t="s">
        <v>16</v>
      </c>
      <c r="C446" s="1">
        <v>3</v>
      </c>
      <c r="D446" s="1">
        <v>8</v>
      </c>
      <c r="E446" s="1">
        <v>-111792.4001637575</v>
      </c>
      <c r="F446" s="1">
        <f>IF(E446 + F445 &lt; 0, E446 + F445, 0)</f>
        <v>0</v>
      </c>
      <c r="G446" s="1">
        <v>140905.8766608359</v>
      </c>
      <c r="H446" s="1">
        <f>IF(G446 + H445 &lt; 0, G446 + H445, 0)</f>
        <v>0</v>
      </c>
      <c r="I446" s="1">
        <v>0</v>
      </c>
      <c r="J446" s="1">
        <f>IF(I446 + J445 &lt; 0, I446 + J445, 0)</f>
        <v>0</v>
      </c>
      <c r="K446" s="1">
        <v>0</v>
      </c>
      <c r="L446" s="1">
        <f>IF(K446 + L445 &lt; 0, K446 + L445, 0)</f>
        <v>0</v>
      </c>
    </row>
    <row r="447" spans="1:12" s="1" customFormat="1">
      <c r="A447" s="3">
        <v>45639</v>
      </c>
      <c r="B447" s="1" t="s">
        <v>15</v>
      </c>
      <c r="C447" s="1">
        <v>2</v>
      </c>
      <c r="D447" s="1">
        <v>7</v>
      </c>
      <c r="E447" s="1">
        <v>409304.6691299966</v>
      </c>
      <c r="F447" s="1">
        <f>IF(E447 + F446 &lt; 0, E447 + F446, 0)</f>
        <v>0</v>
      </c>
      <c r="G447" s="1">
        <v>409304.6691299966</v>
      </c>
      <c r="H447" s="1">
        <f>IF(G447 + H446 &lt; 0, G447 + H446, 0)</f>
        <v>0</v>
      </c>
      <c r="I447" s="1">
        <v>0</v>
      </c>
      <c r="J447" s="1">
        <f>IF(I447 + J446 &lt; 0, I447 + J446, 0)</f>
        <v>0</v>
      </c>
      <c r="K447" s="1">
        <v>0</v>
      </c>
      <c r="L447" s="1">
        <f>IF(K447 + L446 &lt; 0, K447 + L446, 0)</f>
        <v>0</v>
      </c>
    </row>
    <row r="448" spans="1:12" s="1" customFormat="1">
      <c r="A448" s="3">
        <v>45642</v>
      </c>
      <c r="B448" s="1" t="s">
        <v>12</v>
      </c>
      <c r="C448" s="1">
        <v>1</v>
      </c>
      <c r="D448" s="1">
        <v>6</v>
      </c>
      <c r="E448" s="1">
        <v>108959.0254706534</v>
      </c>
      <c r="F448" s="1">
        <f>IF(E448 + F447 &lt; 0, E448 + F447, 0)</f>
        <v>0</v>
      </c>
      <c r="G448" s="1">
        <v>261240.3100775194</v>
      </c>
      <c r="H448" s="1">
        <f>IF(G448 + H447 &lt; 0, G448 + H447, 0)</f>
        <v>0</v>
      </c>
      <c r="I448" s="1">
        <v>67940.55201698514</v>
      </c>
      <c r="J448" s="1">
        <f>IF(I448 + J447 &lt; 0, I448 + J447, 0)</f>
        <v>0</v>
      </c>
      <c r="K448" s="1">
        <v>67940.55201698514</v>
      </c>
      <c r="L448" s="1">
        <f>IF(K448 + L447 &lt; 0, K448 + L447, 0)</f>
        <v>0</v>
      </c>
    </row>
    <row r="449" spans="1:12" s="1" customFormat="1">
      <c r="A449" s="3">
        <v>45643</v>
      </c>
      <c r="B449" s="1" t="s">
        <v>13</v>
      </c>
      <c r="C449" s="1">
        <v>21</v>
      </c>
      <c r="D449" s="1">
        <v>5</v>
      </c>
      <c r="E449" s="1">
        <v>0</v>
      </c>
      <c r="F449" s="1">
        <f>IF(E449 + F448 &lt; 0, E449 + F448, 0)</f>
        <v>0</v>
      </c>
      <c r="G449" s="1">
        <v>0</v>
      </c>
      <c r="H449" s="1">
        <f>IF(G449 + H448 &lt; 0, G449 + H448, 0)</f>
        <v>0</v>
      </c>
      <c r="I449" s="1">
        <v>-86276.30375114355</v>
      </c>
      <c r="J449" s="1">
        <f>IF(I449 + J448 &lt; 0, I449 + J448, 0)</f>
        <v>0</v>
      </c>
      <c r="K449" s="1">
        <v>53064.9588289113</v>
      </c>
      <c r="L449" s="1">
        <f>IF(K449 + L448 &lt; 0, K449 + L448, 0)</f>
        <v>0</v>
      </c>
    </row>
    <row r="450" spans="1:12" s="1" customFormat="1">
      <c r="A450" s="3">
        <v>45644</v>
      </c>
      <c r="B450" s="1" t="s">
        <v>14</v>
      </c>
      <c r="C450" s="1">
        <v>20</v>
      </c>
      <c r="D450" s="1">
        <v>4</v>
      </c>
      <c r="E450" s="1">
        <v>0</v>
      </c>
      <c r="F450" s="1">
        <f>IF(E450 + F449 &lt; 0, E450 + F449, 0)</f>
        <v>0</v>
      </c>
      <c r="G450" s="1">
        <v>0</v>
      </c>
      <c r="H450" s="1">
        <f>IF(G450 + H449 &lt; 0, G450 + H449, 0)</f>
        <v>0</v>
      </c>
      <c r="I450" s="1">
        <v>585.8230814294072</v>
      </c>
      <c r="J450" s="1">
        <f>IF(I450 + J449 &lt; 0, I450 + J449, 0)</f>
        <v>0</v>
      </c>
      <c r="K450" s="1">
        <v>585.8230814294072</v>
      </c>
      <c r="L450" s="1">
        <f>IF(K450 + L449 &lt; 0, K450 + L449, 0)</f>
        <v>0</v>
      </c>
    </row>
    <row r="451" spans="1:12" s="1" customFormat="1">
      <c r="A451" s="3">
        <v>45645</v>
      </c>
      <c r="B451" s="1" t="s">
        <v>16</v>
      </c>
      <c r="C451" s="1">
        <v>19</v>
      </c>
      <c r="D451" s="1">
        <v>3</v>
      </c>
      <c r="E451" s="1">
        <v>0</v>
      </c>
      <c r="F451" s="1">
        <f>IF(E451 + F450 &lt; 0, E451 + F450, 0)</f>
        <v>0</v>
      </c>
      <c r="G451" s="1">
        <v>0</v>
      </c>
      <c r="H451" s="1">
        <f>IF(G451 + H450 &lt; 0, G451 + H450, 0)</f>
        <v>0</v>
      </c>
      <c r="I451" s="1">
        <v>83596.21451104101</v>
      </c>
      <c r="J451" s="1">
        <f>IF(I451 + J450 &lt; 0, I451 + J450, 0)</f>
        <v>0</v>
      </c>
      <c r="K451" s="1">
        <v>83596.21451104101</v>
      </c>
      <c r="L451" s="1">
        <f>IF(K451 + L450 &lt; 0, K451 + L450, 0)</f>
        <v>0</v>
      </c>
    </row>
    <row r="452" spans="1:12" s="1" customFormat="1">
      <c r="A452" s="3">
        <v>45646</v>
      </c>
      <c r="B452" s="1" t="s">
        <v>15</v>
      </c>
      <c r="C452" s="1">
        <v>18</v>
      </c>
      <c r="D452" s="1">
        <v>2</v>
      </c>
      <c r="E452" s="1">
        <v>0</v>
      </c>
      <c r="F452" s="1">
        <f>IF(E452 + F451 &lt; 0, E452 + F451, 0)</f>
        <v>0</v>
      </c>
      <c r="G452" s="1">
        <v>0</v>
      </c>
      <c r="H452" s="1">
        <f>IF(G452 + H451 &lt; 0, G452 + H451, 0)</f>
        <v>0</v>
      </c>
      <c r="I452" s="1">
        <v>194230.7692307692</v>
      </c>
      <c r="J452" s="1">
        <f>IF(I452 + J451 &lt; 0, I452 + J451, 0)</f>
        <v>0</v>
      </c>
      <c r="K452" s="1">
        <v>194230.7692307692</v>
      </c>
      <c r="L452" s="1">
        <f>IF(K452 + L451 &lt; 0, K452 + L451, 0)</f>
        <v>0</v>
      </c>
    </row>
    <row r="453" spans="1:12" s="1" customFormat="1">
      <c r="A453" s="3">
        <v>45649</v>
      </c>
      <c r="B453" s="1" t="s">
        <v>12</v>
      </c>
      <c r="C453" s="1">
        <v>17</v>
      </c>
      <c r="D453" s="1">
        <v>1</v>
      </c>
      <c r="E453" s="1">
        <v>0</v>
      </c>
      <c r="F453" s="1">
        <f>IF(E453 + F452 &lt; 0, E453 + F452, 0)</f>
        <v>0</v>
      </c>
      <c r="G453" s="1">
        <v>0</v>
      </c>
      <c r="H453" s="1">
        <f>IF(G453 + H452 &lt; 0, G453 + H452, 0)</f>
        <v>0</v>
      </c>
      <c r="I453" s="1">
        <v>18258.9964521034</v>
      </c>
      <c r="J453" s="1">
        <f>IF(I453 + J452 &lt; 0, I453 + J452, 0)</f>
        <v>0</v>
      </c>
      <c r="K453" s="1">
        <v>-260225.54485555</v>
      </c>
      <c r="L453" s="1">
        <f>IF(K453 + L452 &lt; 0, K453 + L452, 0)</f>
        <v>0</v>
      </c>
    </row>
    <row r="454" spans="1:12" s="1" customFormat="1">
      <c r="A454" s="3">
        <v>45650</v>
      </c>
      <c r="B454" s="1" t="s">
        <v>13</v>
      </c>
      <c r="C454" s="1">
        <v>16</v>
      </c>
      <c r="D454" s="1">
        <v>23</v>
      </c>
      <c r="E454" s="1">
        <v>0</v>
      </c>
      <c r="F454" s="1">
        <f>IF(E454 + F453 &lt; 0, E454 + F453, 0)</f>
        <v>0</v>
      </c>
      <c r="G454" s="1">
        <v>0</v>
      </c>
      <c r="H454" s="1">
        <f>IF(G454 + H453 &lt; 0, G454 + H453, 0)</f>
        <v>0</v>
      </c>
      <c r="I454" s="1">
        <v>0</v>
      </c>
      <c r="J454" s="1">
        <f>IF(I454 + J453 &lt; 0, I454 + J453, 0)</f>
        <v>0</v>
      </c>
      <c r="K454" s="1">
        <v>0</v>
      </c>
      <c r="L454" s="1">
        <f>IF(K454 + L453 &lt; 0, K454 + L453, 0)</f>
        <v>0</v>
      </c>
    </row>
    <row r="455" spans="1:12" s="1" customFormat="1">
      <c r="A455" s="3">
        <v>45652</v>
      </c>
      <c r="B455" s="1" t="s">
        <v>16</v>
      </c>
      <c r="C455" s="1">
        <v>15</v>
      </c>
      <c r="D455" s="1">
        <v>22</v>
      </c>
      <c r="E455" s="1">
        <v>0</v>
      </c>
      <c r="F455" s="1">
        <f>IF(E455 + F454 &lt; 0, E455 + F454, 0)</f>
        <v>0</v>
      </c>
      <c r="G455" s="1">
        <v>0</v>
      </c>
      <c r="H455" s="1">
        <f>IF(G455 + H454 &lt; 0, G455 + H454, 0)</f>
        <v>0</v>
      </c>
      <c r="I455" s="1">
        <v>0</v>
      </c>
      <c r="J455" s="1">
        <f>IF(I455 + J454 &lt; 0, I455 + J454, 0)</f>
        <v>0</v>
      </c>
      <c r="K455" s="1">
        <v>0</v>
      </c>
      <c r="L455" s="1">
        <f>IF(K455 + L454 &lt; 0, K455 + L454, 0)</f>
        <v>0</v>
      </c>
    </row>
    <row r="456" spans="1:12" s="1" customFormat="1">
      <c r="A456" s="3">
        <v>45653</v>
      </c>
      <c r="B456" s="1" t="s">
        <v>15</v>
      </c>
      <c r="C456" s="1">
        <v>14</v>
      </c>
      <c r="D456" s="1">
        <v>21</v>
      </c>
      <c r="E456" s="1">
        <v>0</v>
      </c>
      <c r="F456" s="1">
        <f>IF(E456 + F455 &lt; 0, E456 + F455, 0)</f>
        <v>0</v>
      </c>
      <c r="G456" s="1">
        <v>0</v>
      </c>
      <c r="H456" s="1">
        <f>IF(G456 + H455 &lt; 0, G456 + H455, 0)</f>
        <v>0</v>
      </c>
      <c r="I456" s="1">
        <v>0</v>
      </c>
      <c r="J456" s="1">
        <f>IF(I456 + J455 &lt; 0, I456 + J455, 0)</f>
        <v>0</v>
      </c>
      <c r="K456" s="1">
        <v>0</v>
      </c>
      <c r="L456" s="1">
        <f>IF(K456 + L455 &lt; 0, K456 + L455, 0)</f>
        <v>0</v>
      </c>
    </row>
    <row r="457" spans="1:12" s="1" customFormat="1">
      <c r="A457" s="3">
        <v>45656</v>
      </c>
      <c r="B457" s="1" t="s">
        <v>12</v>
      </c>
      <c r="C457" s="1">
        <v>13</v>
      </c>
      <c r="D457" s="1">
        <v>20</v>
      </c>
      <c r="E457" s="1">
        <v>0</v>
      </c>
      <c r="F457" s="1">
        <f>IF(E457 + F456 &lt; 0, E457 + F456, 0)</f>
        <v>0</v>
      </c>
      <c r="G457" s="1">
        <v>0</v>
      </c>
      <c r="H457" s="1">
        <f>IF(G457 + H456 &lt; 0, G457 + H456, 0)</f>
        <v>0</v>
      </c>
      <c r="I457" s="1">
        <v>0</v>
      </c>
      <c r="J457" s="1">
        <f>IF(I457 + J456 &lt; 0, I457 + J456, 0)</f>
        <v>0</v>
      </c>
      <c r="K457" s="1">
        <v>0</v>
      </c>
      <c r="L457" s="1">
        <f>IF(K457 + L456 &lt; 0, K457 + L456, 0)</f>
        <v>0</v>
      </c>
    </row>
    <row r="458" spans="1:12" s="1" customFormat="1">
      <c r="A458" s="3">
        <v>45657</v>
      </c>
      <c r="B458" s="1" t="s">
        <v>13</v>
      </c>
      <c r="C458" s="1">
        <v>12</v>
      </c>
      <c r="D458" s="1">
        <v>19</v>
      </c>
      <c r="E458" s="1">
        <v>0</v>
      </c>
      <c r="F458" s="1">
        <f>IF(E458 + F457 &lt; 0, E458 + F457, 0)</f>
        <v>0</v>
      </c>
      <c r="G458" s="1">
        <v>0</v>
      </c>
      <c r="H458" s="1">
        <f>IF(G458 + H457 &lt; 0, G458 + H457, 0)</f>
        <v>0</v>
      </c>
      <c r="I458" s="1">
        <v>0</v>
      </c>
      <c r="J458" s="1">
        <f>IF(I458 + J457 &lt; 0, I458 + J457, 0)</f>
        <v>0</v>
      </c>
      <c r="K458" s="1">
        <v>0</v>
      </c>
      <c r="L458" s="1">
        <f>IF(K458 + L457 &lt; 0, K458 + L457, 0)</f>
        <v>0</v>
      </c>
    </row>
    <row r="459" spans="1:12" s="1" customFormat="1">
      <c r="A459" s="3">
        <v>45658</v>
      </c>
      <c r="B459" s="1" t="s">
        <v>14</v>
      </c>
      <c r="C459" s="1">
        <v>11</v>
      </c>
      <c r="D459" s="1">
        <v>18</v>
      </c>
      <c r="E459" s="1">
        <v>0</v>
      </c>
      <c r="F459" s="1">
        <f>IF(E459 + F458 &lt; 0, E459 + F458, 0)</f>
        <v>0</v>
      </c>
      <c r="G459" s="1">
        <v>0</v>
      </c>
      <c r="H459" s="1">
        <f>IF(G459 + H458 &lt; 0, G459 + H458, 0)</f>
        <v>0</v>
      </c>
      <c r="I459" s="1">
        <v>0</v>
      </c>
      <c r="J459" s="1">
        <f>IF(I459 + J458 &lt; 0, I459 + J458, 0)</f>
        <v>0</v>
      </c>
      <c r="K459" s="1">
        <v>0</v>
      </c>
      <c r="L459" s="1">
        <f>IF(K459 + L458 &lt; 0, K459 + L458, 0)</f>
        <v>0</v>
      </c>
    </row>
    <row r="460" spans="1:12" s="1" customFormat="1">
      <c r="A460" s="3">
        <v>45659</v>
      </c>
      <c r="B460" s="1" t="s">
        <v>16</v>
      </c>
      <c r="C460" s="1">
        <v>10</v>
      </c>
      <c r="D460" s="1">
        <v>17</v>
      </c>
      <c r="E460" s="1">
        <v>51397.67174475424</v>
      </c>
      <c r="F460" s="1">
        <f>IF(E460 + F459 &lt; 0, E460 + F459, 0)</f>
        <v>0</v>
      </c>
      <c r="G460" s="1">
        <v>51397.67174475424</v>
      </c>
      <c r="H460" s="1">
        <f>IF(G460 + H459 &lt; 0, G460 + H459, 0)</f>
        <v>0</v>
      </c>
      <c r="I460" s="1">
        <v>0</v>
      </c>
      <c r="J460" s="1">
        <f>IF(I460 + J459 &lt; 0, I460 + J459, 0)</f>
        <v>0</v>
      </c>
      <c r="K460" s="1">
        <v>0</v>
      </c>
      <c r="L460" s="1">
        <f>IF(K460 + L459 &lt; 0, K460 + L459, 0)</f>
        <v>0</v>
      </c>
    </row>
    <row r="461" spans="1:12" s="1" customFormat="1">
      <c r="A461" s="3">
        <v>45660</v>
      </c>
      <c r="B461" s="1" t="s">
        <v>15</v>
      </c>
      <c r="C461" s="1">
        <v>9</v>
      </c>
      <c r="D461" s="1">
        <v>16</v>
      </c>
      <c r="E461" s="1">
        <v>-77620.02961082911</v>
      </c>
      <c r="F461" s="1">
        <f>IF(E461 + F460 &lt; 0, E461 + F460, 0)</f>
        <v>0</v>
      </c>
      <c r="G461" s="1">
        <v>-125299.6333897349</v>
      </c>
      <c r="H461" s="1">
        <f>IF(G461 + H460 &lt; 0, G461 + H460, 0)</f>
        <v>0</v>
      </c>
      <c r="I461" s="1">
        <v>0</v>
      </c>
      <c r="J461" s="1">
        <f>IF(I461 + J460 &lt; 0, I461 + J460, 0)</f>
        <v>0</v>
      </c>
      <c r="K461" s="1">
        <v>0</v>
      </c>
      <c r="L461" s="1">
        <f>IF(K461 + L460 &lt; 0, K461 + L460, 0)</f>
        <v>0</v>
      </c>
    </row>
    <row r="462" spans="1:12" s="1" customFormat="1">
      <c r="A462" s="3">
        <v>45663</v>
      </c>
      <c r="B462" s="1" t="s">
        <v>12</v>
      </c>
      <c r="C462" s="1">
        <v>8</v>
      </c>
      <c r="D462" s="1">
        <v>15</v>
      </c>
      <c r="E462" s="1">
        <v>49241.49528781136</v>
      </c>
      <c r="F462" s="1">
        <f>IF(E462 + F461 &lt; 0, E462 + F461, 0)</f>
        <v>0</v>
      </c>
      <c r="G462" s="1">
        <v>49241.49528781136</v>
      </c>
      <c r="H462" s="1">
        <f>IF(G462 + H461 &lt; 0, G462 + H461, 0)</f>
        <v>0</v>
      </c>
      <c r="I462" s="1">
        <v>0</v>
      </c>
      <c r="J462" s="1">
        <f>IF(I462 + J461 &lt; 0, I462 + J461, 0)</f>
        <v>0</v>
      </c>
      <c r="K462" s="1">
        <v>0</v>
      </c>
      <c r="L462" s="1">
        <f>IF(K462 + L461 &lt; 0, K462 + L461, 0)</f>
        <v>0</v>
      </c>
    </row>
    <row r="463" spans="1:12" s="1" customFormat="1">
      <c r="A463" s="3">
        <v>45664</v>
      </c>
      <c r="B463" s="1" t="s">
        <v>13</v>
      </c>
      <c r="C463" s="1">
        <v>7</v>
      </c>
      <c r="D463" s="1">
        <v>14</v>
      </c>
      <c r="E463" s="1">
        <v>137609.6684401536</v>
      </c>
      <c r="F463" s="1">
        <f>IF(E463 + F462 &lt; 0, E463 + F462, 0)</f>
        <v>0</v>
      </c>
      <c r="G463" s="1">
        <v>137609.6684401536</v>
      </c>
      <c r="H463" s="1">
        <f>IF(G463 + H462 &lt; 0, G463 + H462, 0)</f>
        <v>0</v>
      </c>
      <c r="I463" s="1">
        <v>0</v>
      </c>
      <c r="J463" s="1">
        <f>IF(I463 + J462 &lt; 0, I463 + J462, 0)</f>
        <v>0</v>
      </c>
      <c r="K463" s="1">
        <v>0</v>
      </c>
      <c r="L463" s="1">
        <f>IF(K463 + L462 &lt; 0, K463 + L462, 0)</f>
        <v>0</v>
      </c>
    </row>
    <row r="464" spans="1:12" s="1" customFormat="1">
      <c r="A464" s="3">
        <v>45665</v>
      </c>
      <c r="B464" s="1" t="s">
        <v>14</v>
      </c>
      <c r="C464" s="1">
        <v>6</v>
      </c>
      <c r="D464" s="1">
        <v>13</v>
      </c>
      <c r="E464" s="1">
        <v>51752.69712422379</v>
      </c>
      <c r="F464" s="1">
        <f>IF(E464 + F463 &lt; 0, E464 + F463, 0)</f>
        <v>0</v>
      </c>
      <c r="G464" s="1">
        <v>19408.88750130086</v>
      </c>
      <c r="H464" s="1">
        <f>IF(G464 + H463 &lt; 0, G464 + H463, 0)</f>
        <v>0</v>
      </c>
      <c r="I464" s="1">
        <v>0</v>
      </c>
      <c r="J464" s="1">
        <f>IF(I464 + J463 &lt; 0, I464 + J463, 0)</f>
        <v>0</v>
      </c>
      <c r="K464" s="1">
        <v>0</v>
      </c>
      <c r="L464" s="1">
        <f>IF(K464 + L463 &lt; 0, K464 + L463, 0)</f>
        <v>0</v>
      </c>
    </row>
    <row r="465" spans="1:12" s="1" customFormat="1">
      <c r="A465" s="3">
        <v>45666</v>
      </c>
      <c r="B465" s="1" t="s">
        <v>16</v>
      </c>
      <c r="C465" s="1">
        <v>5</v>
      </c>
      <c r="D465" s="1">
        <v>12</v>
      </c>
      <c r="E465" s="1">
        <v>55909.71561475842</v>
      </c>
      <c r="F465" s="1">
        <f>IF(E465 + F464 &lt; 0, E465 + F464, 0)</f>
        <v>0</v>
      </c>
      <c r="G465" s="1">
        <v>65687.00003523981</v>
      </c>
      <c r="H465" s="1">
        <f>IF(G465 + H464 &lt; 0, G465 + H464, 0)</f>
        <v>0</v>
      </c>
      <c r="I465" s="1">
        <v>0</v>
      </c>
      <c r="J465" s="1">
        <f>IF(I465 + J464 &lt; 0, I465 + J464, 0)</f>
        <v>0</v>
      </c>
      <c r="K465" s="1">
        <v>0</v>
      </c>
      <c r="L465" s="1">
        <f>IF(K465 + L464 &lt; 0, K465 + L464, 0)</f>
        <v>0</v>
      </c>
    </row>
    <row r="466" spans="1:12" s="1" customFormat="1">
      <c r="A466" s="3">
        <v>45667</v>
      </c>
      <c r="B466" s="1" t="s">
        <v>15</v>
      </c>
      <c r="C466" s="1">
        <v>4</v>
      </c>
      <c r="D466" s="1">
        <v>11</v>
      </c>
      <c r="E466" s="1">
        <v>-356668.0033475138</v>
      </c>
      <c r="F466" s="1">
        <f>IF(E466 + F465 &lt; 0, E466 + F465, 0)</f>
        <v>0</v>
      </c>
      <c r="G466" s="1">
        <v>198723.7603738057</v>
      </c>
      <c r="H466" s="1">
        <f>IF(G466 + H465 &lt; 0, G466 + H465, 0)</f>
        <v>0</v>
      </c>
      <c r="I466" s="1">
        <v>0</v>
      </c>
      <c r="J466" s="1">
        <f>IF(I466 + J465 &lt; 0, I466 + J465, 0)</f>
        <v>0</v>
      </c>
      <c r="K466" s="1">
        <v>0</v>
      </c>
      <c r="L466" s="1">
        <f>IF(K466 + L465 &lt; 0, K466 + L465, 0)</f>
        <v>0</v>
      </c>
    </row>
    <row r="467" spans="1:12" s="1" customFormat="1">
      <c r="A467" s="3">
        <v>45670</v>
      </c>
      <c r="B467" s="1" t="s">
        <v>12</v>
      </c>
      <c r="C467" s="1">
        <v>3</v>
      </c>
      <c r="D467" s="1">
        <v>10</v>
      </c>
      <c r="E467" s="1">
        <v>385802.878556742</v>
      </c>
      <c r="F467" s="1">
        <f>IF(E467 + F466 &lt; 0, E467 + F466, 0)</f>
        <v>0</v>
      </c>
      <c r="G467" s="1">
        <v>385802.878556742</v>
      </c>
      <c r="H467" s="1">
        <f>IF(G467 + H466 &lt; 0, G467 + H466, 0)</f>
        <v>0</v>
      </c>
      <c r="I467" s="1">
        <v>0</v>
      </c>
      <c r="J467" s="1">
        <f>IF(I467 + J466 &lt; 0, I467 + J466, 0)</f>
        <v>0</v>
      </c>
      <c r="K467" s="1">
        <v>0</v>
      </c>
      <c r="L467" s="1">
        <f>IF(K467 + L466 &lt; 0, K467 + L466, 0)</f>
        <v>0</v>
      </c>
    </row>
    <row r="468" spans="1:12" s="1" customFormat="1">
      <c r="A468" s="3">
        <v>45671</v>
      </c>
      <c r="B468" s="1" t="s">
        <v>13</v>
      </c>
      <c r="C468" s="1">
        <v>2</v>
      </c>
      <c r="D468" s="1">
        <v>9</v>
      </c>
      <c r="E468" s="1">
        <v>294431.3105292335</v>
      </c>
      <c r="F468" s="1">
        <f>IF(E468 + F467 &lt; 0, E468 + F467, 0)</f>
        <v>0</v>
      </c>
      <c r="G468" s="1">
        <v>306583.6240910426</v>
      </c>
      <c r="H468" s="1">
        <f>IF(G468 + H467 &lt; 0, G468 + H467, 0)</f>
        <v>0</v>
      </c>
      <c r="I468" s="1">
        <v>0</v>
      </c>
      <c r="J468" s="1">
        <f>IF(I468 + J467 &lt; 0, I468 + J467, 0)</f>
        <v>0</v>
      </c>
      <c r="K468" s="1">
        <v>0</v>
      </c>
      <c r="L468" s="1">
        <f>IF(K468 + L467 &lt; 0, K468 + L467, 0)</f>
        <v>0</v>
      </c>
    </row>
    <row r="469" spans="1:12" s="1" customFormat="1">
      <c r="A469" s="3">
        <v>45672</v>
      </c>
      <c r="B469" s="1" t="s">
        <v>14</v>
      </c>
      <c r="C469" s="1">
        <v>1</v>
      </c>
      <c r="D469" s="1">
        <v>8</v>
      </c>
      <c r="E469" s="1">
        <v>6182.85789839027</v>
      </c>
      <c r="F469" s="1">
        <f>IF(E469 + F468 &lt; 0, E469 + F468, 0)</f>
        <v>0</v>
      </c>
      <c r="G469" s="1">
        <v>-528393.8782930619</v>
      </c>
      <c r="H469" s="1">
        <f>IF(G469 + H468 &lt; 0, G469 + H468, 0)</f>
        <v>0</v>
      </c>
      <c r="I469" s="1">
        <v>0</v>
      </c>
      <c r="J469" s="1">
        <f>IF(I469 + J468 &lt; 0, I469 + J468, 0)</f>
        <v>0</v>
      </c>
      <c r="K469" s="1">
        <v>0</v>
      </c>
      <c r="L469" s="1">
        <f>IF(K469 + L468 &lt; 0, K469 + L468, 0)</f>
        <v>0</v>
      </c>
    </row>
    <row r="470" spans="1:12" s="1" customFormat="1">
      <c r="A470" s="3">
        <v>45673</v>
      </c>
      <c r="B470" s="1" t="s">
        <v>16</v>
      </c>
      <c r="C470" s="1">
        <v>24</v>
      </c>
      <c r="D470" s="1">
        <v>7</v>
      </c>
      <c r="E470" s="1">
        <v>0</v>
      </c>
      <c r="F470" s="1">
        <f>IF(E470 + F469 &lt; 0, E470 + F469, 0)</f>
        <v>0</v>
      </c>
      <c r="G470" s="1">
        <v>0</v>
      </c>
      <c r="H470" s="1">
        <f>IF(G470 + H469 &lt; 0, G470 + H469, 0)</f>
        <v>0</v>
      </c>
      <c r="I470" s="1">
        <v>0</v>
      </c>
      <c r="J470" s="1">
        <f>IF(I470 + J469 &lt; 0, I470 + J469, 0)</f>
        <v>0</v>
      </c>
      <c r="K470" s="1">
        <v>0</v>
      </c>
      <c r="L470" s="1">
        <f>IF(K470 + L469 &lt; 0, K470 + L469, 0)</f>
        <v>0</v>
      </c>
    </row>
    <row r="471" spans="1:12" s="1" customFormat="1">
      <c r="A471" s="3">
        <v>45674</v>
      </c>
      <c r="B471" s="1" t="s">
        <v>15</v>
      </c>
      <c r="C471" s="1">
        <v>23</v>
      </c>
      <c r="D471" s="1">
        <v>6</v>
      </c>
      <c r="E471" s="1">
        <v>0</v>
      </c>
      <c r="F471" s="1">
        <f>IF(E471 + F470 &lt; 0, E471 + F470, 0)</f>
        <v>0</v>
      </c>
      <c r="G471" s="1">
        <v>0</v>
      </c>
      <c r="H471" s="1">
        <f>IF(G471 + H470 &lt; 0, G471 + H470, 0)</f>
        <v>0</v>
      </c>
      <c r="I471" s="1">
        <v>111161.6276426461</v>
      </c>
      <c r="J471" s="1">
        <f>IF(I471 + J470 &lt; 0, I471 + J470, 0)</f>
        <v>0</v>
      </c>
      <c r="K471" s="1">
        <v>111161.6276426461</v>
      </c>
      <c r="L471" s="1">
        <f>IF(K471 + L470 &lt; 0, K471 + L470, 0)</f>
        <v>0</v>
      </c>
    </row>
    <row r="472" spans="1:12" s="1" customFormat="1">
      <c r="A472" s="3">
        <v>45677</v>
      </c>
      <c r="B472" s="1" t="s">
        <v>12</v>
      </c>
      <c r="C472" s="1">
        <v>22</v>
      </c>
      <c r="D472" s="1">
        <v>5</v>
      </c>
      <c r="E472" s="1">
        <v>0</v>
      </c>
      <c r="F472" s="1">
        <f>IF(E472 + F471 &lt; 0, E472 + F471, 0)</f>
        <v>0</v>
      </c>
      <c r="G472" s="1">
        <v>0</v>
      </c>
      <c r="H472" s="1">
        <f>IF(G472 + H471 &lt; 0, G472 + H471, 0)</f>
        <v>0</v>
      </c>
      <c r="I472" s="1">
        <v>123160.8320649417</v>
      </c>
      <c r="J472" s="1">
        <f>IF(I472 + J471 &lt; 0, I472 + J471, 0)</f>
        <v>0</v>
      </c>
      <c r="K472" s="1">
        <v>123160.8320649417</v>
      </c>
      <c r="L472" s="1">
        <f>IF(K472 + L471 &lt; 0, K472 + L471, 0)</f>
        <v>0</v>
      </c>
    </row>
    <row r="473" spans="1:12" s="1" customFormat="1">
      <c r="A473" s="3">
        <v>45678</v>
      </c>
      <c r="B473" s="1" t="s">
        <v>13</v>
      </c>
      <c r="C473" s="1">
        <v>21</v>
      </c>
      <c r="D473" s="1">
        <v>4</v>
      </c>
      <c r="E473" s="1">
        <v>0</v>
      </c>
      <c r="F473" s="1">
        <f>IF(E473 + F472 &lt; 0, E473 + F472, 0)</f>
        <v>0</v>
      </c>
      <c r="G473" s="1">
        <v>0</v>
      </c>
      <c r="H473" s="1">
        <f>IF(G473 + H472 &lt; 0, G473 + H472, 0)</f>
        <v>0</v>
      </c>
      <c r="I473" s="1">
        <v>101621.8955904714</v>
      </c>
      <c r="J473" s="1">
        <f>IF(I473 + J472 &lt; 0, I473 + J472, 0)</f>
        <v>0</v>
      </c>
      <c r="K473" s="1">
        <v>101621.8955904714</v>
      </c>
      <c r="L473" s="1">
        <f>IF(K473 + L472 &lt; 0, K473 + L472, 0)</f>
        <v>0</v>
      </c>
    </row>
    <row r="474" spans="1:12" s="1" customFormat="1">
      <c r="A474" s="3">
        <v>45679</v>
      </c>
      <c r="B474" s="1" t="s">
        <v>14</v>
      </c>
      <c r="C474" s="1">
        <v>20</v>
      </c>
      <c r="D474" s="1">
        <v>3</v>
      </c>
      <c r="E474" s="1">
        <v>0</v>
      </c>
      <c r="F474" s="1">
        <f>IF(E474 + F473 &lt; 0, E474 + F473, 0)</f>
        <v>0</v>
      </c>
      <c r="G474" s="1">
        <v>0</v>
      </c>
      <c r="H474" s="1">
        <f>IF(G474 + H473 &lt; 0, G474 + H473, 0)</f>
        <v>0</v>
      </c>
      <c r="I474" s="1">
        <v>-95815.17559600103</v>
      </c>
      <c r="J474" s="1">
        <f>IF(I474 + J473 &lt; 0, I474 + J473, 0)</f>
        <v>0</v>
      </c>
      <c r="K474" s="1">
        <v>-95488.33632401947</v>
      </c>
      <c r="L474" s="1">
        <f>IF(K474 + L473 &lt; 0, K474 + L473, 0)</f>
        <v>0</v>
      </c>
    </row>
    <row r="475" spans="1:12" s="1" customFormat="1">
      <c r="A475" s="3">
        <v>45680</v>
      </c>
      <c r="B475" s="1" t="s">
        <v>16</v>
      </c>
      <c r="C475" s="1">
        <v>19</v>
      </c>
      <c r="D475" s="1">
        <v>2</v>
      </c>
      <c r="E475" s="1">
        <v>0</v>
      </c>
      <c r="F475" s="1">
        <f>IF(E475 + F474 &lt; 0, E475 + F474, 0)</f>
        <v>0</v>
      </c>
      <c r="G475" s="1">
        <v>0</v>
      </c>
      <c r="H475" s="1">
        <f>IF(G475 + H474 &lt; 0, G475 + H474, 0)</f>
        <v>0</v>
      </c>
      <c r="I475" s="1">
        <v>208793.4809048894</v>
      </c>
      <c r="J475" s="1">
        <f>IF(I475 + J474 &lt; 0, I475 + J474, 0)</f>
        <v>0</v>
      </c>
      <c r="K475" s="1">
        <v>208793.4809048894</v>
      </c>
      <c r="L475" s="1">
        <f>IF(K475 + L474 &lt; 0, K475 + L474, 0)</f>
        <v>0</v>
      </c>
    </row>
    <row r="476" spans="1:12" s="1" customFormat="1">
      <c r="A476" s="3">
        <v>45681</v>
      </c>
      <c r="B476" s="1" t="s">
        <v>15</v>
      </c>
      <c r="C476" s="1">
        <v>18</v>
      </c>
      <c r="D476" s="1">
        <v>1</v>
      </c>
      <c r="E476" s="1">
        <v>0</v>
      </c>
      <c r="F476" s="1">
        <f>IF(E476 + F475 &lt; 0, E476 + F475, 0)</f>
        <v>0</v>
      </c>
      <c r="G476" s="1">
        <v>0</v>
      </c>
      <c r="H476" s="1">
        <f>IF(G476 + H475 &lt; 0, G476 + H475, 0)</f>
        <v>0</v>
      </c>
      <c r="I476" s="1">
        <v>198289.1832229581</v>
      </c>
      <c r="J476" s="1">
        <f>IF(I476 + J475 &lt; 0, I476 + J475, 0)</f>
        <v>0</v>
      </c>
      <c r="K476" s="1">
        <v>198289.1832229581</v>
      </c>
      <c r="L476" s="1">
        <f>IF(K476 + L475 &lt; 0, K476 + L475, 0)</f>
        <v>0</v>
      </c>
    </row>
    <row r="477" spans="1:12" s="1" customFormat="1">
      <c r="A477" s="3">
        <v>45684</v>
      </c>
      <c r="B477" s="1" t="s">
        <v>12</v>
      </c>
      <c r="C477" s="1">
        <v>17</v>
      </c>
      <c r="D477" s="1">
        <v>21</v>
      </c>
      <c r="E477" s="1">
        <v>0</v>
      </c>
      <c r="F477" s="1">
        <f>IF(E477 + F476 &lt; 0, E477 + F476, 0)</f>
        <v>0</v>
      </c>
      <c r="G477" s="1">
        <v>0</v>
      </c>
      <c r="H477" s="1">
        <f>IF(G477 + H476 &lt; 0, G477 + H476, 0)</f>
        <v>0</v>
      </c>
      <c r="I477" s="1">
        <v>0</v>
      </c>
      <c r="J477" s="1">
        <f>IF(I477 + J476 &lt; 0, I477 + J476, 0)</f>
        <v>0</v>
      </c>
      <c r="K477" s="1">
        <v>0</v>
      </c>
      <c r="L477" s="1">
        <f>IF(K477 + L476 &lt; 0, K477 + L476, 0)</f>
        <v>0</v>
      </c>
    </row>
    <row r="478" spans="1:12" s="1" customFormat="1">
      <c r="A478" s="3">
        <v>45685</v>
      </c>
      <c r="B478" s="1" t="s">
        <v>13</v>
      </c>
      <c r="C478" s="1">
        <v>16</v>
      </c>
      <c r="D478" s="1">
        <v>20</v>
      </c>
      <c r="E478" s="1">
        <v>0</v>
      </c>
      <c r="F478" s="1">
        <f>IF(E478 + F477 &lt; 0, E478 + F477, 0)</f>
        <v>0</v>
      </c>
      <c r="G478" s="1">
        <v>0</v>
      </c>
      <c r="H478" s="1">
        <f>IF(G478 + H477 &lt; 0, G478 + H477, 0)</f>
        <v>0</v>
      </c>
      <c r="I478" s="1">
        <v>0</v>
      </c>
      <c r="J478" s="1">
        <f>IF(I478 + J477 &lt; 0, I478 + J477, 0)</f>
        <v>0</v>
      </c>
      <c r="K478" s="1">
        <v>0</v>
      </c>
      <c r="L478" s="1">
        <f>IF(K478 + L477 &lt; 0, K478 + L477, 0)</f>
        <v>0</v>
      </c>
    </row>
    <row r="479" spans="1:12" s="1" customFormat="1">
      <c r="A479" s="3">
        <v>45686</v>
      </c>
      <c r="B479" s="1" t="s">
        <v>14</v>
      </c>
      <c r="C479" s="1">
        <v>15</v>
      </c>
      <c r="D479" s="1">
        <v>19</v>
      </c>
      <c r="E479" s="1">
        <v>0</v>
      </c>
      <c r="F479" s="1">
        <f>IF(E479 + F478 &lt; 0, E479 + F478, 0)</f>
        <v>0</v>
      </c>
      <c r="G479" s="1">
        <v>0</v>
      </c>
      <c r="H479" s="1">
        <f>IF(G479 + H478 &lt; 0, G479 + H478, 0)</f>
        <v>0</v>
      </c>
      <c r="I479" s="1">
        <v>0</v>
      </c>
      <c r="J479" s="1">
        <f>IF(I479 + J478 &lt; 0, I479 + J478, 0)</f>
        <v>0</v>
      </c>
      <c r="K479" s="1">
        <v>0</v>
      </c>
      <c r="L479" s="1">
        <f>IF(K479 + L478 &lt; 0, K479 + L478, 0)</f>
        <v>0</v>
      </c>
    </row>
    <row r="480" spans="1:12" s="1" customFormat="1">
      <c r="A480" s="3">
        <v>45687</v>
      </c>
      <c r="B480" s="1" t="s">
        <v>16</v>
      </c>
      <c r="C480" s="1">
        <v>14</v>
      </c>
      <c r="D480" s="1">
        <v>18</v>
      </c>
      <c r="E480" s="1">
        <v>0</v>
      </c>
      <c r="F480" s="1">
        <f>IF(E480 + F479 &lt; 0, E480 + F479, 0)</f>
        <v>0</v>
      </c>
      <c r="G480" s="1">
        <v>0</v>
      </c>
      <c r="H480" s="1">
        <f>IF(G480 + H479 &lt; 0, G480 + H479, 0)</f>
        <v>0</v>
      </c>
      <c r="I480" s="1">
        <v>0</v>
      </c>
      <c r="J480" s="1">
        <f>IF(I480 + J479 &lt; 0, I480 + J479, 0)</f>
        <v>0</v>
      </c>
      <c r="K480" s="1">
        <v>0</v>
      </c>
      <c r="L480" s="1">
        <f>IF(K480 + L479 &lt; 0, K480 + L479, 0)</f>
        <v>0</v>
      </c>
    </row>
    <row r="481" spans="1:12" s="1" customFormat="1">
      <c r="A481" s="3">
        <v>45688</v>
      </c>
      <c r="B481" s="1" t="s">
        <v>15</v>
      </c>
      <c r="C481" s="1">
        <v>13</v>
      </c>
      <c r="D481" s="1">
        <v>17</v>
      </c>
      <c r="E481" s="1">
        <v>0</v>
      </c>
      <c r="F481" s="1">
        <f>IF(E481 + F480 &lt; 0, E481 + F480, 0)</f>
        <v>0</v>
      </c>
      <c r="G481" s="1">
        <v>0</v>
      </c>
      <c r="H481" s="1">
        <f>IF(G481 + H480 &lt; 0, G481 + H480, 0)</f>
        <v>0</v>
      </c>
      <c r="I481" s="1">
        <v>0</v>
      </c>
      <c r="J481" s="1">
        <f>IF(I481 + J480 &lt; 0, I481 + J480, 0)</f>
        <v>0</v>
      </c>
      <c r="K481" s="1">
        <v>0</v>
      </c>
      <c r="L481" s="1">
        <f>IF(K481 + L480 &lt; 0, K481 + L480, 0)</f>
        <v>0</v>
      </c>
    </row>
    <row r="482" spans="1:12" s="1" customFormat="1">
      <c r="A482" s="3">
        <v>45689</v>
      </c>
      <c r="B482" s="1" t="s">
        <v>18</v>
      </c>
      <c r="C482" s="1">
        <v>12</v>
      </c>
      <c r="D482" s="1">
        <v>16</v>
      </c>
      <c r="E482" s="1">
        <v>0</v>
      </c>
      <c r="F482" s="1">
        <f>IF(E482 + F481 &lt; 0, E482 + F481, 0)</f>
        <v>0</v>
      </c>
      <c r="G482" s="1">
        <v>0</v>
      </c>
      <c r="H482" s="1">
        <f>IF(G482 + H481 &lt; 0, G482 + H481, 0)</f>
        <v>0</v>
      </c>
      <c r="I482" s="1">
        <v>0</v>
      </c>
      <c r="J482" s="1">
        <f>IF(I482 + J481 &lt; 0, I482 + J481, 0)</f>
        <v>0</v>
      </c>
      <c r="K482" s="1">
        <v>0</v>
      </c>
      <c r="L482" s="1">
        <f>IF(K482 + L481 &lt; 0, K482 + L481, 0)</f>
        <v>0</v>
      </c>
    </row>
    <row r="483" spans="1:12" s="1" customFormat="1">
      <c r="A483" s="3">
        <v>45691</v>
      </c>
      <c r="B483" s="1" t="s">
        <v>12</v>
      </c>
      <c r="C483" s="1">
        <v>11</v>
      </c>
      <c r="D483" s="1">
        <v>15</v>
      </c>
      <c r="E483" s="1">
        <v>0</v>
      </c>
      <c r="F483" s="1">
        <f>IF(E483 + F482 &lt; 0, E483 + F482, 0)</f>
        <v>0</v>
      </c>
      <c r="G483" s="1">
        <v>0</v>
      </c>
      <c r="H483" s="1">
        <f>IF(G483 + H482 &lt; 0, G483 + H482, 0)</f>
        <v>0</v>
      </c>
      <c r="I483" s="1">
        <v>0</v>
      </c>
      <c r="J483" s="1">
        <f>IF(I483 + J482 &lt; 0, I483 + J482, 0)</f>
        <v>0</v>
      </c>
      <c r="K483" s="1">
        <v>0</v>
      </c>
      <c r="L483" s="1">
        <f>IF(K483 + L482 &lt; 0, K483 + L482, 0)</f>
        <v>0</v>
      </c>
    </row>
    <row r="484" spans="1:12" s="1" customFormat="1">
      <c r="A484" s="3">
        <v>45692</v>
      </c>
      <c r="B484" s="1" t="s">
        <v>13</v>
      </c>
      <c r="C484" s="1">
        <v>10</v>
      </c>
      <c r="D484" s="1">
        <v>14</v>
      </c>
      <c r="E484" s="1">
        <v>35461.84173472256</v>
      </c>
      <c r="F484" s="1">
        <f>IF(E484 + F483 &lt; 0, E484 + F483, 0)</f>
        <v>0</v>
      </c>
      <c r="G484" s="1">
        <v>179262.8836947339</v>
      </c>
      <c r="H484" s="1">
        <f>IF(G484 + H483 &lt; 0, G484 + H483, 0)</f>
        <v>0</v>
      </c>
      <c r="I484" s="1">
        <v>0</v>
      </c>
      <c r="J484" s="1">
        <f>IF(I484 + J483 &lt; 0, I484 + J483, 0)</f>
        <v>0</v>
      </c>
      <c r="K484" s="1">
        <v>0</v>
      </c>
      <c r="L484" s="1">
        <f>IF(K484 + L483 &lt; 0, K484 + L483, 0)</f>
        <v>0</v>
      </c>
    </row>
    <row r="485" spans="1:12" s="1" customFormat="1">
      <c r="A485" s="3">
        <v>45693</v>
      </c>
      <c r="B485" s="1" t="s">
        <v>14</v>
      </c>
      <c r="C485" s="1">
        <v>9</v>
      </c>
      <c r="D485" s="1">
        <v>13</v>
      </c>
      <c r="E485" s="1">
        <v>103433.1295242111</v>
      </c>
      <c r="F485" s="1">
        <f>IF(E485 + F484 &lt; 0, E485 + F484, 0)</f>
        <v>0</v>
      </c>
      <c r="G485" s="1">
        <v>103433.1295242111</v>
      </c>
      <c r="H485" s="1">
        <f>IF(G485 + H484 &lt; 0, G485 + H484, 0)</f>
        <v>0</v>
      </c>
      <c r="I485" s="1">
        <v>0</v>
      </c>
      <c r="J485" s="1">
        <f>IF(I485 + J484 &lt; 0, I485 + J484, 0)</f>
        <v>0</v>
      </c>
      <c r="K485" s="1">
        <v>0</v>
      </c>
      <c r="L485" s="1">
        <f>IF(K485 + L484 &lt; 0, K485 + L484, 0)</f>
        <v>0</v>
      </c>
    </row>
    <row r="486" spans="1:12" s="1" customFormat="1">
      <c r="A486" s="3">
        <v>45694</v>
      </c>
      <c r="B486" s="1" t="s">
        <v>16</v>
      </c>
      <c r="C486" s="1">
        <v>8</v>
      </c>
      <c r="D486" s="1">
        <v>12</v>
      </c>
      <c r="E486" s="1">
        <v>44754.07502313334</v>
      </c>
      <c r="F486" s="1">
        <f>IF(E486 + F485 &lt; 0, E486 + F485, 0)</f>
        <v>0</v>
      </c>
      <c r="G486" s="1">
        <v>44754.07502313334</v>
      </c>
      <c r="H486" s="1">
        <f>IF(G486 + H485 &lt; 0, G486 + H485, 0)</f>
        <v>0</v>
      </c>
      <c r="I486" s="1">
        <v>0</v>
      </c>
      <c r="J486" s="1">
        <f>IF(I486 + J485 &lt; 0, I486 + J485, 0)</f>
        <v>0</v>
      </c>
      <c r="K486" s="1">
        <v>0</v>
      </c>
      <c r="L486" s="1">
        <f>IF(K486 + L485 &lt; 0, K486 + L485, 0)</f>
        <v>0</v>
      </c>
    </row>
    <row r="487" spans="1:12" s="1" customFormat="1">
      <c r="A487" s="3">
        <v>45695</v>
      </c>
      <c r="B487" s="1" t="s">
        <v>15</v>
      </c>
      <c r="C487" s="1">
        <v>7</v>
      </c>
      <c r="D487" s="1">
        <v>11</v>
      </c>
      <c r="E487" s="1">
        <v>126134.1716082018</v>
      </c>
      <c r="F487" s="1">
        <f>IF(E487 + F486 &lt; 0, E487 + F486, 0)</f>
        <v>0</v>
      </c>
      <c r="G487" s="1">
        <v>126134.1716082018</v>
      </c>
      <c r="H487" s="1">
        <f>IF(G487 + H486 &lt; 0, G487 + H486, 0)</f>
        <v>0</v>
      </c>
      <c r="I487" s="1">
        <v>0</v>
      </c>
      <c r="J487" s="1">
        <f>IF(I487 + J486 &lt; 0, I487 + J486, 0)</f>
        <v>0</v>
      </c>
      <c r="K487" s="1">
        <v>0</v>
      </c>
      <c r="L487" s="1">
        <f>IF(K487 + L486 &lt; 0, K487 + L486, 0)</f>
        <v>0</v>
      </c>
    </row>
    <row r="488" spans="1:12" s="1" customFormat="1">
      <c r="A488" s="3">
        <v>45698</v>
      </c>
      <c r="B488" s="1" t="s">
        <v>12</v>
      </c>
      <c r="C488" s="1">
        <v>6</v>
      </c>
      <c r="D488" s="1">
        <v>10</v>
      </c>
      <c r="E488" s="1">
        <v>113553.5670073922</v>
      </c>
      <c r="F488" s="1">
        <f>IF(E488 + F487 &lt; 0, E488 + F487, 0)</f>
        <v>0</v>
      </c>
      <c r="G488" s="1">
        <v>113553.5670073922</v>
      </c>
      <c r="H488" s="1">
        <f>IF(G488 + H487 &lt; 0, G488 + H487, 0)</f>
        <v>0</v>
      </c>
      <c r="I488" s="1">
        <v>0</v>
      </c>
      <c r="J488" s="1">
        <f>IF(I488 + J487 &lt; 0, I488 + J487, 0)</f>
        <v>0</v>
      </c>
      <c r="K488" s="1">
        <v>0</v>
      </c>
      <c r="L488" s="1">
        <f>IF(K488 + L487 &lt; 0, K488 + L487, 0)</f>
        <v>0</v>
      </c>
    </row>
    <row r="489" spans="1:12" s="1" customFormat="1">
      <c r="A489" s="3">
        <v>45699</v>
      </c>
      <c r="B489" s="1" t="s">
        <v>13</v>
      </c>
      <c r="C489" s="1">
        <v>5</v>
      </c>
      <c r="D489" s="1">
        <v>9</v>
      </c>
      <c r="E489" s="1">
        <v>97392.5842854139</v>
      </c>
      <c r="F489" s="1">
        <f>IF(E489 + F488 &lt; 0, E489 + F488, 0)</f>
        <v>0</v>
      </c>
      <c r="G489" s="1">
        <v>97392.5842854139</v>
      </c>
      <c r="H489" s="1">
        <f>IF(G489 + H488 &lt; 0, G489 + H488, 0)</f>
        <v>0</v>
      </c>
      <c r="I489" s="1">
        <v>0</v>
      </c>
      <c r="J489" s="1">
        <f>IF(I489 + J488 &lt; 0, I489 + J488, 0)</f>
        <v>0</v>
      </c>
      <c r="K489" s="1">
        <v>0</v>
      </c>
      <c r="L489" s="1">
        <f>IF(K489 + L488 &lt; 0, K489 + L488, 0)</f>
        <v>0</v>
      </c>
    </row>
    <row r="490" spans="1:12" s="1" customFormat="1">
      <c r="A490" s="3">
        <v>45700</v>
      </c>
      <c r="B490" s="1" t="s">
        <v>14</v>
      </c>
      <c r="C490" s="1">
        <v>4</v>
      </c>
      <c r="D490" s="1">
        <v>8</v>
      </c>
      <c r="E490" s="1">
        <v>-23886.25592417059</v>
      </c>
      <c r="F490" s="1">
        <f>IF(E490 + F489 &lt; 0, E490 + F489, 0)</f>
        <v>0</v>
      </c>
      <c r="G490" s="1">
        <v>-4932.420572231002</v>
      </c>
      <c r="H490" s="1">
        <f>IF(G490 + H489 &lt; 0, G490 + H489, 0)</f>
        <v>0</v>
      </c>
      <c r="I490" s="1">
        <v>0</v>
      </c>
      <c r="J490" s="1">
        <f>IF(I490 + J489 &lt; 0, I490 + J489, 0)</f>
        <v>0</v>
      </c>
      <c r="K490" s="1">
        <v>0</v>
      </c>
      <c r="L490" s="1">
        <f>IF(K490 + L489 &lt; 0, K490 + L489, 0)</f>
        <v>0</v>
      </c>
    </row>
    <row r="491" spans="1:12" s="1" customFormat="1">
      <c r="A491" s="3">
        <v>45701</v>
      </c>
      <c r="B491" s="1" t="s">
        <v>16</v>
      </c>
      <c r="C491" s="1">
        <v>3</v>
      </c>
      <c r="D491" s="1">
        <v>7</v>
      </c>
      <c r="E491" s="1">
        <v>145110.8943794249</v>
      </c>
      <c r="F491" s="1">
        <f>IF(E491 + F490 &lt; 0, E491 + F490, 0)</f>
        <v>0</v>
      </c>
      <c r="G491" s="1">
        <v>176257.0437798006</v>
      </c>
      <c r="H491" s="1">
        <f>IF(G491 + H490 &lt; 0, G491 + H490, 0)</f>
        <v>0</v>
      </c>
      <c r="I491" s="1">
        <v>0</v>
      </c>
      <c r="J491" s="1">
        <f>IF(I491 + J490 &lt; 0, I491 + J490, 0)</f>
        <v>0</v>
      </c>
      <c r="K491" s="1">
        <v>0</v>
      </c>
      <c r="L491" s="1">
        <f>IF(K491 + L490 &lt; 0, K491 + L490, 0)</f>
        <v>0</v>
      </c>
    </row>
    <row r="492" spans="1:12" s="1" customFormat="1">
      <c r="A492" s="3">
        <v>45702</v>
      </c>
      <c r="B492" s="1" t="s">
        <v>15</v>
      </c>
      <c r="C492" s="1">
        <v>2</v>
      </c>
      <c r="D492" s="1">
        <v>6</v>
      </c>
      <c r="E492" s="1">
        <v>61067.23260978582</v>
      </c>
      <c r="F492" s="1">
        <f>IF(E492 + F491 &lt; 0, E492 + F491, 0)</f>
        <v>0</v>
      </c>
      <c r="G492" s="1">
        <v>100204.1693531055</v>
      </c>
      <c r="H492" s="1">
        <f>IF(G492 + H491 &lt; 0, G492 + H491, 0)</f>
        <v>0</v>
      </c>
      <c r="I492" s="1">
        <v>5917.937927406624</v>
      </c>
      <c r="J492" s="1">
        <f>IF(I492 + J491 &lt; 0, I492 + J491, 0)</f>
        <v>0</v>
      </c>
      <c r="K492" s="1">
        <v>5917.937927406624</v>
      </c>
      <c r="L492" s="1">
        <f>IF(K492 + L491 &lt; 0, K492 + L491, 0)</f>
        <v>0</v>
      </c>
    </row>
    <row r="493" spans="1:12" s="1" customFormat="1">
      <c r="A493" s="3">
        <v>45705</v>
      </c>
      <c r="B493" s="1" t="s">
        <v>12</v>
      </c>
      <c r="C493" s="1">
        <v>1</v>
      </c>
      <c r="D493" s="1">
        <v>5</v>
      </c>
      <c r="E493" s="1">
        <v>101336.8451540495</v>
      </c>
      <c r="F493" s="1">
        <f>IF(E493 + F492 &lt; 0, E493 + F492, 0)</f>
        <v>0</v>
      </c>
      <c r="G493" s="1">
        <v>188316.8603598711</v>
      </c>
      <c r="H493" s="1">
        <f>IF(G493 + H492 &lt; 0, G493 + H492, 0)</f>
        <v>0</v>
      </c>
      <c r="I493" s="1">
        <v>87877.18369507676</v>
      </c>
      <c r="J493" s="1">
        <f>IF(I493 + J492 &lt; 0, I493 + J492, 0)</f>
        <v>0</v>
      </c>
      <c r="K493" s="1">
        <v>87877.18369507676</v>
      </c>
      <c r="L493" s="1">
        <f>IF(K493 + L492 &lt; 0, K493 + L492, 0)</f>
        <v>0</v>
      </c>
    </row>
    <row r="494" spans="1:12" s="1" customFormat="1">
      <c r="A494" s="3">
        <v>45706</v>
      </c>
      <c r="B494" s="1" t="s">
        <v>13</v>
      </c>
      <c r="C494" s="1">
        <v>20</v>
      </c>
      <c r="D494" s="1">
        <v>4</v>
      </c>
      <c r="E494" s="1">
        <v>0</v>
      </c>
      <c r="F494" s="1">
        <f>IF(E494 + F493 &lt; 0, E494 + F493, 0)</f>
        <v>0</v>
      </c>
      <c r="G494" s="1">
        <v>0</v>
      </c>
      <c r="H494" s="1">
        <f>IF(G494 + H493 &lt; 0, G494 + H493, 0)</f>
        <v>0</v>
      </c>
      <c r="I494" s="1">
        <v>-6226.59176029962</v>
      </c>
      <c r="J494" s="1">
        <f>IF(I494 + J493 &lt; 0, I494 + J493, 0)</f>
        <v>0</v>
      </c>
      <c r="K494" s="1">
        <v>-309604.0663456394</v>
      </c>
      <c r="L494" s="1">
        <f>IF(K494 + L493 &lt; 0, K494 + L493, 0)</f>
        <v>0</v>
      </c>
    </row>
    <row r="495" spans="1:12" s="1" customFormat="1">
      <c r="A495" s="3">
        <v>45707</v>
      </c>
      <c r="B495" s="1" t="s">
        <v>14</v>
      </c>
      <c r="C495" s="1">
        <v>19</v>
      </c>
      <c r="D495" s="1">
        <v>3</v>
      </c>
      <c r="E495" s="1">
        <v>0</v>
      </c>
      <c r="F495" s="1">
        <f>IF(E495 + F494 &lt; 0, E495 + F494, 0)</f>
        <v>0</v>
      </c>
      <c r="G495" s="1">
        <v>0</v>
      </c>
      <c r="H495" s="1">
        <f>IF(G495 + H494 &lt; 0, G495 + H494, 0)</f>
        <v>0</v>
      </c>
      <c r="I495" s="1">
        <v>-275762.0481927711</v>
      </c>
      <c r="J495" s="1">
        <f>IF(I495 + J494 &lt; 0, I495 + J494, 0)</f>
        <v>0</v>
      </c>
      <c r="K495" s="1">
        <v>-304307.2289156626</v>
      </c>
      <c r="L495" s="1">
        <f>IF(K495 + L494 &lt; 0, K495 + L494, 0)</f>
        <v>0</v>
      </c>
    </row>
    <row r="496" spans="1:12" s="1" customFormat="1">
      <c r="A496" s="3">
        <v>45708</v>
      </c>
      <c r="B496" s="1" t="s">
        <v>16</v>
      </c>
      <c r="C496" s="1">
        <v>18</v>
      </c>
      <c r="D496" s="1">
        <v>2</v>
      </c>
      <c r="E496" s="1">
        <v>0</v>
      </c>
      <c r="F496" s="1">
        <f>IF(E496 + F495 &lt; 0, E496 + F495, 0)</f>
        <v>0</v>
      </c>
      <c r="G496" s="1">
        <v>0</v>
      </c>
      <c r="H496" s="1">
        <f>IF(G496 + H495 &lt; 0, G496 + H495, 0)</f>
        <v>0</v>
      </c>
      <c r="I496" s="1">
        <v>206935.874834729</v>
      </c>
      <c r="J496" s="1">
        <f>IF(I496 + J495 &lt; 0, I496 + J495, 0)</f>
        <v>0</v>
      </c>
      <c r="K496" s="1">
        <v>206935.874834729</v>
      </c>
      <c r="L496" s="1">
        <f>IF(K496 + L495 &lt; 0, K496 + L495, 0)</f>
        <v>0</v>
      </c>
    </row>
    <row r="497" spans="1:12" s="1" customFormat="1">
      <c r="A497" s="3">
        <v>45709</v>
      </c>
      <c r="B497" s="1" t="s">
        <v>15</v>
      </c>
      <c r="C497" s="1">
        <v>17</v>
      </c>
      <c r="D497" s="1">
        <v>1</v>
      </c>
      <c r="E497" s="1">
        <v>0</v>
      </c>
      <c r="F497" s="1">
        <f>IF(E497 + F496 &lt; 0, E497 + F496, 0)</f>
        <v>0</v>
      </c>
      <c r="G497" s="1">
        <v>0</v>
      </c>
      <c r="H497" s="1">
        <f>IF(G497 + H496 &lt; 0, G497 + H496, 0)</f>
        <v>0</v>
      </c>
      <c r="I497" s="1">
        <v>-23746.26178974005</v>
      </c>
      <c r="J497" s="1">
        <f>IF(I497 + J496 &lt; 0, I497 + J496, 0)</f>
        <v>0</v>
      </c>
      <c r="K497" s="1">
        <v>188299.4018863584</v>
      </c>
      <c r="L497" s="1">
        <f>IF(K497 + L496 &lt; 0, K497 + L496, 0)</f>
        <v>0</v>
      </c>
    </row>
    <row r="498" spans="1:12" s="1" customFormat="1">
      <c r="A498" s="3">
        <v>45712</v>
      </c>
      <c r="B498" s="1" t="s">
        <v>12</v>
      </c>
      <c r="C498" s="1">
        <v>16</v>
      </c>
      <c r="D498" s="1">
        <v>21</v>
      </c>
      <c r="E498" s="1">
        <v>0</v>
      </c>
      <c r="F498" s="1">
        <f>IF(E498 + F497 &lt; 0, E498 + F497, 0)</f>
        <v>0</v>
      </c>
      <c r="G498" s="1">
        <v>0</v>
      </c>
      <c r="H498" s="1">
        <f>IF(G498 + H497 &lt; 0, G498 + H497, 0)</f>
        <v>0</v>
      </c>
      <c r="I498" s="1">
        <v>0</v>
      </c>
      <c r="J498" s="1">
        <f>IF(I498 + J497 &lt; 0, I498 + J497, 0)</f>
        <v>0</v>
      </c>
      <c r="K498" s="1">
        <v>0</v>
      </c>
      <c r="L498" s="1">
        <f>IF(K498 + L497 &lt; 0, K498 + L497, 0)</f>
        <v>0</v>
      </c>
    </row>
    <row r="499" spans="1:12" s="1" customFormat="1">
      <c r="A499" s="3">
        <v>45713</v>
      </c>
      <c r="B499" s="1" t="s">
        <v>13</v>
      </c>
      <c r="C499" s="1">
        <v>15</v>
      </c>
      <c r="D499" s="1">
        <v>20</v>
      </c>
      <c r="E499" s="1">
        <v>0</v>
      </c>
      <c r="F499" s="1">
        <f>IF(E499 + F498 &lt; 0, E499 + F498, 0)</f>
        <v>0</v>
      </c>
      <c r="G499" s="1">
        <v>0</v>
      </c>
      <c r="H499" s="1">
        <f>IF(G499 + H498 &lt; 0, G499 + H498, 0)</f>
        <v>0</v>
      </c>
      <c r="I499" s="1">
        <v>0</v>
      </c>
      <c r="J499" s="1">
        <f>IF(I499 + J498 &lt; 0, I499 + J498, 0)</f>
        <v>0</v>
      </c>
      <c r="K499" s="1">
        <v>0</v>
      </c>
      <c r="L499" s="1">
        <f>IF(K499 + L498 &lt; 0, K499 + L498, 0)</f>
        <v>0</v>
      </c>
    </row>
    <row r="500" spans="1:12" s="1" customFormat="1">
      <c r="A500" s="3">
        <v>45714</v>
      </c>
      <c r="B500" s="1" t="s">
        <v>14</v>
      </c>
      <c r="C500" s="1">
        <v>14</v>
      </c>
      <c r="D500" s="1">
        <v>19</v>
      </c>
      <c r="E500" s="1">
        <v>0</v>
      </c>
      <c r="F500" s="1">
        <f>IF(E500 + F499 &lt; 0, E500 + F499, 0)</f>
        <v>0</v>
      </c>
      <c r="G500" s="1">
        <v>0</v>
      </c>
      <c r="H500" s="1">
        <f>IF(G500 + H499 &lt; 0, G500 + H499, 0)</f>
        <v>0</v>
      </c>
      <c r="I500" s="1">
        <v>0</v>
      </c>
      <c r="J500" s="1">
        <f>IF(I500 + J499 &lt; 0, I500 + J499, 0)</f>
        <v>0</v>
      </c>
      <c r="K500" s="1">
        <v>0</v>
      </c>
      <c r="L500" s="1">
        <f>IF(K500 + L499 &lt; 0, K500 + L499, 0)</f>
        <v>0</v>
      </c>
    </row>
    <row r="501" spans="1:12" s="1" customFormat="1">
      <c r="A501" s="3">
        <v>45715</v>
      </c>
      <c r="B501" s="1" t="s">
        <v>16</v>
      </c>
      <c r="C501" s="1">
        <v>13</v>
      </c>
      <c r="D501" s="1">
        <v>18</v>
      </c>
      <c r="E501" s="1">
        <v>0</v>
      </c>
      <c r="F501" s="1">
        <f>IF(E501 + F500 &lt; 0, E501 + F500, 0)</f>
        <v>0</v>
      </c>
      <c r="G501" s="1">
        <v>0</v>
      </c>
      <c r="H501" s="1">
        <f>IF(G501 + H500 &lt; 0, G501 + H500, 0)</f>
        <v>0</v>
      </c>
      <c r="I501" s="1">
        <v>0</v>
      </c>
      <c r="J501" s="1">
        <f>IF(I501 + J500 &lt; 0, I501 + J500, 0)</f>
        <v>0</v>
      </c>
      <c r="K501" s="1">
        <v>0</v>
      </c>
      <c r="L501" s="1">
        <f>IF(K501 + L500 &lt; 0, K501 + L500, 0)</f>
        <v>0</v>
      </c>
    </row>
    <row r="502" spans="1:12" s="1" customFormat="1">
      <c r="A502" s="3">
        <v>45716</v>
      </c>
      <c r="B502" s="1" t="s">
        <v>15</v>
      </c>
      <c r="C502" s="1">
        <v>12</v>
      </c>
      <c r="D502" s="1">
        <v>17</v>
      </c>
      <c r="E502" s="1">
        <v>0</v>
      </c>
      <c r="F502" s="1">
        <f>IF(E502 + F501 &lt; 0, E502 + F501, 0)</f>
        <v>0</v>
      </c>
      <c r="G502" s="1">
        <v>0</v>
      </c>
      <c r="H502" s="1">
        <f>IF(G502 + H501 &lt; 0, G502 + H501, 0)</f>
        <v>0</v>
      </c>
      <c r="I502" s="1">
        <v>0</v>
      </c>
      <c r="J502" s="1">
        <f>IF(I502 + J501 &lt; 0, I502 + J501, 0)</f>
        <v>0</v>
      </c>
      <c r="K502" s="1">
        <v>0</v>
      </c>
      <c r="L502" s="1">
        <f>IF(K502 + L501 &lt; 0, K502 + L501, 0)</f>
        <v>0</v>
      </c>
    </row>
    <row r="503" spans="1:12" s="1" customFormat="1">
      <c r="A503" s="3">
        <v>45719</v>
      </c>
      <c r="B503" s="1" t="s">
        <v>12</v>
      </c>
      <c r="C503" s="1">
        <v>11</v>
      </c>
      <c r="D503" s="1">
        <v>16</v>
      </c>
      <c r="E503" s="1">
        <v>0</v>
      </c>
      <c r="F503" s="1">
        <f>IF(E503 + F502 &lt; 0, E503 + F502, 0)</f>
        <v>0</v>
      </c>
      <c r="G503" s="1">
        <v>0</v>
      </c>
      <c r="H503" s="1">
        <f>IF(G503 + H502 &lt; 0, G503 + H502, 0)</f>
        <v>0</v>
      </c>
      <c r="I503" s="1">
        <v>0</v>
      </c>
      <c r="J503" s="1">
        <f>IF(I503 + J502 &lt; 0, I503 + J502, 0)</f>
        <v>0</v>
      </c>
      <c r="K503" s="1">
        <v>0</v>
      </c>
      <c r="L503" s="1">
        <f>IF(K503 + L502 &lt; 0, K503 + L502, 0)</f>
        <v>0</v>
      </c>
    </row>
    <row r="504" spans="1:12" s="1" customFormat="1">
      <c r="A504" s="3">
        <v>45720</v>
      </c>
      <c r="B504" s="1" t="s">
        <v>13</v>
      </c>
      <c r="C504" s="1">
        <v>10</v>
      </c>
      <c r="D504" s="1">
        <v>15</v>
      </c>
      <c r="E504" s="1">
        <v>40537.52648600424</v>
      </c>
      <c r="F504" s="1">
        <f>IF(E504 + F503 &lt; 0, E504 + F503, 0)</f>
        <v>0</v>
      </c>
      <c r="G504" s="1">
        <v>40537.52648600424</v>
      </c>
      <c r="H504" s="1">
        <f>IF(G504 + H503 &lt; 0, G504 + H503, 0)</f>
        <v>0</v>
      </c>
      <c r="I504" s="1">
        <v>0</v>
      </c>
      <c r="J504" s="1">
        <f>IF(I504 + J503 &lt; 0, I504 + J503, 0)</f>
        <v>0</v>
      </c>
      <c r="K504" s="1">
        <v>0</v>
      </c>
      <c r="L504" s="1">
        <f>IF(K504 + L503 &lt; 0, K504 + L503, 0)</f>
        <v>0</v>
      </c>
    </row>
    <row r="505" spans="1:12" s="1" customFormat="1">
      <c r="A505" s="3">
        <v>45721</v>
      </c>
      <c r="B505" s="1" t="s">
        <v>14</v>
      </c>
      <c r="C505" s="1">
        <v>9</v>
      </c>
      <c r="D505" s="1">
        <v>14</v>
      </c>
      <c r="E505" s="1">
        <v>-115244.0397972593</v>
      </c>
      <c r="F505" s="1">
        <f>IF(E505 + F504 &lt; 0, E505 + F504, 0)</f>
        <v>0</v>
      </c>
      <c r="G505" s="1">
        <v>-144621.7383142482</v>
      </c>
      <c r="H505" s="1">
        <f>IF(G505 + H504 &lt; 0, G505 + H504, 0)</f>
        <v>0</v>
      </c>
      <c r="I505" s="1">
        <v>0</v>
      </c>
      <c r="J505" s="1">
        <f>IF(I505 + J504 &lt; 0, I505 + J504, 0)</f>
        <v>0</v>
      </c>
      <c r="K505" s="1">
        <v>0</v>
      </c>
      <c r="L505" s="1">
        <f>IF(K505 + L504 &lt; 0, K505 + L504, 0)</f>
        <v>0</v>
      </c>
    </row>
    <row r="506" spans="1:12" s="1" customFormat="1">
      <c r="A506" s="3">
        <v>45722</v>
      </c>
      <c r="B506" s="1" t="s">
        <v>16</v>
      </c>
      <c r="C506" s="1">
        <v>8</v>
      </c>
      <c r="D506" s="1">
        <v>13</v>
      </c>
      <c r="E506" s="1">
        <v>-86700.25622394735</v>
      </c>
      <c r="F506" s="1">
        <f>IF(E506 + F505 &lt; 0, E506 + F505, 0)</f>
        <v>0</v>
      </c>
      <c r="G506" s="1">
        <v>26597.57543309494</v>
      </c>
      <c r="H506" s="1">
        <f>IF(G506 + H505 &lt; 0, G506 + H505, 0)</f>
        <v>0</v>
      </c>
      <c r="I506" s="1">
        <v>0</v>
      </c>
      <c r="J506" s="1">
        <f>IF(I506 + J505 &lt; 0, I506 + J505, 0)</f>
        <v>0</v>
      </c>
      <c r="K506" s="1">
        <v>0</v>
      </c>
      <c r="L506" s="1">
        <f>IF(K506 + L505 &lt; 0, K506 + L505, 0)</f>
        <v>0</v>
      </c>
    </row>
    <row r="507" spans="1:12" s="1" customFormat="1">
      <c r="A507" s="3">
        <v>45723</v>
      </c>
      <c r="B507" s="1" t="s">
        <v>15</v>
      </c>
      <c r="C507" s="1">
        <v>7</v>
      </c>
      <c r="D507" s="1">
        <v>12</v>
      </c>
      <c r="E507" s="1">
        <v>88917.42697232233</v>
      </c>
      <c r="F507" s="1">
        <f>IF(E507 + F506 &lt; 0, E507 + F506, 0)</f>
        <v>0</v>
      </c>
      <c r="G507" s="1">
        <v>88917.42697232233</v>
      </c>
      <c r="H507" s="1">
        <f>IF(G507 + H506 &lt; 0, G507 + H506, 0)</f>
        <v>0</v>
      </c>
      <c r="I507" s="1">
        <v>0</v>
      </c>
      <c r="J507" s="1">
        <f>IF(I507 + J506 &lt; 0, I507 + J506, 0)</f>
        <v>0</v>
      </c>
      <c r="K507" s="1">
        <v>0</v>
      </c>
      <c r="L507" s="1">
        <f>IF(K507 + L506 &lt; 0, K507 + L506, 0)</f>
        <v>0</v>
      </c>
    </row>
    <row r="508" spans="1:12" s="1" customFormat="1">
      <c r="A508" s="3">
        <v>45726</v>
      </c>
      <c r="B508" s="1" t="s">
        <v>12</v>
      </c>
      <c r="C508" s="1">
        <v>6</v>
      </c>
      <c r="D508" s="1">
        <v>11</v>
      </c>
      <c r="E508" s="1">
        <v>-118622.1959407905</v>
      </c>
      <c r="F508" s="1">
        <f>IF(E508 + F507 &lt; 0, E508 + F507, 0)</f>
        <v>0</v>
      </c>
      <c r="G508" s="1">
        <v>-227739.2034182818</v>
      </c>
      <c r="H508" s="1">
        <f>IF(G508 + H507 &lt; 0, G508 + H507, 0)</f>
        <v>0</v>
      </c>
      <c r="I508" s="1">
        <v>0</v>
      </c>
      <c r="J508" s="1">
        <f>IF(I508 + J507 &lt; 0, I508 + J507, 0)</f>
        <v>0</v>
      </c>
      <c r="K508" s="1">
        <v>0</v>
      </c>
      <c r="L508" s="1">
        <f>IF(K508 + L507 &lt; 0, K508 + L507, 0)</f>
        <v>0</v>
      </c>
    </row>
    <row r="509" spans="1:12" s="1" customFormat="1">
      <c r="A509" s="3">
        <v>45727</v>
      </c>
      <c r="B509" s="1" t="s">
        <v>13</v>
      </c>
      <c r="C509" s="1">
        <v>5</v>
      </c>
      <c r="D509" s="1">
        <v>10</v>
      </c>
      <c r="E509" s="1">
        <v>89731.74768117614</v>
      </c>
      <c r="F509" s="1">
        <f>IF(E509 + F508 &lt; 0, E509 + F508, 0)</f>
        <v>0</v>
      </c>
      <c r="G509" s="1">
        <v>89731.74768117614</v>
      </c>
      <c r="H509" s="1">
        <f>IF(G509 + H508 &lt; 0, G509 + H508, 0)</f>
        <v>0</v>
      </c>
      <c r="I509" s="1">
        <v>0</v>
      </c>
      <c r="J509" s="1">
        <f>IF(I509 + J508 &lt; 0, I509 + J508, 0)</f>
        <v>0</v>
      </c>
      <c r="K509" s="1">
        <v>0</v>
      </c>
      <c r="L509" s="1">
        <f>IF(K509 + L508 &lt; 0, K509 + L508, 0)</f>
        <v>0</v>
      </c>
    </row>
    <row r="510" spans="1:12" s="1" customFormat="1">
      <c r="A510" s="3">
        <v>45728</v>
      </c>
      <c r="B510" s="1" t="s">
        <v>14</v>
      </c>
      <c r="C510" s="1">
        <v>4</v>
      </c>
      <c r="D510" s="1">
        <v>9</v>
      </c>
      <c r="E510" s="1">
        <v>83896.68853960017</v>
      </c>
      <c r="F510" s="1">
        <f>IF(E510 + F509 &lt; 0, E510 + F509, 0)</f>
        <v>0</v>
      </c>
      <c r="G510" s="1">
        <v>121661.8342743781</v>
      </c>
      <c r="H510" s="1">
        <f>IF(G510 + H509 &lt; 0, G510 + H509, 0)</f>
        <v>0</v>
      </c>
      <c r="I510" s="1">
        <v>0</v>
      </c>
      <c r="J510" s="1">
        <f>IF(I510 + J509 &lt; 0, I510 + J509, 0)</f>
        <v>0</v>
      </c>
      <c r="K510" s="1">
        <v>0</v>
      </c>
      <c r="L510" s="1">
        <f>IF(K510 + L509 &lt; 0, K510 + L509, 0)</f>
        <v>0</v>
      </c>
    </row>
    <row r="511" spans="1:12" s="1" customFormat="1">
      <c r="A511" s="3">
        <v>45729</v>
      </c>
      <c r="B511" s="1" t="s">
        <v>16</v>
      </c>
      <c r="C511" s="1">
        <v>3</v>
      </c>
      <c r="D511" s="1">
        <v>8</v>
      </c>
      <c r="E511" s="1">
        <v>-20803.66225839267</v>
      </c>
      <c r="F511" s="1">
        <f>IF(E511 + F510 &lt; 0, E511 + F510, 0)</f>
        <v>0</v>
      </c>
      <c r="G511" s="1">
        <v>-107475.2270072718</v>
      </c>
      <c r="H511" s="1">
        <f>IF(G511 + H510 &lt; 0, G511 + H510, 0)</f>
        <v>0</v>
      </c>
      <c r="I511" s="1">
        <v>0</v>
      </c>
      <c r="J511" s="1">
        <f>IF(I511 + J510 &lt; 0, I511 + J510, 0)</f>
        <v>0</v>
      </c>
      <c r="K511" s="1">
        <v>0</v>
      </c>
      <c r="L511" s="1">
        <f>IF(K511 + L510 &lt; 0, K511 + L510, 0)</f>
        <v>0</v>
      </c>
    </row>
    <row r="512" spans="1:12" s="1" customFormat="1">
      <c r="A512" s="3">
        <v>45730</v>
      </c>
      <c r="B512" s="1" t="s">
        <v>15</v>
      </c>
      <c r="C512" s="1">
        <v>2</v>
      </c>
      <c r="D512" s="1">
        <v>7</v>
      </c>
      <c r="E512" s="1">
        <v>81707.17790710945</v>
      </c>
      <c r="F512" s="1">
        <f>IF(E512 + F511 &lt; 0, E512 + F511, 0)</f>
        <v>0</v>
      </c>
      <c r="G512" s="1">
        <v>188976.3779527559</v>
      </c>
      <c r="H512" s="1">
        <f>IF(G512 + H511 &lt; 0, G512 + H511, 0)</f>
        <v>0</v>
      </c>
      <c r="I512" s="1">
        <v>0</v>
      </c>
      <c r="J512" s="1">
        <f>IF(I512 + J511 &lt; 0, I512 + J511, 0)</f>
        <v>0</v>
      </c>
      <c r="K512" s="1">
        <v>0</v>
      </c>
      <c r="L512" s="1">
        <f>IF(K512 + L511 &lt; 0, K512 + L511, 0)</f>
        <v>0</v>
      </c>
    </row>
    <row r="513" spans="1:12" s="1" customFormat="1">
      <c r="A513" s="3">
        <v>45733</v>
      </c>
      <c r="B513" s="1" t="s">
        <v>12</v>
      </c>
      <c r="C513" s="1">
        <v>1</v>
      </c>
      <c r="D513" s="1">
        <v>6</v>
      </c>
      <c r="E513" s="1">
        <v>209080.7683581638</v>
      </c>
      <c r="F513" s="1">
        <f>IF(E513 + F512 &lt; 0, E513 + F512, 0)</f>
        <v>0</v>
      </c>
      <c r="G513" s="1">
        <v>309082.659003252</v>
      </c>
      <c r="H513" s="1">
        <f>IF(G513 + H512 &lt; 0, G513 + H512, 0)</f>
        <v>0</v>
      </c>
      <c r="I513" s="1">
        <v>181313.598519889</v>
      </c>
      <c r="J513" s="1">
        <f>IF(I513 + J512 &lt; 0, I513 + J512, 0)</f>
        <v>0</v>
      </c>
      <c r="K513" s="1">
        <v>181313.598519889</v>
      </c>
      <c r="L513" s="1">
        <f>IF(K513 + L512 &lt; 0, K513 + L512, 0)</f>
        <v>0</v>
      </c>
    </row>
    <row r="514" spans="1:12" s="1" customFormat="1">
      <c r="A514" s="3">
        <v>45734</v>
      </c>
      <c r="B514" s="1" t="s">
        <v>13</v>
      </c>
      <c r="C514" s="1">
        <v>22</v>
      </c>
      <c r="D514" s="1">
        <v>5</v>
      </c>
      <c r="E514" s="1">
        <v>0</v>
      </c>
      <c r="F514" s="1">
        <f>IF(E514 + F513 &lt; 0, E514 + F513, 0)</f>
        <v>0</v>
      </c>
      <c r="G514" s="1">
        <v>0</v>
      </c>
      <c r="H514" s="1">
        <f>IF(G514 + H513 &lt; 0, G514 + H513, 0)</f>
        <v>0</v>
      </c>
      <c r="I514" s="1">
        <v>11314.91186279184</v>
      </c>
      <c r="J514" s="1">
        <f>IF(I514 + J513 &lt; 0, I514 + J513, 0)</f>
        <v>0</v>
      </c>
      <c r="K514" s="1">
        <v>11314.91186279184</v>
      </c>
      <c r="L514" s="1">
        <f>IF(K514 + L513 &lt; 0, K514 + L513, 0)</f>
        <v>0</v>
      </c>
    </row>
    <row r="515" spans="1:12" s="1" customFormat="1">
      <c r="A515" s="3">
        <v>45735</v>
      </c>
      <c r="B515" s="1" t="s">
        <v>14</v>
      </c>
      <c r="C515" s="1">
        <v>21</v>
      </c>
      <c r="D515" s="1">
        <v>4</v>
      </c>
      <c r="E515" s="1">
        <v>0</v>
      </c>
      <c r="F515" s="1">
        <f>IF(E515 + F514 &lt; 0, E515 + F514, 0)</f>
        <v>0</v>
      </c>
      <c r="G515" s="1">
        <v>0</v>
      </c>
      <c r="H515" s="1">
        <f>IF(G515 + H514 &lt; 0, G515 + H514, 0)</f>
        <v>0</v>
      </c>
      <c r="I515" s="1">
        <v>136791.3432133616</v>
      </c>
      <c r="J515" s="1">
        <f>IF(I515 + J514 &lt; 0, I515 + J514, 0)</f>
        <v>0</v>
      </c>
      <c r="K515" s="1">
        <v>136791.3432133616</v>
      </c>
      <c r="L515" s="1">
        <f>IF(K515 + L514 &lt; 0, K515 + L514, 0)</f>
        <v>0</v>
      </c>
    </row>
    <row r="516" spans="1:12" s="1" customFormat="1">
      <c r="A516" s="3">
        <v>45736</v>
      </c>
      <c r="B516" s="1" t="s">
        <v>16</v>
      </c>
      <c r="C516" s="1">
        <v>20</v>
      </c>
      <c r="D516" s="1">
        <v>3</v>
      </c>
      <c r="E516" s="1">
        <v>0</v>
      </c>
      <c r="F516" s="1">
        <f>IF(E516 + F515 &lt; 0, E516 + F515, 0)</f>
        <v>0</v>
      </c>
      <c r="G516" s="1">
        <v>0</v>
      </c>
      <c r="H516" s="1">
        <f>IF(G516 + H515 &lt; 0, G516 + H515, 0)</f>
        <v>0</v>
      </c>
      <c r="I516" s="1">
        <v>-49108.58063031976</v>
      </c>
      <c r="J516" s="1">
        <f>IF(I516 + J515 &lt; 0, I516 + J515, 0)</f>
        <v>0</v>
      </c>
      <c r="K516" s="1">
        <v>-254347.8260869564</v>
      </c>
      <c r="L516" s="1">
        <f>IF(K516 + L515 &lt; 0, K516 + L515, 0)</f>
        <v>0</v>
      </c>
    </row>
    <row r="517" spans="1:12" s="1" customFormat="1">
      <c r="A517" s="3">
        <v>45737</v>
      </c>
      <c r="B517" s="1" t="s">
        <v>15</v>
      </c>
      <c r="C517" s="1">
        <v>19</v>
      </c>
      <c r="D517" s="1">
        <v>2</v>
      </c>
      <c r="E517" s="1">
        <v>0</v>
      </c>
      <c r="F517" s="1">
        <f>IF(E517 + F516 &lt; 0, E517 + F516, 0)</f>
        <v>0</v>
      </c>
      <c r="G517" s="1">
        <v>0</v>
      </c>
      <c r="H517" s="1">
        <f>IF(G517 + H516 &lt; 0, G517 + H516, 0)</f>
        <v>0</v>
      </c>
      <c r="I517" s="1">
        <v>-199743.1294874969</v>
      </c>
      <c r="J517" s="1">
        <f>IF(I517 + J516 &lt; 0, I517 + J516, 0)</f>
        <v>0</v>
      </c>
      <c r="K517" s="1">
        <v>-184204.0108937856</v>
      </c>
      <c r="L517" s="1">
        <f>IF(K517 + L516 &lt; 0, K517 + L516, 0)</f>
        <v>0</v>
      </c>
    </row>
    <row r="518" spans="1:12" s="1" customFormat="1">
      <c r="A518" s="3">
        <v>45740</v>
      </c>
      <c r="B518" s="1" t="s">
        <v>12</v>
      </c>
      <c r="C518" s="1">
        <v>18</v>
      </c>
      <c r="D518" s="1">
        <v>1</v>
      </c>
      <c r="E518" s="1">
        <v>0</v>
      </c>
      <c r="F518" s="1">
        <f>IF(E518 + F517 &lt; 0, E518 + F517, 0)</f>
        <v>0</v>
      </c>
      <c r="G518" s="1">
        <v>0</v>
      </c>
      <c r="H518" s="1">
        <f>IF(G518 + H517 &lt; 0, G518 + H517, 0)</f>
        <v>0</v>
      </c>
      <c r="I518" s="1">
        <v>108743.2199211045</v>
      </c>
      <c r="J518" s="1">
        <f>IF(I518 + J517 &lt; 0, I518 + J517, 0)</f>
        <v>0</v>
      </c>
      <c r="K518" s="1">
        <v>178359.2209072978</v>
      </c>
      <c r="L518" s="1">
        <f>IF(K518 + L517 &lt; 0, K518 + L517, 0)</f>
        <v>0</v>
      </c>
    </row>
    <row r="519" spans="1:12" s="1" customFormat="1">
      <c r="A519" s="3">
        <v>45741</v>
      </c>
      <c r="B519" s="1" t="s">
        <v>13</v>
      </c>
      <c r="C519" s="1">
        <v>17</v>
      </c>
      <c r="D519" s="1">
        <v>21</v>
      </c>
      <c r="E519" s="1">
        <v>0</v>
      </c>
      <c r="F519" s="1">
        <f>IF(E519 + F518 &lt; 0, E519 + F518, 0)</f>
        <v>0</v>
      </c>
      <c r="G519" s="1">
        <v>0</v>
      </c>
      <c r="H519" s="1">
        <f>IF(G519 + H518 &lt; 0, G519 + H518, 0)</f>
        <v>0</v>
      </c>
      <c r="I519" s="1">
        <v>0</v>
      </c>
      <c r="J519" s="1">
        <f>IF(I519 + J518 &lt; 0, I519 + J518, 0)</f>
        <v>0</v>
      </c>
      <c r="K519" s="1">
        <v>0</v>
      </c>
      <c r="L519" s="1">
        <f>IF(K519 + L518 &lt; 0, K519 + L518, 0)</f>
        <v>0</v>
      </c>
    </row>
    <row r="520" spans="1:12" s="1" customFormat="1">
      <c r="A520" s="3">
        <v>45742</v>
      </c>
      <c r="B520" s="1" t="s">
        <v>14</v>
      </c>
      <c r="C520" s="1">
        <v>16</v>
      </c>
      <c r="D520" s="1">
        <v>20</v>
      </c>
      <c r="E520" s="1">
        <v>0</v>
      </c>
      <c r="F520" s="1">
        <f>IF(E520 + F519 &lt; 0, E520 + F519, 0)</f>
        <v>0</v>
      </c>
      <c r="G520" s="1">
        <v>0</v>
      </c>
      <c r="H520" s="1">
        <f>IF(G520 + H519 &lt; 0, G520 + H519, 0)</f>
        <v>0</v>
      </c>
      <c r="I520" s="1">
        <v>0</v>
      </c>
      <c r="J520" s="1">
        <f>IF(I520 + J519 &lt; 0, I520 + J519, 0)</f>
        <v>0</v>
      </c>
      <c r="K520" s="1">
        <v>0</v>
      </c>
      <c r="L520" s="1">
        <f>IF(K520 + L519 &lt; 0, K520 + L519, 0)</f>
        <v>0</v>
      </c>
    </row>
    <row r="521" spans="1:12" s="1" customFormat="1">
      <c r="A521" s="3">
        <v>45743</v>
      </c>
      <c r="B521" s="1" t="s">
        <v>16</v>
      </c>
      <c r="C521" s="1">
        <v>15</v>
      </c>
      <c r="D521" s="1">
        <v>19</v>
      </c>
      <c r="E521" s="1">
        <v>0</v>
      </c>
      <c r="F521" s="1">
        <f>IF(E521 + F520 &lt; 0, E521 + F520, 0)</f>
        <v>0</v>
      </c>
      <c r="G521" s="1">
        <v>0</v>
      </c>
      <c r="H521" s="1">
        <f>IF(G521 + H520 &lt; 0, G521 + H520, 0)</f>
        <v>0</v>
      </c>
      <c r="I521" s="1">
        <v>0</v>
      </c>
      <c r="J521" s="1">
        <f>IF(I521 + J520 &lt; 0, I521 + J520, 0)</f>
        <v>0</v>
      </c>
      <c r="K521" s="1">
        <v>0</v>
      </c>
      <c r="L521" s="1">
        <f>IF(K521 + L520 &lt; 0, K521 + L520, 0)</f>
        <v>0</v>
      </c>
    </row>
    <row r="522" spans="1:12" s="1" customFormat="1">
      <c r="A522" s="3">
        <v>45744</v>
      </c>
      <c r="B522" s="1" t="s">
        <v>15</v>
      </c>
      <c r="C522" s="1">
        <v>14</v>
      </c>
      <c r="D522" s="1">
        <v>18</v>
      </c>
      <c r="E522" s="1">
        <v>0</v>
      </c>
      <c r="F522" s="1">
        <f>IF(E522 + F521 &lt; 0, E522 + F521, 0)</f>
        <v>0</v>
      </c>
      <c r="G522" s="1">
        <v>0</v>
      </c>
      <c r="H522" s="1">
        <f>IF(G522 + H521 &lt; 0, G522 + H521, 0)</f>
        <v>0</v>
      </c>
      <c r="I522" s="1">
        <v>0</v>
      </c>
      <c r="J522" s="1">
        <f>IF(I522 + J521 &lt; 0, I522 + J521, 0)</f>
        <v>0</v>
      </c>
      <c r="K522" s="1">
        <v>0</v>
      </c>
      <c r="L522" s="1">
        <f>IF(K522 + L521 &lt; 0, K522 + L521, 0)</f>
        <v>0</v>
      </c>
    </row>
    <row r="523" spans="1:12" s="1" customFormat="1">
      <c r="A523" s="3">
        <v>45747</v>
      </c>
      <c r="B523" s="1" t="s">
        <v>12</v>
      </c>
      <c r="C523" s="1">
        <v>13</v>
      </c>
      <c r="D523" s="1">
        <v>17</v>
      </c>
      <c r="E523" s="1">
        <v>0</v>
      </c>
      <c r="F523" s="1">
        <f>IF(E523 + F522 &lt; 0, E523 + F522, 0)</f>
        <v>0</v>
      </c>
      <c r="G523" s="1">
        <v>0</v>
      </c>
      <c r="H523" s="1">
        <f>IF(G523 + H522 &lt; 0, G523 + H522, 0)</f>
        <v>0</v>
      </c>
      <c r="I523" s="1">
        <v>0</v>
      </c>
      <c r="J523" s="1">
        <f>IF(I523 + J522 &lt; 0, I523 + J522, 0)</f>
        <v>0</v>
      </c>
      <c r="K523" s="1">
        <v>0</v>
      </c>
      <c r="L523" s="1">
        <f>IF(K523 + L522 &lt; 0, K523 + L522, 0)</f>
        <v>0</v>
      </c>
    </row>
    <row r="524" spans="1:12" s="1" customFormat="1">
      <c r="A524" s="3">
        <v>45748</v>
      </c>
      <c r="B524" s="1" t="s">
        <v>13</v>
      </c>
      <c r="C524" s="1">
        <v>12</v>
      </c>
      <c r="D524" s="1">
        <v>16</v>
      </c>
      <c r="E524" s="1">
        <v>0</v>
      </c>
      <c r="F524" s="1">
        <f>IF(E524 + F523 &lt; 0, E524 + F523, 0)</f>
        <v>0</v>
      </c>
      <c r="G524" s="1">
        <v>0</v>
      </c>
      <c r="H524" s="1">
        <f>IF(G524 + H523 &lt; 0, G524 + H523, 0)</f>
        <v>0</v>
      </c>
      <c r="I524" s="1">
        <v>0</v>
      </c>
      <c r="J524" s="1">
        <f>IF(I524 + J523 &lt; 0, I524 + J523, 0)</f>
        <v>0</v>
      </c>
      <c r="K524" s="1">
        <v>0</v>
      </c>
      <c r="L524" s="1">
        <f>IF(K524 + L523 &lt; 0, K524 + L523, 0)</f>
        <v>0</v>
      </c>
    </row>
    <row r="525" spans="1:12" s="1" customFormat="1">
      <c r="A525" s="3">
        <v>45749</v>
      </c>
      <c r="B525" s="1" t="s">
        <v>14</v>
      </c>
      <c r="C525" s="1">
        <v>11</v>
      </c>
      <c r="D525" s="1">
        <v>15</v>
      </c>
      <c r="E525" s="1">
        <v>0</v>
      </c>
      <c r="F525" s="1">
        <f>IF(E525 + F524 &lt; 0, E525 + F524, 0)</f>
        <v>0</v>
      </c>
      <c r="G525" s="1">
        <v>0</v>
      </c>
      <c r="H525" s="1">
        <f>IF(G525 + H524 &lt; 0, G525 + H524, 0)</f>
        <v>0</v>
      </c>
      <c r="I525" s="1">
        <v>0</v>
      </c>
      <c r="J525" s="1">
        <f>IF(I525 + J524 &lt; 0, I525 + J524, 0)</f>
        <v>0</v>
      </c>
      <c r="K525" s="1">
        <v>0</v>
      </c>
      <c r="L525" s="1">
        <f>IF(K525 + L524 &lt; 0, K525 + L524, 0)</f>
        <v>0</v>
      </c>
    </row>
    <row r="526" spans="1:12" s="1" customFormat="1">
      <c r="A526" s="3">
        <v>45750</v>
      </c>
      <c r="B526" s="1" t="s">
        <v>16</v>
      </c>
      <c r="C526" s="1">
        <v>10</v>
      </c>
      <c r="D526" s="1">
        <v>14</v>
      </c>
      <c r="E526" s="1">
        <v>-53554.3013132655</v>
      </c>
      <c r="F526" s="1">
        <f>IF(E526 + F525 &lt; 0, E526 + F525, 0)</f>
        <v>0</v>
      </c>
      <c r="G526" s="1">
        <v>148959.7166888004</v>
      </c>
      <c r="H526" s="1">
        <f>IF(G526 + H525 &lt; 0, G526 + H525, 0)</f>
        <v>0</v>
      </c>
      <c r="I526" s="1">
        <v>0</v>
      </c>
      <c r="J526" s="1">
        <f>IF(I526 + J525 &lt; 0, I526 + J525, 0)</f>
        <v>0</v>
      </c>
      <c r="K526" s="1">
        <v>0</v>
      </c>
      <c r="L526" s="1">
        <f>IF(K526 + L525 &lt; 0, K526 + L525, 0)</f>
        <v>0</v>
      </c>
    </row>
    <row r="527" spans="1:12" s="1" customFormat="1">
      <c r="A527" s="3">
        <v>45751</v>
      </c>
      <c r="B527" s="1" t="s">
        <v>15</v>
      </c>
      <c r="C527" s="1">
        <v>9</v>
      </c>
      <c r="D527" s="1">
        <v>13</v>
      </c>
      <c r="E527" s="1">
        <v>-59120.2305791929</v>
      </c>
      <c r="F527" s="1">
        <f>IF(E527 + F526 &lt; 0, E527 + F526, 0)</f>
        <v>0</v>
      </c>
      <c r="G527" s="1">
        <v>282832.0458021254</v>
      </c>
      <c r="H527" s="1">
        <f>IF(G527 + H526 &lt; 0, G527 + H526, 0)</f>
        <v>0</v>
      </c>
      <c r="I527" s="1">
        <v>0</v>
      </c>
      <c r="J527" s="1">
        <f>IF(I527 + J526 &lt; 0, I527 + J526, 0)</f>
        <v>0</v>
      </c>
      <c r="K527" s="1">
        <v>0</v>
      </c>
      <c r="L527" s="1">
        <f>IF(K527 + L526 &lt; 0, K527 + L526, 0)</f>
        <v>0</v>
      </c>
    </row>
    <row r="528" spans="1:12" s="1" customFormat="1">
      <c r="A528" s="3">
        <v>45754</v>
      </c>
      <c r="B528" s="1" t="s">
        <v>12</v>
      </c>
      <c r="C528" s="1">
        <v>8</v>
      </c>
      <c r="D528" s="1">
        <v>12</v>
      </c>
      <c r="E528" s="1">
        <v>-585106.8604402649</v>
      </c>
      <c r="F528" s="1">
        <f>IF(E528 + F527 &lt; 0, E528 + F527, 0)</f>
        <v>0</v>
      </c>
      <c r="G528" s="1">
        <v>-337001.4960461638</v>
      </c>
      <c r="H528" s="1">
        <f>IF(G528 + H527 &lt; 0, G528 + H527, 0)</f>
        <v>0</v>
      </c>
      <c r="I528" s="1">
        <v>0</v>
      </c>
      <c r="J528" s="1">
        <f>IF(I528 + J527 &lt; 0, I528 + J527, 0)</f>
        <v>0</v>
      </c>
      <c r="K528" s="1">
        <v>0</v>
      </c>
      <c r="L528" s="1">
        <f>IF(K528 + L527 &lt; 0, K528 + L527, 0)</f>
        <v>0</v>
      </c>
    </row>
    <row r="529" spans="1:12" s="1" customFormat="1">
      <c r="A529" s="3">
        <v>45755</v>
      </c>
      <c r="B529" s="1" t="s">
        <v>13</v>
      </c>
      <c r="C529" s="1">
        <v>7</v>
      </c>
      <c r="D529" s="1">
        <v>11</v>
      </c>
      <c r="E529" s="1">
        <v>-360148.1201745552</v>
      </c>
      <c r="F529" s="1">
        <f>IF(E529 + F528 &lt; 0, E529 + F528, 0)</f>
        <v>0</v>
      </c>
      <c r="G529" s="1">
        <v>-111425.8140315542</v>
      </c>
      <c r="H529" s="1">
        <f>IF(G529 + H528 &lt; 0, G529 + H528, 0)</f>
        <v>0</v>
      </c>
      <c r="I529" s="1">
        <v>0</v>
      </c>
      <c r="J529" s="1">
        <f>IF(I529 + J528 &lt; 0, I529 + J528, 0)</f>
        <v>0</v>
      </c>
      <c r="K529" s="1">
        <v>0</v>
      </c>
      <c r="L529" s="1">
        <f>IF(K529 + L528 &lt; 0, K529 + L528, 0)</f>
        <v>0</v>
      </c>
    </row>
    <row r="530" spans="1:12" s="1" customFormat="1">
      <c r="A530" s="3">
        <v>45756</v>
      </c>
      <c r="B530" s="1" t="s">
        <v>14</v>
      </c>
      <c r="C530" s="1">
        <v>6</v>
      </c>
      <c r="D530" s="1">
        <v>10</v>
      </c>
      <c r="E530" s="1">
        <v>604646.2044152267</v>
      </c>
      <c r="F530" s="1">
        <f>IF(E530 + F529 &lt; 0, E530 + F529, 0)</f>
        <v>0</v>
      </c>
      <c r="G530" s="1">
        <v>504817.2167192288</v>
      </c>
      <c r="H530" s="1">
        <f>IF(G530 + H529 &lt; 0, G530 + H529, 0)</f>
        <v>0</v>
      </c>
      <c r="I530" s="1">
        <v>0</v>
      </c>
      <c r="J530" s="1">
        <f>IF(I530 + J529 &lt; 0, I530 + J529, 0)</f>
        <v>0</v>
      </c>
      <c r="K530" s="1">
        <v>0</v>
      </c>
      <c r="L530" s="1">
        <f>IF(K530 + L529 &lt; 0, K530 + L529, 0)</f>
        <v>0</v>
      </c>
    </row>
    <row r="531" spans="1:12" s="1" customFormat="1">
      <c r="A531" s="3">
        <v>45757</v>
      </c>
      <c r="B531" s="1" t="s">
        <v>16</v>
      </c>
      <c r="C531" s="1">
        <v>5</v>
      </c>
      <c r="D531" s="1">
        <v>9</v>
      </c>
      <c r="E531" s="1">
        <v>-521349.6607294315</v>
      </c>
      <c r="F531" s="1">
        <f>IF(E531 + F530 &lt; 0, E531 + F530, 0)</f>
        <v>0</v>
      </c>
      <c r="G531" s="1">
        <v>-639991.5182357928</v>
      </c>
      <c r="H531" s="1">
        <f>IF(G531 + H530 &lt; 0, G531 + H530, 0)</f>
        <v>0</v>
      </c>
      <c r="I531" s="1">
        <v>0</v>
      </c>
      <c r="J531" s="1">
        <f>IF(I531 + J530 &lt; 0, I531 + J530, 0)</f>
        <v>0</v>
      </c>
      <c r="K531" s="1">
        <v>0</v>
      </c>
      <c r="L531" s="1">
        <f>IF(K531 + L530 &lt; 0, K531 + L530, 0)</f>
        <v>0</v>
      </c>
    </row>
    <row r="532" spans="1:12" s="1" customFormat="1">
      <c r="A532" s="3">
        <v>45758</v>
      </c>
      <c r="B532" s="1" t="s">
        <v>15</v>
      </c>
      <c r="C532" s="1">
        <v>4</v>
      </c>
      <c r="D532" s="1">
        <v>8</v>
      </c>
      <c r="E532" s="1">
        <v>493811.7535870778</v>
      </c>
      <c r="F532" s="1">
        <f>IF(E532 + F531 &lt; 0, E532 + F531, 0)</f>
        <v>0</v>
      </c>
      <c r="G532" s="1">
        <v>493811.7535870778</v>
      </c>
      <c r="H532" s="1">
        <f>IF(G532 + H531 &lt; 0, G532 + H531, 0)</f>
        <v>0</v>
      </c>
      <c r="I532" s="1">
        <v>0</v>
      </c>
      <c r="J532" s="1">
        <f>IF(I532 + J531 &lt; 0, I532 + J531, 0)</f>
        <v>0</v>
      </c>
      <c r="K532" s="1">
        <v>0</v>
      </c>
      <c r="L532" s="1">
        <f>IF(K532 + L531 &lt; 0, K532 + L531, 0)</f>
        <v>0</v>
      </c>
    </row>
    <row r="533" spans="1:12" s="1" customFormat="1">
      <c r="A533" s="3">
        <v>45761</v>
      </c>
      <c r="B533" s="1" t="s">
        <v>12</v>
      </c>
      <c r="C533" s="1">
        <v>3</v>
      </c>
      <c r="D533" s="1">
        <v>7</v>
      </c>
      <c r="E533" s="1">
        <v>196200.3311258278</v>
      </c>
      <c r="F533" s="1">
        <f>IF(E533 + F532 &lt; 0, E533 + F532, 0)</f>
        <v>0</v>
      </c>
      <c r="G533" s="1">
        <v>333588.5761589406</v>
      </c>
      <c r="H533" s="1">
        <f>IF(G533 + H532 &lt; 0, G533 + H532, 0)</f>
        <v>0</v>
      </c>
      <c r="I533" s="1">
        <v>0</v>
      </c>
      <c r="J533" s="1">
        <f>IF(I533 + J532 &lt; 0, I533 + J532, 0)</f>
        <v>0</v>
      </c>
      <c r="K533" s="1">
        <v>0</v>
      </c>
      <c r="L533" s="1">
        <f>IF(K533 + L532 &lt; 0, K533 + L532, 0)</f>
        <v>0</v>
      </c>
    </row>
    <row r="534" spans="1:12" s="1" customFormat="1">
      <c r="A534" s="3">
        <v>45762</v>
      </c>
      <c r="B534" s="1" t="s">
        <v>13</v>
      </c>
      <c r="C534" s="1">
        <v>2</v>
      </c>
      <c r="D534" s="1">
        <v>6</v>
      </c>
      <c r="E534" s="1">
        <v>493811.8811881188</v>
      </c>
      <c r="F534" s="1">
        <f>IF(E534 + F533 &lt; 0, E534 + F533, 0)</f>
        <v>0</v>
      </c>
      <c r="G534" s="1">
        <v>493811.8811881188</v>
      </c>
      <c r="H534" s="1">
        <f>IF(G534 + H533 &lt; 0, G534 + H533, 0)</f>
        <v>0</v>
      </c>
      <c r="I534" s="1">
        <v>190495.808037005</v>
      </c>
      <c r="J534" s="1">
        <f>IF(I534 + J533 &lt; 0, I534 + J533, 0)</f>
        <v>0</v>
      </c>
      <c r="K534" s="1">
        <v>190495.808037005</v>
      </c>
      <c r="L534" s="1">
        <f>IF(K534 + L533 &lt; 0, K534 + L533, 0)</f>
        <v>0</v>
      </c>
    </row>
    <row r="535" spans="1:12" s="1" customFormat="1">
      <c r="A535" s="3">
        <v>45763</v>
      </c>
      <c r="B535" s="1" t="s">
        <v>14</v>
      </c>
      <c r="C535" s="1">
        <v>1</v>
      </c>
      <c r="D535" s="1">
        <v>5</v>
      </c>
      <c r="E535" s="1">
        <v>155114.1417136081</v>
      </c>
      <c r="F535" s="1">
        <f>IF(E535 + F534 &lt; 0, E535 + F534, 0)</f>
        <v>0</v>
      </c>
      <c r="G535" s="1">
        <v>514685.951463301</v>
      </c>
      <c r="H535" s="1">
        <f>IF(G535 + H534 &lt; 0, G535 + H534, 0)</f>
        <v>0</v>
      </c>
      <c r="I535" s="1">
        <v>169566.4995576526</v>
      </c>
      <c r="J535" s="1">
        <f>IF(I535 + J534 &lt; 0, I535 + J534, 0)</f>
        <v>0</v>
      </c>
      <c r="K535" s="1">
        <v>169566.4995576526</v>
      </c>
      <c r="L535" s="1">
        <f>IF(K535 + L534 &lt; 0, K535 + L534, 0)</f>
        <v>0</v>
      </c>
    </row>
    <row r="536" spans="1:12" s="1" customFormat="1">
      <c r="A536" s="3">
        <v>45764</v>
      </c>
      <c r="B536" s="1" t="s">
        <v>16</v>
      </c>
      <c r="C536" s="1">
        <v>19</v>
      </c>
      <c r="D536" s="1">
        <v>4</v>
      </c>
      <c r="E536" s="1">
        <v>0</v>
      </c>
      <c r="F536" s="1">
        <f>IF(E536 + F535 &lt; 0, E536 + F535, 0)</f>
        <v>0</v>
      </c>
      <c r="G536" s="1">
        <v>0</v>
      </c>
      <c r="H536" s="1">
        <f>IF(G536 + H535 &lt; 0, G536 + H535, 0)</f>
        <v>0</v>
      </c>
      <c r="I536" s="1">
        <v>172027.7115613826</v>
      </c>
      <c r="J536" s="1">
        <f>IF(I536 + J535 &lt; 0, I536 + J535, 0)</f>
        <v>0</v>
      </c>
      <c r="K536" s="1">
        <v>172027.7115613826</v>
      </c>
      <c r="L536" s="1">
        <f>IF(K536 + L535 &lt; 0, K536 + L535, 0)</f>
        <v>0</v>
      </c>
    </row>
    <row r="537" spans="1:12" s="1" customFormat="1">
      <c r="A537" s="3">
        <v>45768</v>
      </c>
      <c r="B537" s="1" t="s">
        <v>12</v>
      </c>
      <c r="C537" s="1">
        <v>18</v>
      </c>
      <c r="D537" s="1">
        <v>3</v>
      </c>
      <c r="E537" s="1">
        <v>0</v>
      </c>
      <c r="F537" s="1">
        <f>IF(E537 + F536 &lt; 0, E537 + F536, 0)</f>
        <v>0</v>
      </c>
      <c r="G537" s="1">
        <v>0</v>
      </c>
      <c r="H537" s="1">
        <f>IF(G537 + H536 &lt; 0, G537 + H536, 0)</f>
        <v>0</v>
      </c>
      <c r="I537" s="1">
        <v>63726.99386503071</v>
      </c>
      <c r="J537" s="1">
        <f>IF(I537 + J536 &lt; 0, I537 + J536, 0)</f>
        <v>0</v>
      </c>
      <c r="K537" s="1">
        <v>-96932.51533742332</v>
      </c>
      <c r="L537" s="1">
        <f>IF(K537 + L536 &lt; 0, K537 + L536, 0)</f>
        <v>0</v>
      </c>
    </row>
    <row r="538" spans="1:12" s="1" customFormat="1">
      <c r="A538" s="3">
        <v>45769</v>
      </c>
      <c r="B538" s="1" t="s">
        <v>13</v>
      </c>
      <c r="C538" s="1">
        <v>17</v>
      </c>
      <c r="D538" s="1">
        <v>2</v>
      </c>
      <c r="E538" s="1">
        <v>0</v>
      </c>
      <c r="F538" s="1">
        <f>IF(E538 + F537 &lt; 0, E538 + F537, 0)</f>
        <v>0</v>
      </c>
      <c r="G538" s="1">
        <v>0</v>
      </c>
      <c r="H538" s="1">
        <f>IF(G538 + H537 &lt; 0, G538 + H537, 0)</f>
        <v>0</v>
      </c>
      <c r="I538" s="1">
        <v>160913.3997429306</v>
      </c>
      <c r="J538" s="1">
        <f>IF(I538 + J537 &lt; 0, I538 + J537, 0)</f>
        <v>0</v>
      </c>
      <c r="K538" s="1">
        <v>203526.6709511568</v>
      </c>
      <c r="L538" s="1">
        <f>IF(K538 + L537 &lt; 0, K538 + L537, 0)</f>
        <v>0</v>
      </c>
    </row>
    <row r="539" spans="1:12" s="1" customFormat="1">
      <c r="A539" s="3">
        <v>45770</v>
      </c>
      <c r="B539" s="1" t="s">
        <v>14</v>
      </c>
      <c r="C539" s="1">
        <v>16</v>
      </c>
      <c r="D539" s="1">
        <v>1</v>
      </c>
      <c r="E539" s="1">
        <v>0</v>
      </c>
      <c r="F539" s="1">
        <f>IF(E539 + F538 &lt; 0, E539 + F538, 0)</f>
        <v>0</v>
      </c>
      <c r="G539" s="1">
        <v>0</v>
      </c>
      <c r="H539" s="1">
        <f>IF(G539 + H538 &lt; 0, G539 + H538, 0)</f>
        <v>0</v>
      </c>
      <c r="I539" s="1">
        <v>151059.8705501618</v>
      </c>
      <c r="J539" s="1">
        <f>IF(I539 + J538 &lt; 0, I539 + J538, 0)</f>
        <v>0</v>
      </c>
      <c r="K539" s="1">
        <v>180663.430420712</v>
      </c>
      <c r="L539" s="1">
        <f>IF(K539 + L538 &lt; 0, K539 + L538, 0)</f>
        <v>0</v>
      </c>
    </row>
    <row r="540" spans="1:12" s="1" customFormat="1">
      <c r="A540" s="3">
        <v>45771</v>
      </c>
      <c r="B540" s="1" t="s">
        <v>16</v>
      </c>
      <c r="C540" s="1">
        <v>15</v>
      </c>
      <c r="D540" s="1">
        <v>21</v>
      </c>
      <c r="E540" s="1">
        <v>0</v>
      </c>
      <c r="F540" s="1">
        <f>IF(E540 + F539 &lt; 0, E540 + F539, 0)</f>
        <v>0</v>
      </c>
      <c r="G540" s="1">
        <v>0</v>
      </c>
      <c r="H540" s="1">
        <f>IF(G540 + H539 &lt; 0, G540 + H539, 0)</f>
        <v>0</v>
      </c>
      <c r="I540" s="1">
        <v>0</v>
      </c>
      <c r="J540" s="1">
        <f>IF(I540 + J539 &lt; 0, I540 + J539, 0)</f>
        <v>0</v>
      </c>
      <c r="K540" s="1">
        <v>0</v>
      </c>
      <c r="L540" s="1">
        <f>IF(K540 + L539 &lt; 0, K540 + L539, 0)</f>
        <v>0</v>
      </c>
    </row>
    <row r="541" spans="1:12" s="1" customFormat="1">
      <c r="A541" s="3">
        <v>45772</v>
      </c>
      <c r="B541" s="1" t="s">
        <v>15</v>
      </c>
      <c r="C541" s="1">
        <v>14</v>
      </c>
      <c r="D541" s="1">
        <v>20</v>
      </c>
      <c r="E541" s="1">
        <v>0</v>
      </c>
      <c r="F541" s="1">
        <f>IF(E541 + F540 &lt; 0, E541 + F540, 0)</f>
        <v>0</v>
      </c>
      <c r="G541" s="1">
        <v>0</v>
      </c>
      <c r="H541" s="1">
        <f>IF(G541 + H540 &lt; 0, G541 + H540, 0)</f>
        <v>0</v>
      </c>
      <c r="I541" s="1">
        <v>0</v>
      </c>
      <c r="J541" s="1">
        <f>IF(I541 + J540 &lt; 0, I541 + J540, 0)</f>
        <v>0</v>
      </c>
      <c r="K541" s="1">
        <v>0</v>
      </c>
      <c r="L541" s="1">
        <f>IF(K541 + L540 &lt; 0, K541 + L540, 0)</f>
        <v>0</v>
      </c>
    </row>
    <row r="542" spans="1:12" s="1" customFormat="1">
      <c r="A542" s="3">
        <v>45775</v>
      </c>
      <c r="B542" s="1" t="s">
        <v>12</v>
      </c>
      <c r="C542" s="1">
        <v>13</v>
      </c>
      <c r="D542" s="1">
        <v>19</v>
      </c>
      <c r="E542" s="1">
        <v>0</v>
      </c>
      <c r="F542" s="1">
        <f>IF(E542 + F541 &lt; 0, E542 + F541, 0)</f>
        <v>0</v>
      </c>
      <c r="G542" s="1">
        <v>0</v>
      </c>
      <c r="H542" s="1">
        <f>IF(G542 + H541 &lt; 0, G542 + H541, 0)</f>
        <v>0</v>
      </c>
      <c r="I542" s="1">
        <v>0</v>
      </c>
      <c r="J542" s="1">
        <f>IF(I542 + J541 &lt; 0, I542 + J541, 0)</f>
        <v>0</v>
      </c>
      <c r="K542" s="1">
        <v>0</v>
      </c>
      <c r="L542" s="1">
        <f>IF(K542 + L541 &lt; 0, K542 + L541, 0)</f>
        <v>0</v>
      </c>
    </row>
    <row r="543" spans="1:12" s="1" customFormat="1">
      <c r="A543" s="3">
        <v>45777</v>
      </c>
      <c r="B543" s="1" t="s">
        <v>14</v>
      </c>
      <c r="C543" s="1">
        <v>12</v>
      </c>
      <c r="D543" s="1">
        <v>18</v>
      </c>
      <c r="E543" s="1">
        <v>0</v>
      </c>
      <c r="F543" s="1">
        <f>IF(E543 + F542 &lt; 0, E543 + F542, 0)</f>
        <v>0</v>
      </c>
      <c r="G543" s="1">
        <v>0</v>
      </c>
      <c r="H543" s="1">
        <f>IF(G543 + H542 &lt; 0, G543 + H542, 0)</f>
        <v>0</v>
      </c>
      <c r="I543" s="1">
        <v>0</v>
      </c>
      <c r="J543" s="1">
        <f>IF(I543 + J542 &lt; 0, I543 + J542, 0)</f>
        <v>0</v>
      </c>
      <c r="K543" s="1">
        <v>0</v>
      </c>
      <c r="L543" s="1">
        <f>IF(K543 + L542 &lt; 0, K543 + L542, 0)</f>
        <v>0</v>
      </c>
    </row>
    <row r="544" spans="1:12" s="1" customFormat="1">
      <c r="A544" s="3">
        <v>45778</v>
      </c>
      <c r="B544" s="1" t="s">
        <v>16</v>
      </c>
      <c r="C544" s="1">
        <v>11</v>
      </c>
      <c r="D544" s="1">
        <v>17</v>
      </c>
      <c r="E544" s="1">
        <v>0</v>
      </c>
      <c r="F544" s="1">
        <f>IF(E544 + F543 &lt; 0, E544 + F543, 0)</f>
        <v>0</v>
      </c>
      <c r="G544" s="1">
        <v>0</v>
      </c>
      <c r="H544" s="1">
        <f>IF(G544 + H543 &lt; 0, G544 + H543, 0)</f>
        <v>0</v>
      </c>
      <c r="I544" s="1">
        <v>0</v>
      </c>
      <c r="J544" s="1">
        <f>IF(I544 + J543 &lt; 0, I544 + J543, 0)</f>
        <v>0</v>
      </c>
      <c r="K544" s="1">
        <v>0</v>
      </c>
      <c r="L544" s="1">
        <f>IF(K544 + L543 &lt; 0, K544 + L543, 0)</f>
        <v>0</v>
      </c>
    </row>
    <row r="545" spans="1:12" s="1" customFormat="1">
      <c r="A545" s="3">
        <v>45779</v>
      </c>
      <c r="B545" s="1" t="s">
        <v>15</v>
      </c>
      <c r="C545" s="1">
        <v>10</v>
      </c>
      <c r="D545" s="1">
        <v>16</v>
      </c>
      <c r="E545" s="1">
        <v>-47152.75020951876</v>
      </c>
      <c r="F545" s="1">
        <f>IF(E545 + F544 &lt; 0, E545 + F544, 0)</f>
        <v>0</v>
      </c>
      <c r="G545" s="1">
        <v>-47152.75020951876</v>
      </c>
      <c r="H545" s="1">
        <f>IF(G545 + H544 &lt; 0, G545 + H544, 0)</f>
        <v>0</v>
      </c>
      <c r="I545" s="1">
        <v>0</v>
      </c>
      <c r="J545" s="1">
        <f>IF(I545 + J544 &lt; 0, I545 + J544, 0)</f>
        <v>0</v>
      </c>
      <c r="K545" s="1">
        <v>0</v>
      </c>
      <c r="L545" s="1">
        <f>IF(K545 + L544 &lt; 0, K545 + L544, 0)</f>
        <v>0</v>
      </c>
    </row>
    <row r="546" spans="1:12" s="1" customFormat="1">
      <c r="A546" s="3">
        <v>45782</v>
      </c>
      <c r="B546" s="1" t="s">
        <v>12</v>
      </c>
      <c r="C546" s="1">
        <v>9</v>
      </c>
      <c r="D546" s="1">
        <v>15</v>
      </c>
      <c r="E546" s="1">
        <v>496325.1826869026</v>
      </c>
      <c r="F546" s="1">
        <f>IF(E546 + F545 &lt; 0, E546 + F545, 0)</f>
        <v>0</v>
      </c>
      <c r="G546" s="1">
        <v>496325.1826869026</v>
      </c>
      <c r="H546" s="1">
        <f>IF(G546 + H545 &lt; 0, G546 + H545, 0)</f>
        <v>0</v>
      </c>
      <c r="I546" s="1">
        <v>0</v>
      </c>
      <c r="J546" s="1">
        <f>IF(I546 + J545 &lt; 0, I546 + J545, 0)</f>
        <v>0</v>
      </c>
      <c r="K546" s="1">
        <v>0</v>
      </c>
      <c r="L546" s="1">
        <f>IF(K546 + L545 &lt; 0, K546 + L545, 0)</f>
        <v>0</v>
      </c>
    </row>
    <row r="547" spans="1:12" s="1" customFormat="1">
      <c r="A547" s="3">
        <v>45783</v>
      </c>
      <c r="B547" s="1" t="s">
        <v>13</v>
      </c>
      <c r="C547" s="1">
        <v>8</v>
      </c>
      <c r="D547" s="1">
        <v>14</v>
      </c>
      <c r="E547" s="1">
        <v>-120838.6190648785</v>
      </c>
      <c r="F547" s="1">
        <f>IF(E547 + F546 &lt; 0, E547 + F546, 0)</f>
        <v>0</v>
      </c>
      <c r="G547" s="1">
        <v>-38034.61399057626</v>
      </c>
      <c r="H547" s="1">
        <f>IF(G547 + H546 &lt; 0, G547 + H546, 0)</f>
        <v>0</v>
      </c>
      <c r="I547" s="1">
        <v>0</v>
      </c>
      <c r="J547" s="1">
        <f>IF(I547 + J546 &lt; 0, I547 + J546, 0)</f>
        <v>0</v>
      </c>
      <c r="K547" s="1">
        <v>0</v>
      </c>
      <c r="L547" s="1">
        <f>IF(K547 + L546 &lt; 0, K547 + L546, 0)</f>
        <v>0</v>
      </c>
    </row>
    <row r="548" spans="1:12" s="1" customFormat="1">
      <c r="A548" s="3">
        <v>45784</v>
      </c>
      <c r="B548" s="1" t="s">
        <v>14</v>
      </c>
      <c r="C548" s="1">
        <v>7</v>
      </c>
      <c r="D548" s="1">
        <v>13</v>
      </c>
      <c r="E548" s="1">
        <v>-27938.97663777556</v>
      </c>
      <c r="F548" s="1">
        <f>IF(E548 + F547 &lt; 0, E548 + F547, 0)</f>
        <v>0</v>
      </c>
      <c r="G548" s="1">
        <v>-68634.78375643452</v>
      </c>
      <c r="H548" s="1">
        <f>IF(G548 + H547 &lt; 0, G548 + H547, 0)</f>
        <v>0</v>
      </c>
      <c r="I548" s="1">
        <v>0</v>
      </c>
      <c r="J548" s="1">
        <f>IF(I548 + J547 &lt; 0, I548 + J547, 0)</f>
        <v>0</v>
      </c>
      <c r="K548" s="1">
        <v>0</v>
      </c>
      <c r="L548" s="1">
        <f>IF(K548 + L547 &lt; 0, K548 + L547, 0)</f>
        <v>0</v>
      </c>
    </row>
    <row r="549" spans="1:12" s="1" customFormat="1">
      <c r="A549" s="3">
        <v>45785</v>
      </c>
      <c r="B549" s="1" t="s">
        <v>16</v>
      </c>
      <c r="C549" s="1">
        <v>6</v>
      </c>
      <c r="D549" s="1">
        <v>12</v>
      </c>
      <c r="E549" s="1">
        <v>-156115.8078368224</v>
      </c>
      <c r="F549" s="1">
        <f>IF(E549 + F548 &lt; 0, E549 + F548, 0)</f>
        <v>0</v>
      </c>
      <c r="G549" s="1">
        <v>-183060.4759348721</v>
      </c>
      <c r="H549" s="1">
        <f>IF(G549 + H548 &lt; 0, G549 + H548, 0)</f>
        <v>0</v>
      </c>
      <c r="I549" s="1">
        <v>0</v>
      </c>
      <c r="J549" s="1">
        <f>IF(I549 + J548 &lt; 0, I549 + J548, 0)</f>
        <v>0</v>
      </c>
      <c r="K549" s="1">
        <v>0</v>
      </c>
      <c r="L549" s="1">
        <f>IF(K549 + L548 &lt; 0, K549 + L548, 0)</f>
        <v>0</v>
      </c>
    </row>
    <row r="550" spans="1:12" s="1" customFormat="1">
      <c r="A550" s="3">
        <v>45786</v>
      </c>
      <c r="B550" s="1" t="s">
        <v>15</v>
      </c>
      <c r="C550" s="1">
        <v>5</v>
      </c>
      <c r="D550" s="1">
        <v>11</v>
      </c>
      <c r="E550" s="1">
        <v>374720.1171202204</v>
      </c>
      <c r="F550" s="1">
        <f>IF(E550 + F549 &lt; 0, E550 + F549, 0)</f>
        <v>0</v>
      </c>
      <c r="G550" s="1">
        <v>374720.1171202204</v>
      </c>
      <c r="H550" s="1">
        <f>IF(G550 + H549 &lt; 0, G550 + H549, 0)</f>
        <v>0</v>
      </c>
      <c r="I550" s="1">
        <v>0</v>
      </c>
      <c r="J550" s="1">
        <f>IF(I550 + J549 &lt; 0, I550 + J549, 0)</f>
        <v>0</v>
      </c>
      <c r="K550" s="1">
        <v>0</v>
      </c>
      <c r="L550" s="1">
        <f>IF(K550 + L549 &lt; 0, K550 + L549, 0)</f>
        <v>0</v>
      </c>
    </row>
    <row r="551" spans="1:12" s="1" customFormat="1">
      <c r="A551" s="3">
        <v>45789</v>
      </c>
      <c r="B551" s="1" t="s">
        <v>12</v>
      </c>
      <c r="C551" s="1">
        <v>4</v>
      </c>
      <c r="D551" s="1">
        <v>10</v>
      </c>
      <c r="E551" s="1">
        <v>100941.4225941423</v>
      </c>
      <c r="F551" s="1">
        <f>IF(E551 + F550 &lt; 0, E551 + F550, 0)</f>
        <v>0</v>
      </c>
      <c r="G551" s="1">
        <v>60157.11724020152</v>
      </c>
      <c r="H551" s="1">
        <f>IF(G551 + H550 &lt; 0, G551 + H550, 0)</f>
        <v>0</v>
      </c>
      <c r="I551" s="1">
        <v>0</v>
      </c>
      <c r="J551" s="1">
        <f>IF(I551 + J550 &lt; 0, I551 + J550, 0)</f>
        <v>0</v>
      </c>
      <c r="K551" s="1">
        <v>0</v>
      </c>
      <c r="L551" s="1">
        <f>IF(K551 + L550 &lt; 0, K551 + L550, 0)</f>
        <v>0</v>
      </c>
    </row>
    <row r="552" spans="1:12" s="1" customFormat="1">
      <c r="A552" s="3">
        <v>45790</v>
      </c>
      <c r="B552" s="1" t="s">
        <v>13</v>
      </c>
      <c r="C552" s="1">
        <v>3</v>
      </c>
      <c r="D552" s="1">
        <v>9</v>
      </c>
      <c r="E552" s="1">
        <v>99693.71317139341</v>
      </c>
      <c r="F552" s="1">
        <f>IF(E552 + F551 &lt; 0, E552 + F551, 0)</f>
        <v>0</v>
      </c>
      <c r="G552" s="1">
        <v>33977.70147102462</v>
      </c>
      <c r="H552" s="1">
        <f>IF(G552 + H551 &lt; 0, G552 + H551, 0)</f>
        <v>0</v>
      </c>
      <c r="I552" s="1">
        <v>0</v>
      </c>
      <c r="J552" s="1">
        <f>IF(I552 + J551 &lt; 0, I552 + J551, 0)</f>
        <v>0</v>
      </c>
      <c r="K552" s="1">
        <v>0</v>
      </c>
      <c r="L552" s="1">
        <f>IF(K552 + L551 &lt; 0, K552 + L551, 0)</f>
        <v>0</v>
      </c>
    </row>
    <row r="553" spans="1:12" s="1" customFormat="1">
      <c r="A553" s="3">
        <v>45791</v>
      </c>
      <c r="B553" s="1" t="s">
        <v>14</v>
      </c>
      <c r="C553" s="1">
        <v>2</v>
      </c>
      <c r="D553" s="1">
        <v>8</v>
      </c>
      <c r="E553" s="1">
        <v>188362.1933621934</v>
      </c>
      <c r="F553" s="1">
        <f>IF(E553 + F552 &lt; 0, E553 + F552, 0)</f>
        <v>0</v>
      </c>
      <c r="G553" s="1">
        <v>261533.7043908472</v>
      </c>
      <c r="H553" s="1">
        <f>IF(G553 + H552 &lt; 0, G553 + H552, 0)</f>
        <v>0</v>
      </c>
      <c r="I553" s="1">
        <v>0</v>
      </c>
      <c r="J553" s="1">
        <f>IF(I553 + J552 &lt; 0, I553 + J552, 0)</f>
        <v>0</v>
      </c>
      <c r="K553" s="1">
        <v>0</v>
      </c>
      <c r="L553" s="1">
        <f>IF(K553 + L552 &lt; 0, K553 + L552, 0)</f>
        <v>0</v>
      </c>
    </row>
    <row r="554" spans="1:12" s="1" customFormat="1">
      <c r="A554" s="3">
        <v>45792</v>
      </c>
      <c r="B554" s="1" t="s">
        <v>16</v>
      </c>
      <c r="C554" s="1">
        <v>1</v>
      </c>
      <c r="D554" s="1">
        <v>7</v>
      </c>
      <c r="E554" s="1">
        <v>164518.2947297751</v>
      </c>
      <c r="F554" s="1">
        <f>IF(E554 + F553 &lt; 0, E554 + F553, 0)</f>
        <v>0</v>
      </c>
      <c r="G554" s="1">
        <v>328277.1064115476</v>
      </c>
      <c r="H554" s="1">
        <f>IF(G554 + H553 &lt; 0, G554 + H553, 0)</f>
        <v>0</v>
      </c>
      <c r="I554" s="1">
        <v>0</v>
      </c>
      <c r="J554" s="1">
        <f>IF(I554 + J553 &lt; 0, I554 + J553, 0)</f>
        <v>0</v>
      </c>
      <c r="K554" s="1">
        <v>0</v>
      </c>
      <c r="L554" s="1">
        <f>IF(K554 + L553 &lt; 0, K554 + L553, 0)</f>
        <v>0</v>
      </c>
    </row>
    <row r="555" spans="1:12" s="1" customFormat="1">
      <c r="A555" s="3">
        <v>45793</v>
      </c>
      <c r="B555" s="1" t="s">
        <v>15</v>
      </c>
      <c r="C555" s="1">
        <v>22</v>
      </c>
      <c r="D555" s="1">
        <v>6</v>
      </c>
      <c r="E555" s="1">
        <v>0</v>
      </c>
      <c r="F555" s="1">
        <f>IF(E555 + F554 &lt; 0, E555 + F554, 0)</f>
        <v>0</v>
      </c>
      <c r="G555" s="1">
        <v>0</v>
      </c>
      <c r="H555" s="1">
        <f>IF(G555 + H554 &lt; 0, G555 + H554, 0)</f>
        <v>0</v>
      </c>
      <c r="I555" s="1">
        <v>182888.6310904873</v>
      </c>
      <c r="J555" s="1">
        <f>IF(I555 + J554 &lt; 0, I555 + J554, 0)</f>
        <v>0</v>
      </c>
      <c r="K555" s="1">
        <v>182888.6310904873</v>
      </c>
      <c r="L555" s="1">
        <f>IF(K555 + L554 &lt; 0, K555 + L554, 0)</f>
        <v>0</v>
      </c>
    </row>
    <row r="556" spans="1:12" s="1" customFormat="1">
      <c r="A556" s="3">
        <v>45796</v>
      </c>
      <c r="B556" s="1" t="s">
        <v>12</v>
      </c>
      <c r="C556" s="1">
        <v>21</v>
      </c>
      <c r="D556" s="1">
        <v>5</v>
      </c>
      <c r="E556" s="1">
        <v>0</v>
      </c>
      <c r="F556" s="1">
        <f>IF(E556 + F555 &lt; 0, E556 + F555, 0)</f>
        <v>0</v>
      </c>
      <c r="G556" s="1">
        <v>0</v>
      </c>
      <c r="H556" s="1">
        <f>IF(G556 + H555 &lt; 0, G556 + H555, 0)</f>
        <v>0</v>
      </c>
      <c r="I556" s="1">
        <v>14538.36930455635</v>
      </c>
      <c r="J556" s="1">
        <f>IF(I556 + J555 &lt; 0, I556 + J555, 0)</f>
        <v>0</v>
      </c>
      <c r="K556" s="1">
        <v>14538.36930455635</v>
      </c>
      <c r="L556" s="1">
        <f>IF(K556 + L555 &lt; 0, K556 + L555, 0)</f>
        <v>0</v>
      </c>
    </row>
    <row r="557" spans="1:12" s="1" customFormat="1">
      <c r="A557" s="3">
        <v>45797</v>
      </c>
      <c r="B557" s="1" t="s">
        <v>13</v>
      </c>
      <c r="C557" s="1">
        <v>20</v>
      </c>
      <c r="D557" s="1">
        <v>4</v>
      </c>
      <c r="E557" s="1">
        <v>0</v>
      </c>
      <c r="F557" s="1">
        <f>IF(E557 + F556 &lt; 0, E557 + F556, 0)</f>
        <v>0</v>
      </c>
      <c r="G557" s="1">
        <v>0</v>
      </c>
      <c r="H557" s="1">
        <f>IF(G557 + H556 &lt; 0, G557 + H556, 0)</f>
        <v>0</v>
      </c>
      <c r="I557" s="1">
        <v>-120619.7576887232</v>
      </c>
      <c r="J557" s="1">
        <f>IF(I557 + J556 &lt; 0, I557 + J556, 0)</f>
        <v>0</v>
      </c>
      <c r="K557" s="1">
        <v>-250582.4790307548</v>
      </c>
      <c r="L557" s="1">
        <f>IF(K557 + L556 &lt; 0, K557 + L556, 0)</f>
        <v>0</v>
      </c>
    </row>
    <row r="558" spans="1:12" s="1" customFormat="1">
      <c r="A558" s="3">
        <v>45798</v>
      </c>
      <c r="B558" s="1" t="s">
        <v>14</v>
      </c>
      <c r="C558" s="1">
        <v>19</v>
      </c>
      <c r="D558" s="1">
        <v>3</v>
      </c>
      <c r="E558" s="1">
        <v>0</v>
      </c>
      <c r="F558" s="1">
        <f>IF(E558 + F557 &lt; 0, E558 + F557, 0)</f>
        <v>0</v>
      </c>
      <c r="G558" s="1">
        <v>0</v>
      </c>
      <c r="H558" s="1">
        <f>IF(G558 + H557 &lt; 0, G558 + H557, 0)</f>
        <v>0</v>
      </c>
      <c r="I558" s="1">
        <v>138989.2857142857</v>
      </c>
      <c r="J558" s="1">
        <f>IF(I558 + J557 &lt; 0, I558 + J557, 0)</f>
        <v>0</v>
      </c>
      <c r="K558" s="1">
        <v>185085.7142857143</v>
      </c>
      <c r="L558" s="1">
        <f>IF(K558 + L557 &lt; 0, K558 + L557, 0)</f>
        <v>0</v>
      </c>
    </row>
    <row r="559" spans="1:12" s="1" customFormat="1">
      <c r="A559" s="3">
        <v>45799</v>
      </c>
      <c r="B559" s="1" t="s">
        <v>16</v>
      </c>
      <c r="C559" s="1">
        <v>18</v>
      </c>
      <c r="D559" s="1">
        <v>2</v>
      </c>
      <c r="E559" s="1">
        <v>0</v>
      </c>
      <c r="F559" s="1">
        <f>IF(E559 + F558 &lt; 0, E559 + F558, 0)</f>
        <v>0</v>
      </c>
      <c r="G559" s="1">
        <v>0</v>
      </c>
      <c r="H559" s="1">
        <f>IF(G559 + H558 &lt; 0, G559 + H558, 0)</f>
        <v>0</v>
      </c>
      <c r="I559" s="1">
        <v>159023.9676581</v>
      </c>
      <c r="J559" s="1">
        <f>IF(I559 + J558 &lt; 0, I559 + J558, 0)</f>
        <v>0</v>
      </c>
      <c r="K559" s="1">
        <v>159023.9676581</v>
      </c>
      <c r="L559" s="1">
        <f>IF(K559 + L558 &lt; 0, K559 + L558, 0)</f>
        <v>0</v>
      </c>
    </row>
    <row r="560" spans="1:12" s="1" customFormat="1">
      <c r="A560" s="3">
        <v>45800</v>
      </c>
      <c r="B560" s="1" t="s">
        <v>15</v>
      </c>
      <c r="C560" s="1">
        <v>17</v>
      </c>
      <c r="D560" s="1">
        <v>1</v>
      </c>
      <c r="E560" s="1">
        <v>0</v>
      </c>
      <c r="F560" s="1">
        <f>IF(E560 + F559 &lt; 0, E560 + F559, 0)</f>
        <v>0</v>
      </c>
      <c r="G560" s="1">
        <v>0</v>
      </c>
      <c r="H560" s="1">
        <f>IF(G560 + H559 &lt; 0, G560 + H559, 0)</f>
        <v>0</v>
      </c>
      <c r="I560" s="1">
        <v>-55710.3784742756</v>
      </c>
      <c r="J560" s="1">
        <f>IF(I560 + J559 &lt; 0, I560 + J559, 0)</f>
        <v>0</v>
      </c>
      <c r="K560" s="1">
        <v>216462.1525724422</v>
      </c>
      <c r="L560" s="1">
        <f>IF(K560 + L559 &lt; 0, K560 + L559, 0)</f>
        <v>0</v>
      </c>
    </row>
    <row r="561" spans="1:12" s="1" customFormat="1">
      <c r="A561" s="3">
        <v>45803</v>
      </c>
      <c r="B561" s="1" t="s">
        <v>12</v>
      </c>
      <c r="C561" s="1">
        <v>16</v>
      </c>
      <c r="D561" s="1">
        <v>21</v>
      </c>
      <c r="E561" s="1">
        <v>0</v>
      </c>
      <c r="F561" s="1">
        <f>IF(E561 + F560 &lt; 0, E561 + F560, 0)</f>
        <v>0</v>
      </c>
      <c r="G561" s="1">
        <v>0</v>
      </c>
      <c r="H561" s="1">
        <f>IF(G561 + H560 &lt; 0, G561 + H560, 0)</f>
        <v>0</v>
      </c>
      <c r="I561" s="1">
        <v>0</v>
      </c>
      <c r="J561" s="1">
        <f>IF(I561 + J560 &lt; 0, I561 + J560, 0)</f>
        <v>0</v>
      </c>
      <c r="K561" s="1">
        <v>0</v>
      </c>
      <c r="L561" s="1">
        <f>IF(K561 + L560 &lt; 0, K561 + L560, 0)</f>
        <v>0</v>
      </c>
    </row>
    <row r="562" spans="1:12" s="1" customFormat="1">
      <c r="A562" s="3">
        <v>45804</v>
      </c>
      <c r="B562" s="1" t="s">
        <v>13</v>
      </c>
      <c r="C562" s="1">
        <v>15</v>
      </c>
      <c r="D562" s="1">
        <v>20</v>
      </c>
      <c r="E562" s="1">
        <v>0</v>
      </c>
      <c r="F562" s="1">
        <f>IF(E562 + F561 &lt; 0, E562 + F561, 0)</f>
        <v>0</v>
      </c>
      <c r="G562" s="1">
        <v>0</v>
      </c>
      <c r="H562" s="1">
        <f>IF(G562 + H561 &lt; 0, G562 + H561, 0)</f>
        <v>0</v>
      </c>
      <c r="I562" s="1">
        <v>0</v>
      </c>
      <c r="J562" s="1">
        <f>IF(I562 + J561 &lt; 0, I562 + J561, 0)</f>
        <v>0</v>
      </c>
      <c r="K562" s="1">
        <v>0</v>
      </c>
      <c r="L562" s="1">
        <f>IF(K562 + L561 &lt; 0, K562 + L561, 0)</f>
        <v>0</v>
      </c>
    </row>
    <row r="563" spans="1:12" s="1" customFormat="1">
      <c r="A563" s="3">
        <v>45805</v>
      </c>
      <c r="B563" s="1" t="s">
        <v>14</v>
      </c>
      <c r="C563" s="1">
        <v>14</v>
      </c>
      <c r="D563" s="1">
        <v>19</v>
      </c>
      <c r="E563" s="1">
        <v>0</v>
      </c>
      <c r="F563" s="1">
        <f>IF(E563 + F562 &lt; 0, E563 + F562, 0)</f>
        <v>0</v>
      </c>
      <c r="G563" s="1">
        <v>0</v>
      </c>
      <c r="H563" s="1">
        <f>IF(G563 + H562 &lt; 0, G563 + H562, 0)</f>
        <v>0</v>
      </c>
      <c r="I563" s="1">
        <v>0</v>
      </c>
      <c r="J563" s="1">
        <f>IF(I563 + J562 &lt; 0, I563 + J562, 0)</f>
        <v>0</v>
      </c>
      <c r="K563" s="1">
        <v>0</v>
      </c>
      <c r="L563" s="1">
        <f>IF(K563 + L562 &lt; 0, K563 + L562, 0)</f>
        <v>0</v>
      </c>
    </row>
    <row r="564" spans="1:12" s="1" customFormat="1">
      <c r="A564" s="3">
        <v>45806</v>
      </c>
      <c r="B564" s="1" t="s">
        <v>16</v>
      </c>
      <c r="C564" s="1">
        <v>13</v>
      </c>
      <c r="D564" s="1">
        <v>18</v>
      </c>
      <c r="E564" s="1">
        <v>0</v>
      </c>
      <c r="F564" s="1">
        <f>IF(E564 + F563 &lt; 0, E564 + F563, 0)</f>
        <v>0</v>
      </c>
      <c r="G564" s="1">
        <v>0</v>
      </c>
      <c r="H564" s="1">
        <f>IF(G564 + H563 &lt; 0, G564 + H563, 0)</f>
        <v>0</v>
      </c>
      <c r="I564" s="1">
        <v>0</v>
      </c>
      <c r="J564" s="1">
        <f>IF(I564 + J563 &lt; 0, I564 + J563, 0)</f>
        <v>0</v>
      </c>
      <c r="K564" s="1">
        <v>0</v>
      </c>
      <c r="L564" s="1">
        <f>IF(K564 + L563 &lt; 0, K564 + L563, 0)</f>
        <v>0</v>
      </c>
    </row>
    <row r="565" spans="1:12" s="1" customFormat="1">
      <c r="A565" s="3">
        <v>45807</v>
      </c>
      <c r="B565" s="1" t="s">
        <v>15</v>
      </c>
      <c r="C565" s="1">
        <v>12</v>
      </c>
      <c r="D565" s="1">
        <v>17</v>
      </c>
      <c r="E565" s="1">
        <v>0</v>
      </c>
      <c r="F565" s="1">
        <f>IF(E565 + F564 &lt; 0, E565 + F564, 0)</f>
        <v>0</v>
      </c>
      <c r="G565" s="1">
        <v>0</v>
      </c>
      <c r="H565" s="1">
        <f>IF(G565 + H564 &lt; 0, G565 + H564, 0)</f>
        <v>0</v>
      </c>
      <c r="I565" s="1">
        <v>0</v>
      </c>
      <c r="J565" s="1">
        <f>IF(I565 + J564 &lt; 0, I565 + J564, 0)</f>
        <v>0</v>
      </c>
      <c r="K565" s="1">
        <v>0</v>
      </c>
      <c r="L565" s="1">
        <f>IF(K565 + L564 &lt; 0, K565 + L564, 0)</f>
        <v>0</v>
      </c>
    </row>
    <row r="566" spans="1:12" s="1" customFormat="1">
      <c r="A566" s="3">
        <v>45810</v>
      </c>
      <c r="B566" s="1" t="s">
        <v>12</v>
      </c>
      <c r="C566" s="1">
        <v>11</v>
      </c>
      <c r="D566" s="1">
        <v>16</v>
      </c>
      <c r="E566" s="1">
        <v>0</v>
      </c>
      <c r="F566" s="1">
        <f>IF(E566 + F565 &lt; 0, E566 + F565, 0)</f>
        <v>0</v>
      </c>
      <c r="G566" s="1">
        <v>0</v>
      </c>
      <c r="H566" s="1">
        <f>IF(G566 + H565 &lt; 0, G566 + H565, 0)</f>
        <v>0</v>
      </c>
      <c r="I566" s="1">
        <v>0</v>
      </c>
      <c r="J566" s="1">
        <f>IF(I566 + J565 &lt; 0, I566 + J565, 0)</f>
        <v>0</v>
      </c>
      <c r="K566" s="1">
        <v>0</v>
      </c>
      <c r="L566" s="1">
        <f>IF(K566 + L565 &lt; 0, K566 + L565, 0)</f>
        <v>0</v>
      </c>
    </row>
    <row r="567" spans="1:12" s="1" customFormat="1">
      <c r="A567" s="3">
        <v>45811</v>
      </c>
      <c r="B567" s="1" t="s">
        <v>13</v>
      </c>
      <c r="C567" s="1">
        <v>10</v>
      </c>
      <c r="D567" s="1">
        <v>15</v>
      </c>
      <c r="E567" s="1">
        <v>35490.3901674503</v>
      </c>
      <c r="F567" s="1">
        <f>IF(E567 + F566 &lt; 0, E567 + F566, 0)</f>
        <v>0</v>
      </c>
      <c r="G567" s="1">
        <v>35490.3901674503</v>
      </c>
      <c r="H567" s="1">
        <f>IF(G567 + H566 &lt; 0, G567 + H566, 0)</f>
        <v>0</v>
      </c>
      <c r="I567" s="1">
        <v>0</v>
      </c>
      <c r="J567" s="1">
        <f>IF(I567 + J566 &lt; 0, I567 + J566, 0)</f>
        <v>0</v>
      </c>
      <c r="K567" s="1">
        <v>0</v>
      </c>
      <c r="L567" s="1">
        <f>IF(K567 + L566 &lt; 0, K567 + L566, 0)</f>
        <v>0</v>
      </c>
    </row>
    <row r="568" spans="1:12" s="1" customFormat="1">
      <c r="A568" s="3">
        <v>45812</v>
      </c>
      <c r="B568" s="1" t="s">
        <v>14</v>
      </c>
      <c r="C568" s="1">
        <v>9</v>
      </c>
      <c r="D568" s="1">
        <v>14</v>
      </c>
      <c r="E568" s="1">
        <v>135602.2443379613</v>
      </c>
      <c r="F568" s="1">
        <f>IF(E568 + F567 &lt; 0, E568 + F567, 0)</f>
        <v>0</v>
      </c>
      <c r="G568" s="1">
        <v>135602.2443379613</v>
      </c>
      <c r="H568" s="1">
        <f>IF(G568 + H567 &lt; 0, G568 + H567, 0)</f>
        <v>0</v>
      </c>
      <c r="I568" s="1">
        <v>0</v>
      </c>
      <c r="J568" s="1">
        <f>IF(I568 + J567 &lt; 0, I568 + J567, 0)</f>
        <v>0</v>
      </c>
      <c r="K568" s="1">
        <v>0</v>
      </c>
      <c r="L568" s="1">
        <f>IF(K568 + L567 &lt; 0, K568 + L567, 0)</f>
        <v>0</v>
      </c>
    </row>
    <row r="569" spans="1:12" s="1" customFormat="1">
      <c r="A569" s="3">
        <v>45813</v>
      </c>
      <c r="B569" s="1" t="s">
        <v>16</v>
      </c>
      <c r="C569" s="1">
        <v>8</v>
      </c>
      <c r="D569" s="1">
        <v>13</v>
      </c>
      <c r="E569" s="1">
        <v>91244.79102199119</v>
      </c>
      <c r="F569" s="1">
        <f>IF(E569 + F568 &lt; 0, E569 + F568, 0)</f>
        <v>0</v>
      </c>
      <c r="G569" s="1">
        <v>91244.79102199119</v>
      </c>
      <c r="H569" s="1">
        <f>IF(G569 + H568 &lt; 0, G569 + H568, 0)</f>
        <v>0</v>
      </c>
      <c r="I569" s="1">
        <v>0</v>
      </c>
      <c r="J569" s="1">
        <f>IF(I569 + J568 &lt; 0, I569 + J568, 0)</f>
        <v>0</v>
      </c>
      <c r="K569" s="1">
        <v>0</v>
      </c>
      <c r="L569" s="1">
        <f>IF(K569 + L568 &lt; 0, K569 + L568, 0)</f>
        <v>0</v>
      </c>
    </row>
    <row r="570" spans="1:12" s="1" customFormat="1">
      <c r="A570" s="3">
        <v>45814</v>
      </c>
      <c r="B570" s="1" t="s">
        <v>15</v>
      </c>
      <c r="C570" s="1">
        <v>7</v>
      </c>
      <c r="D570" s="1">
        <v>12</v>
      </c>
      <c r="E570" s="1">
        <v>27618.1118480308</v>
      </c>
      <c r="F570" s="1">
        <f>IF(E570 + F569 &lt; 0, E570 + F569, 0)</f>
        <v>0</v>
      </c>
      <c r="G570" s="1">
        <v>-3909.76827970195</v>
      </c>
      <c r="H570" s="1">
        <f>IF(G570 + H569 &lt; 0, G570 + H569, 0)</f>
        <v>0</v>
      </c>
      <c r="I570" s="1">
        <v>0</v>
      </c>
      <c r="J570" s="1">
        <f>IF(I570 + J569 &lt; 0, I570 + J569, 0)</f>
        <v>0</v>
      </c>
      <c r="K570" s="1">
        <v>0</v>
      </c>
      <c r="L570" s="1">
        <f>IF(K570 + L569 &lt; 0, K570 + L569, 0)</f>
        <v>0</v>
      </c>
    </row>
    <row r="571" spans="1:12" s="1" customFormat="1">
      <c r="A571" s="3">
        <v>45817</v>
      </c>
      <c r="B571" s="1" t="s">
        <v>12</v>
      </c>
      <c r="C571" s="1">
        <v>6</v>
      </c>
      <c r="D571" s="1">
        <v>11</v>
      </c>
      <c r="E571" s="1">
        <v>195660.0434397876</v>
      </c>
      <c r="F571" s="1">
        <f>IF(E571 + F570 &lt; 0, E571 + F570, 0)</f>
        <v>0</v>
      </c>
      <c r="G571" s="1">
        <v>195660.0434397876</v>
      </c>
      <c r="H571" s="1">
        <f>IF(G571 + H570 &lt; 0, G571 + H570, 0)</f>
        <v>0</v>
      </c>
      <c r="I571" s="1">
        <v>0</v>
      </c>
      <c r="J571" s="1">
        <f>IF(I571 + J570 &lt; 0, I571 + J570, 0)</f>
        <v>0</v>
      </c>
      <c r="K571" s="1">
        <v>0</v>
      </c>
      <c r="L571" s="1">
        <f>IF(K571 + L570 &lt; 0, K571 + L570, 0)</f>
        <v>0</v>
      </c>
    </row>
    <row r="572" spans="1:12" s="1" customFormat="1">
      <c r="A572" s="3">
        <v>45818</v>
      </c>
      <c r="B572" s="1" t="s">
        <v>13</v>
      </c>
      <c r="C572" s="1">
        <v>5</v>
      </c>
      <c r="D572" s="1">
        <v>10</v>
      </c>
      <c r="E572" s="1">
        <v>74318.43398319861</v>
      </c>
      <c r="F572" s="1">
        <f>IF(E572 + F571 &lt; 0, E572 + F571, 0)</f>
        <v>0</v>
      </c>
      <c r="G572" s="1">
        <v>74318.43398319861</v>
      </c>
      <c r="H572" s="1">
        <f>IF(G572 + H571 &lt; 0, G572 + H571, 0)</f>
        <v>0</v>
      </c>
      <c r="I572" s="1">
        <v>0</v>
      </c>
      <c r="J572" s="1">
        <f>IF(I572 + J571 &lt; 0, I572 + J571, 0)</f>
        <v>0</v>
      </c>
      <c r="K572" s="1">
        <v>0</v>
      </c>
      <c r="L572" s="1">
        <f>IF(K572 + L571 &lt; 0, K572 + L571, 0)</f>
        <v>0</v>
      </c>
    </row>
    <row r="573" spans="1:12" s="1" customFormat="1">
      <c r="A573" s="3">
        <v>45819</v>
      </c>
      <c r="B573" s="1" t="s">
        <v>14</v>
      </c>
      <c r="C573" s="1">
        <v>4</v>
      </c>
      <c r="D573" s="1">
        <v>9</v>
      </c>
      <c r="E573" s="1">
        <v>-74617.22966220271</v>
      </c>
      <c r="F573" s="1">
        <f>IF(E573 + F572 &lt; 0, E573 + F572, 0)</f>
        <v>0</v>
      </c>
      <c r="G573" s="1">
        <v>-210933.4399360384</v>
      </c>
      <c r="H573" s="1">
        <f>IF(G573 + H572 &lt; 0, G573 + H572, 0)</f>
        <v>0</v>
      </c>
      <c r="I573" s="1">
        <v>0</v>
      </c>
      <c r="J573" s="1">
        <f>IF(I573 + J572 &lt; 0, I573 + J572, 0)</f>
        <v>0</v>
      </c>
      <c r="K573" s="1">
        <v>0</v>
      </c>
      <c r="L573" s="1">
        <f>IF(K573 + L572 &lt; 0, K573 + L572, 0)</f>
        <v>0</v>
      </c>
    </row>
    <row r="574" spans="1:12" s="1" customFormat="1">
      <c r="A574" s="3">
        <v>45820</v>
      </c>
      <c r="B574" s="1" t="s">
        <v>16</v>
      </c>
      <c r="C574" s="1">
        <v>3</v>
      </c>
      <c r="D574" s="1">
        <v>8</v>
      </c>
      <c r="E574" s="1">
        <v>-134841.650671785</v>
      </c>
      <c r="F574" s="1">
        <f>IF(E574 + F573 &lt; 0, E574 + F573, 0)</f>
        <v>0</v>
      </c>
      <c r="G574" s="1">
        <v>-289443.378119002</v>
      </c>
      <c r="H574" s="1">
        <f>IF(G574 + H573 &lt; 0, G574 + H573, 0)</f>
        <v>0</v>
      </c>
      <c r="I574" s="1">
        <v>0</v>
      </c>
      <c r="J574" s="1">
        <f>IF(I574 + J573 &lt; 0, I574 + J573, 0)</f>
        <v>0</v>
      </c>
      <c r="K574" s="1">
        <v>0</v>
      </c>
      <c r="L574" s="1">
        <f>IF(K574 + L573 &lt; 0, K574 + L573, 0)</f>
        <v>0</v>
      </c>
    </row>
    <row r="575" spans="1:12" s="1" customFormat="1">
      <c r="A575" s="3">
        <v>45821</v>
      </c>
      <c r="B575" s="1" t="s">
        <v>15</v>
      </c>
      <c r="C575" s="1">
        <v>2</v>
      </c>
      <c r="D575" s="1">
        <v>7</v>
      </c>
      <c r="E575" s="1">
        <v>508585.3693538552</v>
      </c>
      <c r="F575" s="1">
        <f>IF(E575 + F574 &lt; 0, E575 + F574, 0)</f>
        <v>0</v>
      </c>
      <c r="G575" s="1">
        <v>508585.3693538552</v>
      </c>
      <c r="H575" s="1">
        <f>IF(G575 + H574 &lt; 0, G575 + H574, 0)</f>
        <v>0</v>
      </c>
      <c r="I575" s="1">
        <v>0</v>
      </c>
      <c r="J575" s="1">
        <f>IF(I575 + J574 &lt; 0, I575 + J574, 0)</f>
        <v>0</v>
      </c>
      <c r="K575" s="1">
        <v>0</v>
      </c>
      <c r="L575" s="1">
        <f>IF(K575 + L574 &lt; 0, K575 + L574, 0)</f>
        <v>0</v>
      </c>
    </row>
    <row r="576" spans="1:12" s="1" customFormat="1">
      <c r="A576" s="3">
        <v>45824</v>
      </c>
      <c r="B576" s="1" t="s">
        <v>12</v>
      </c>
      <c r="C576" s="1">
        <v>1</v>
      </c>
      <c r="D576" s="1">
        <v>6</v>
      </c>
      <c r="E576" s="1">
        <v>-80594.24001122529</v>
      </c>
      <c r="F576" s="1">
        <f>IF(E576 + F575 &lt; 0, E576 + F575, 0)</f>
        <v>0</v>
      </c>
      <c r="G576" s="1">
        <v>-720612.4811449822</v>
      </c>
      <c r="H576" s="1">
        <f>IF(G576 + H575 &lt; 0, G576 + H575, 0)</f>
        <v>0</v>
      </c>
      <c r="I576" s="1">
        <v>134763.0394492984</v>
      </c>
      <c r="J576" s="1">
        <f>IF(I576 + J575 &lt; 0, I576 + J575, 0)</f>
        <v>0</v>
      </c>
      <c r="K576" s="1">
        <v>134763.0394492984</v>
      </c>
      <c r="L576" s="1">
        <f>IF(K576 + L575 &lt; 0, K576 + L575, 0)</f>
        <v>0</v>
      </c>
    </row>
    <row r="577" spans="1:12" s="1" customFormat="1">
      <c r="A577" s="3">
        <v>45825</v>
      </c>
      <c r="B577" s="1" t="s">
        <v>13</v>
      </c>
      <c r="C577" s="1">
        <v>23</v>
      </c>
      <c r="D577" s="1">
        <v>5</v>
      </c>
      <c r="E577" s="1">
        <v>0</v>
      </c>
      <c r="F577" s="1">
        <f>IF(E577 + F576 &lt; 0, E577 + F576, 0)</f>
        <v>0</v>
      </c>
      <c r="G577" s="1">
        <v>0</v>
      </c>
      <c r="H577" s="1">
        <f>IF(G577 + H576 &lt; 0, G577 + H576, 0)</f>
        <v>0</v>
      </c>
      <c r="I577" s="1">
        <v>94974.22680412373</v>
      </c>
      <c r="J577" s="1">
        <f>IF(I577 + J576 &lt; 0, I577 + J576, 0)</f>
        <v>0</v>
      </c>
      <c r="K577" s="1">
        <v>94974.22680412373</v>
      </c>
      <c r="L577" s="1">
        <f>IF(K577 + L576 &lt; 0, K577 + L576, 0)</f>
        <v>0</v>
      </c>
    </row>
    <row r="578" spans="1:12" s="1" customFormat="1">
      <c r="A578" s="3">
        <v>45826</v>
      </c>
      <c r="B578" s="1" t="s">
        <v>14</v>
      </c>
      <c r="C578" s="1">
        <v>22</v>
      </c>
      <c r="D578" s="1">
        <v>4</v>
      </c>
      <c r="E578" s="1">
        <v>0</v>
      </c>
      <c r="F578" s="1">
        <f>IF(E578 + F577 &lt; 0, E578 + F577, 0)</f>
        <v>0</v>
      </c>
      <c r="G578" s="1">
        <v>0</v>
      </c>
      <c r="H578" s="1">
        <f>IF(G578 + H577 &lt; 0, G578 + H577, 0)</f>
        <v>0</v>
      </c>
      <c r="I578" s="1">
        <v>100099.725754176</v>
      </c>
      <c r="J578" s="1">
        <f>IF(I578 + J577 &lt; 0, I578 + J577, 0)</f>
        <v>0</v>
      </c>
      <c r="K578" s="1">
        <v>100099.725754176</v>
      </c>
      <c r="L578" s="1">
        <f>IF(K578 + L577 &lt; 0, K578 + L577, 0)</f>
        <v>0</v>
      </c>
    </row>
    <row r="579" spans="1:12" s="1" customFormat="1">
      <c r="A579" s="3">
        <v>45827</v>
      </c>
      <c r="B579" s="1" t="s">
        <v>16</v>
      </c>
      <c r="C579" s="1">
        <v>21</v>
      </c>
      <c r="D579" s="1">
        <v>3</v>
      </c>
      <c r="E579" s="1">
        <v>0</v>
      </c>
      <c r="F579" s="1">
        <f>IF(E579 + F578 &lt; 0, E579 + F578, 0)</f>
        <v>0</v>
      </c>
      <c r="G579" s="1">
        <v>0</v>
      </c>
      <c r="H579" s="1">
        <f>IF(G579 + H578 &lt; 0, G579 + H578, 0)</f>
        <v>0</v>
      </c>
      <c r="I579" s="1">
        <v>106658.5956416465</v>
      </c>
      <c r="J579" s="1">
        <f>IF(I579 + J578 &lt; 0, I579 + J578, 0)</f>
        <v>0</v>
      </c>
      <c r="K579" s="1">
        <v>106658.5956416465</v>
      </c>
      <c r="L579" s="1">
        <f>IF(K579 + L578 &lt; 0, K579 + L578, 0)</f>
        <v>0</v>
      </c>
    </row>
    <row r="580" spans="1:12" s="1" customFormat="1">
      <c r="A580" s="3">
        <v>45828</v>
      </c>
      <c r="B580" s="1" t="s">
        <v>15</v>
      </c>
      <c r="C580" s="1">
        <v>20</v>
      </c>
      <c r="D580" s="1">
        <v>2</v>
      </c>
      <c r="E580" s="1">
        <v>0</v>
      </c>
      <c r="F580" s="1">
        <f>IF(E580 + F579 &lt; 0, E580 + F579, 0)</f>
        <v>0</v>
      </c>
      <c r="G580" s="1">
        <v>0</v>
      </c>
      <c r="H580" s="1">
        <f>IF(G580 + H579 &lt; 0, G580 + H579, 0)</f>
        <v>0</v>
      </c>
      <c r="I580" s="1">
        <v>27156.79360601789</v>
      </c>
      <c r="J580" s="1">
        <f>IF(I580 + J579 &lt; 0, I580 + J579, 0)</f>
        <v>0</v>
      </c>
      <c r="K580" s="1">
        <v>-243846.9675599436</v>
      </c>
      <c r="L580" s="1">
        <f>IF(K580 + L579 &lt; 0, K580 + L579, 0)</f>
        <v>0</v>
      </c>
    </row>
    <row r="581" spans="1:12" s="1" customFormat="1">
      <c r="A581" s="3">
        <v>45831</v>
      </c>
      <c r="B581" s="1" t="s">
        <v>12</v>
      </c>
      <c r="C581" s="1">
        <v>19</v>
      </c>
      <c r="D581" s="1">
        <v>1</v>
      </c>
      <c r="E581" s="1">
        <v>0</v>
      </c>
      <c r="F581" s="1">
        <f>IF(E581 + F580 &lt; 0, E581 + F580, 0)</f>
        <v>0</v>
      </c>
      <c r="G581" s="1">
        <v>0</v>
      </c>
      <c r="H581" s="1">
        <f>IF(G581 + H580 &lt; 0, G581 + H580, 0)</f>
        <v>0</v>
      </c>
      <c r="I581" s="1">
        <v>36197.33924611974</v>
      </c>
      <c r="J581" s="1">
        <f>IF(I581 + J580 &lt; 0, I581 + J580, 0)</f>
        <v>0</v>
      </c>
      <c r="K581" s="1">
        <v>-192849.223946785</v>
      </c>
      <c r="L581" s="1">
        <f>IF(K581 + L580 &lt; 0, K581 + L580, 0)</f>
        <v>0</v>
      </c>
    </row>
    <row r="582" spans="1:12" s="1" customFormat="1">
      <c r="A582" s="3">
        <v>45832</v>
      </c>
      <c r="B582" s="1" t="s">
        <v>13</v>
      </c>
      <c r="C582" s="1">
        <v>18</v>
      </c>
      <c r="D582" s="1">
        <v>23</v>
      </c>
      <c r="E582" s="1">
        <v>0</v>
      </c>
      <c r="F582" s="1">
        <f>IF(E582 + F581 &lt; 0, E582 + F581, 0)</f>
        <v>0</v>
      </c>
      <c r="G582" s="1">
        <v>0</v>
      </c>
      <c r="H582" s="1">
        <f>IF(G582 + H581 &lt; 0, G582 + H581, 0)</f>
        <v>0</v>
      </c>
      <c r="I582" s="1">
        <v>0</v>
      </c>
      <c r="J582" s="1">
        <f>IF(I582 + J581 &lt; 0, I582 + J581, 0)</f>
        <v>0</v>
      </c>
      <c r="K582" s="1">
        <v>0</v>
      </c>
      <c r="L582" s="1">
        <f>IF(K582 + L581 &lt; 0, K582 + L581, 0)</f>
        <v>0</v>
      </c>
    </row>
    <row r="583" spans="1:12" s="1" customFormat="1">
      <c r="A583" s="3">
        <v>45833</v>
      </c>
      <c r="B583" s="1" t="s">
        <v>14</v>
      </c>
      <c r="C583" s="1">
        <v>17</v>
      </c>
      <c r="D583" s="1">
        <v>22</v>
      </c>
      <c r="E583" s="1">
        <v>0</v>
      </c>
      <c r="F583" s="1">
        <f>IF(E583 + F582 &lt; 0, E583 + F582, 0)</f>
        <v>0</v>
      </c>
      <c r="G583" s="1">
        <v>0</v>
      </c>
      <c r="H583" s="1">
        <f>IF(G583 + H582 &lt; 0, G583 + H582, 0)</f>
        <v>0</v>
      </c>
      <c r="I583" s="1">
        <v>0</v>
      </c>
      <c r="J583" s="1">
        <f>IF(I583 + J582 &lt; 0, I583 + J582, 0)</f>
        <v>0</v>
      </c>
      <c r="K583" s="1">
        <v>0</v>
      </c>
      <c r="L583" s="1">
        <f>IF(K583 + L582 &lt; 0, K583 + L582, 0)</f>
        <v>0</v>
      </c>
    </row>
    <row r="584" spans="1:12" s="1" customFormat="1">
      <c r="A584" s="3">
        <v>45834</v>
      </c>
      <c r="B584" s="1" t="s">
        <v>16</v>
      </c>
      <c r="C584" s="1">
        <v>16</v>
      </c>
      <c r="D584" s="1">
        <v>21</v>
      </c>
      <c r="E584" s="1">
        <v>0</v>
      </c>
      <c r="F584" s="1">
        <f>IF(E584 + F583 &lt; 0, E584 + F583, 0)</f>
        <v>0</v>
      </c>
      <c r="G584" s="1">
        <v>0</v>
      </c>
      <c r="H584" s="1">
        <f>IF(G584 + H583 &lt; 0, G584 + H583, 0)</f>
        <v>0</v>
      </c>
      <c r="I584" s="1">
        <v>0</v>
      </c>
      <c r="J584" s="1">
        <f>IF(I584 + J583 &lt; 0, I584 + J583, 0)</f>
        <v>0</v>
      </c>
      <c r="K584" s="1">
        <v>0</v>
      </c>
      <c r="L584" s="1">
        <f>IF(K584 + L583 &lt; 0, K584 + L583, 0)</f>
        <v>0</v>
      </c>
    </row>
    <row r="585" spans="1:12" s="1" customFormat="1">
      <c r="A585" s="3">
        <v>45835</v>
      </c>
      <c r="B585" s="1" t="s">
        <v>15</v>
      </c>
      <c r="C585" s="1">
        <v>15</v>
      </c>
      <c r="D585" s="1">
        <v>20</v>
      </c>
      <c r="E585" s="1">
        <v>0</v>
      </c>
      <c r="F585" s="1">
        <f>IF(E585 + F584 &lt; 0, E585 + F584, 0)</f>
        <v>0</v>
      </c>
      <c r="G585" s="1">
        <v>0</v>
      </c>
      <c r="H585" s="1">
        <f>IF(G585 + H584 &lt; 0, G585 + H584, 0)</f>
        <v>0</v>
      </c>
      <c r="I585" s="1">
        <v>0</v>
      </c>
      <c r="J585" s="1">
        <f>IF(I585 + J584 &lt; 0, I585 + J584, 0)</f>
        <v>0</v>
      </c>
      <c r="K585" s="1">
        <v>0</v>
      </c>
      <c r="L585" s="1">
        <f>IF(K585 + L584 &lt; 0, K585 + L584, 0)</f>
        <v>0</v>
      </c>
    </row>
    <row r="586" spans="1:12" s="1" customFormat="1">
      <c r="A586" s="3">
        <v>45838</v>
      </c>
      <c r="B586" s="1" t="s">
        <v>12</v>
      </c>
      <c r="C586" s="1">
        <v>14</v>
      </c>
      <c r="D586" s="1">
        <v>19</v>
      </c>
      <c r="E586" s="1">
        <v>0</v>
      </c>
      <c r="F586" s="1">
        <f>IF(E586 + F585 &lt; 0, E586 + F585, 0)</f>
        <v>0</v>
      </c>
      <c r="G586" s="1">
        <v>0</v>
      </c>
      <c r="H586" s="1">
        <f>IF(G586 + H585 &lt; 0, G586 + H585, 0)</f>
        <v>0</v>
      </c>
      <c r="I586" s="1">
        <v>0</v>
      </c>
      <c r="J586" s="1">
        <f>IF(I586 + J585 &lt; 0, I586 + J585, 0)</f>
        <v>0</v>
      </c>
      <c r="K586" s="1">
        <v>0</v>
      </c>
      <c r="L586" s="1">
        <f>IF(K586 + L585 &lt; 0, K586 + L585, 0)</f>
        <v>0</v>
      </c>
    </row>
    <row r="587" spans="1:12" s="1" customFormat="1">
      <c r="A587" s="3">
        <v>45839</v>
      </c>
      <c r="B587" s="1" t="s">
        <v>13</v>
      </c>
      <c r="C587" s="1">
        <v>13</v>
      </c>
      <c r="D587" s="1">
        <v>18</v>
      </c>
      <c r="E587" s="1">
        <v>0</v>
      </c>
      <c r="F587" s="1">
        <f>IF(E587 + F586 &lt; 0, E587 + F586, 0)</f>
        <v>0</v>
      </c>
      <c r="G587" s="1">
        <v>0</v>
      </c>
      <c r="H587" s="1">
        <f>IF(G587 + H586 &lt; 0, G587 + H586, 0)</f>
        <v>0</v>
      </c>
      <c r="I587" s="1">
        <v>0</v>
      </c>
      <c r="J587" s="1">
        <f>IF(I587 + J586 &lt; 0, I587 + J586, 0)</f>
        <v>0</v>
      </c>
      <c r="K587" s="1">
        <v>0</v>
      </c>
      <c r="L587" s="1">
        <f>IF(K587 + L586 &lt; 0, K587 + L586, 0)</f>
        <v>0</v>
      </c>
    </row>
    <row r="588" spans="1:12" s="1" customFormat="1">
      <c r="A588" s="3">
        <v>45840</v>
      </c>
      <c r="B588" s="1" t="s">
        <v>14</v>
      </c>
      <c r="C588" s="1">
        <v>12</v>
      </c>
      <c r="D588" s="1">
        <v>17</v>
      </c>
      <c r="E588" s="1">
        <v>0</v>
      </c>
      <c r="F588" s="1">
        <f>IF(E588 + F587 &lt; 0, E588 + F587, 0)</f>
        <v>0</v>
      </c>
      <c r="G588" s="1">
        <v>0</v>
      </c>
      <c r="H588" s="1">
        <f>IF(G588 + H587 &lt; 0, G588 + H587, 0)</f>
        <v>0</v>
      </c>
      <c r="I588" s="1">
        <v>0</v>
      </c>
      <c r="J588" s="1">
        <f>IF(I588 + J587 &lt; 0, I588 + J587, 0)</f>
        <v>0</v>
      </c>
      <c r="K588" s="1">
        <v>0</v>
      </c>
      <c r="L588" s="1">
        <f>IF(K588 + L587 &lt; 0, K588 + L587, 0)</f>
        <v>0</v>
      </c>
    </row>
    <row r="589" spans="1:12" s="1" customFormat="1">
      <c r="A589" s="3">
        <v>45841</v>
      </c>
      <c r="B589" s="1" t="s">
        <v>16</v>
      </c>
      <c r="C589" s="1">
        <v>11</v>
      </c>
      <c r="D589" s="1">
        <v>16</v>
      </c>
      <c r="E589" s="1">
        <v>0</v>
      </c>
      <c r="F589" s="1">
        <f>IF(E589 + F588 &lt; 0, E589 + F588, 0)</f>
        <v>0</v>
      </c>
      <c r="G589" s="1">
        <v>0</v>
      </c>
      <c r="H589" s="1">
        <f>IF(G589 + H588 &lt; 0, G589 + H588, 0)</f>
        <v>0</v>
      </c>
      <c r="I589" s="1">
        <v>0</v>
      </c>
      <c r="J589" s="1">
        <f>IF(I589 + J588 &lt; 0, I589 + J588, 0)</f>
        <v>0</v>
      </c>
      <c r="K589" s="1">
        <v>0</v>
      </c>
      <c r="L589" s="1">
        <f>IF(K589 + L588 &lt; 0, K589 + L588, 0)</f>
        <v>0</v>
      </c>
    </row>
    <row r="590" spans="1:12" s="1" customFormat="1">
      <c r="A590" s="3">
        <v>45842</v>
      </c>
      <c r="B590" s="1" t="s">
        <v>15</v>
      </c>
      <c r="C590" s="1">
        <v>10</v>
      </c>
      <c r="D590" s="1">
        <v>15</v>
      </c>
      <c r="E590" s="1">
        <v>285106.1348262188</v>
      </c>
      <c r="F590" s="1">
        <f>IF(E590 + F589 &lt; 0, E590 + F589, 0)</f>
        <v>0</v>
      </c>
      <c r="G590" s="1">
        <v>285106.1348262188</v>
      </c>
      <c r="H590" s="1">
        <f>IF(G590 + H589 &lt; 0, G590 + H589, 0)</f>
        <v>0</v>
      </c>
      <c r="I590" s="1">
        <v>0</v>
      </c>
      <c r="J590" s="1">
        <f>IF(I590 + J589 &lt; 0, I590 + J589, 0)</f>
        <v>0</v>
      </c>
      <c r="K590" s="1">
        <v>0</v>
      </c>
      <c r="L590" s="1">
        <f>IF(K590 + L589 &lt; 0, K590 + L589, 0)</f>
        <v>0</v>
      </c>
    </row>
    <row r="591" spans="1:12" s="1" customFormat="1">
      <c r="A591" s="3">
        <v>45845</v>
      </c>
      <c r="B591" s="1" t="s">
        <v>12</v>
      </c>
      <c r="C591" s="1">
        <v>9</v>
      </c>
      <c r="D591" s="1">
        <v>14</v>
      </c>
      <c r="E591" s="1">
        <v>49356.55994978028</v>
      </c>
      <c r="F591" s="1">
        <f>IF(E591 + F590 &lt; 0, E591 + F590, 0)</f>
        <v>0</v>
      </c>
      <c r="G591" s="1">
        <v>49356.55994978028</v>
      </c>
      <c r="H591" s="1">
        <f>IF(G591 + H590 &lt; 0, G591 + H590, 0)</f>
        <v>0</v>
      </c>
      <c r="I591" s="1">
        <v>0</v>
      </c>
      <c r="J591" s="1">
        <f>IF(I591 + J590 &lt; 0, I591 + J590, 0)</f>
        <v>0</v>
      </c>
      <c r="K591" s="1">
        <v>0</v>
      </c>
      <c r="L591" s="1">
        <f>IF(K591 + L590 &lt; 0, K591 + L590, 0)</f>
        <v>0</v>
      </c>
    </row>
    <row r="592" spans="1:12" s="1" customFormat="1">
      <c r="A592" s="3">
        <v>45846</v>
      </c>
      <c r="B592" s="1" t="s">
        <v>13</v>
      </c>
      <c r="C592" s="1">
        <v>8</v>
      </c>
      <c r="D592" s="1">
        <v>13</v>
      </c>
      <c r="E592" s="1">
        <v>-106580.055910849</v>
      </c>
      <c r="F592" s="1">
        <f>IF(E592 + F591 &lt; 0, E592 + F591, 0)</f>
        <v>0</v>
      </c>
      <c r="G592" s="1">
        <v>-7199.479186612028</v>
      </c>
      <c r="H592" s="1">
        <f>IF(G592 + H591 &lt; 0, G592 + H591, 0)</f>
        <v>0</v>
      </c>
      <c r="I592" s="1">
        <v>0</v>
      </c>
      <c r="J592" s="1">
        <f>IF(I592 + J591 &lt; 0, I592 + J591, 0)</f>
        <v>0</v>
      </c>
      <c r="K592" s="1">
        <v>0</v>
      </c>
      <c r="L592" s="1">
        <f>IF(K592 + L591 &lt; 0, K592 + L591, 0)</f>
        <v>0</v>
      </c>
    </row>
    <row r="593" spans="1:12" s="1" customFormat="1">
      <c r="A593" s="3">
        <v>45847</v>
      </c>
      <c r="B593" s="1" t="s">
        <v>14</v>
      </c>
      <c r="C593" s="1">
        <v>7</v>
      </c>
      <c r="D593" s="1">
        <v>12</v>
      </c>
      <c r="E593" s="1">
        <v>119375.2606239812</v>
      </c>
      <c r="F593" s="1">
        <f>IF(E593 + F592 &lt; 0, E593 + F592, 0)</f>
        <v>0</v>
      </c>
      <c r="G593" s="1">
        <v>119375.2606239812</v>
      </c>
      <c r="H593" s="1">
        <f>IF(G593 + H592 &lt; 0, G593 + H592, 0)</f>
        <v>0</v>
      </c>
      <c r="I593" s="1">
        <v>0</v>
      </c>
      <c r="J593" s="1">
        <f>IF(I593 + J592 &lt; 0, I593 + J592, 0)</f>
        <v>0</v>
      </c>
      <c r="K593" s="1">
        <v>0</v>
      </c>
      <c r="L593" s="1">
        <f>IF(K593 + L592 &lt; 0, K593 + L592, 0)</f>
        <v>0</v>
      </c>
    </row>
    <row r="594" spans="1:12" s="1" customFormat="1">
      <c r="A594" s="3">
        <v>45848</v>
      </c>
      <c r="B594" s="1" t="s">
        <v>16</v>
      </c>
      <c r="C594" s="1">
        <v>6</v>
      </c>
      <c r="D594" s="1">
        <v>11</v>
      </c>
      <c r="E594" s="1">
        <v>-97264.92806438141</v>
      </c>
      <c r="F594" s="1">
        <f>IF(E594 + F593 &lt; 0, E594 + F593, 0)</f>
        <v>0</v>
      </c>
      <c r="G594" s="1">
        <v>-188361.234483544</v>
      </c>
      <c r="H594" s="1">
        <f>IF(G594 + H593 &lt; 0, G594 + H593, 0)</f>
        <v>0</v>
      </c>
      <c r="I594" s="1">
        <v>0</v>
      </c>
      <c r="J594" s="1">
        <f>IF(I594 + J593 &lt; 0, I594 + J593, 0)</f>
        <v>0</v>
      </c>
      <c r="K594" s="1">
        <v>0</v>
      </c>
      <c r="L594" s="1">
        <f>IF(K594 + L593 &lt; 0, K594 + L593, 0)</f>
        <v>0</v>
      </c>
    </row>
    <row r="595" spans="1:12" s="1" customFormat="1">
      <c r="A595" s="3">
        <v>45849</v>
      </c>
      <c r="B595" s="1" t="s">
        <v>15</v>
      </c>
      <c r="C595" s="1">
        <v>5</v>
      </c>
      <c r="D595" s="1">
        <v>10</v>
      </c>
      <c r="E595" s="1">
        <v>-228554.1539294973</v>
      </c>
      <c r="F595" s="1">
        <f>IF(E595 + F594 &lt; 0, E595 + F594, 0)</f>
        <v>0</v>
      </c>
      <c r="G595" s="1">
        <v>-359052.741554773</v>
      </c>
      <c r="H595" s="1">
        <f>IF(G595 + H594 &lt; 0, G595 + H594, 0)</f>
        <v>0</v>
      </c>
      <c r="I595" s="1">
        <v>0</v>
      </c>
      <c r="J595" s="1">
        <f>IF(I595 + J594 &lt; 0, I595 + J594, 0)</f>
        <v>0</v>
      </c>
      <c r="K595" s="1">
        <v>0</v>
      </c>
      <c r="L595" s="1">
        <f>IF(K595 + L594 &lt; 0, K595 + L594, 0)</f>
        <v>0</v>
      </c>
    </row>
    <row r="596" spans="1:12" s="1" customFormat="1">
      <c r="A596" s="3">
        <v>45852</v>
      </c>
      <c r="B596" s="1" t="s">
        <v>12</v>
      </c>
      <c r="C596" s="1">
        <v>4</v>
      </c>
      <c r="D596" s="1">
        <v>9</v>
      </c>
      <c r="E596" s="1">
        <v>223037.6647834275</v>
      </c>
      <c r="F596" s="1">
        <f>IF(E596 + F595 &lt; 0, E596 + F595, 0)</f>
        <v>0</v>
      </c>
      <c r="G596" s="1">
        <v>-125913.3709981168</v>
      </c>
      <c r="H596" s="1">
        <f>IF(G596 + H595 &lt; 0, G596 + H595, 0)</f>
        <v>0</v>
      </c>
      <c r="I596" s="1">
        <v>0</v>
      </c>
      <c r="J596" s="1">
        <f>IF(I596 + J595 &lt; 0, I596 + J595, 0)</f>
        <v>0</v>
      </c>
      <c r="K596" s="1">
        <v>0</v>
      </c>
      <c r="L596" s="1">
        <f>IF(K596 + L595 &lt; 0, K596 + L595, 0)</f>
        <v>0</v>
      </c>
    </row>
    <row r="597" spans="1:12" s="1" customFormat="1">
      <c r="A597" s="3">
        <v>45853</v>
      </c>
      <c r="B597" s="1" t="s">
        <v>13</v>
      </c>
      <c r="C597" s="1">
        <v>3</v>
      </c>
      <c r="D597" s="1">
        <v>8</v>
      </c>
      <c r="E597" s="1">
        <v>290541.3259968226</v>
      </c>
      <c r="F597" s="1">
        <f>IF(E597 + F596 &lt; 0, E597 + F596, 0)</f>
        <v>0</v>
      </c>
      <c r="G597" s="1">
        <v>290541.3259968226</v>
      </c>
      <c r="H597" s="1">
        <f>IF(G597 + H596 &lt; 0, G597 + H596, 0)</f>
        <v>0</v>
      </c>
      <c r="I597" s="1">
        <v>0</v>
      </c>
      <c r="J597" s="1">
        <f>IF(I597 + J596 &lt; 0, I597 + J596, 0)</f>
        <v>0</v>
      </c>
      <c r="K597" s="1">
        <v>0</v>
      </c>
      <c r="L597" s="1">
        <f>IF(K597 + L596 &lt; 0, K597 + L596, 0)</f>
        <v>0</v>
      </c>
    </row>
    <row r="598" spans="1:12" s="1" customFormat="1">
      <c r="A598" s="3">
        <v>45854</v>
      </c>
      <c r="B598" s="1" t="s">
        <v>14</v>
      </c>
      <c r="C598" s="1">
        <v>2</v>
      </c>
      <c r="D598" s="1">
        <v>7</v>
      </c>
      <c r="E598" s="1">
        <v>87642.27642276423</v>
      </c>
      <c r="F598" s="1">
        <f>IF(E598 + F597 &lt; 0, E598 + F597, 0)</f>
        <v>0</v>
      </c>
      <c r="G598" s="1">
        <v>189353.4649632211</v>
      </c>
      <c r="H598" s="1">
        <f>IF(G598 + H597 &lt; 0, G598 + H597, 0)</f>
        <v>0</v>
      </c>
      <c r="I598" s="1">
        <v>0</v>
      </c>
      <c r="J598" s="1">
        <f>IF(I598 + J597 &lt; 0, I598 + J597, 0)</f>
        <v>0</v>
      </c>
      <c r="K598" s="1">
        <v>0</v>
      </c>
      <c r="L598" s="1">
        <f>IF(K598 + L597 &lt; 0, K598 + L597, 0)</f>
        <v>0</v>
      </c>
    </row>
    <row r="599" spans="1:12" s="1" customFormat="1">
      <c r="A599" s="3">
        <v>45855</v>
      </c>
      <c r="B599" s="1" t="s">
        <v>16</v>
      </c>
      <c r="C599" s="1">
        <v>1</v>
      </c>
      <c r="D599" s="1">
        <v>6</v>
      </c>
      <c r="E599" s="1">
        <v>89511.97801772511</v>
      </c>
      <c r="F599" s="1">
        <f>IF(E599 + F598 &lt; 0, E599 + F598, 0)</f>
        <v>0</v>
      </c>
      <c r="G599" s="1">
        <v>323271.0244204496</v>
      </c>
      <c r="H599" s="1">
        <f>IF(G599 + H598 &lt; 0, G599 + H598, 0)</f>
        <v>0</v>
      </c>
      <c r="I599" s="1">
        <v>75926.93565976009</v>
      </c>
      <c r="J599" s="1">
        <f>IF(I599 + J598 &lt; 0, I599 + J598, 0)</f>
        <v>0</v>
      </c>
      <c r="K599" s="1">
        <v>75926.93565976009</v>
      </c>
      <c r="L599" s="1">
        <f>IF(K599 + L598 &lt; 0, K599 + L598, 0)</f>
        <v>0</v>
      </c>
    </row>
    <row r="600" spans="1:12" s="1" customFormat="1">
      <c r="A600" s="3">
        <v>45856</v>
      </c>
      <c r="B600" s="1" t="s">
        <v>15</v>
      </c>
      <c r="C600" s="1">
        <v>20</v>
      </c>
      <c r="D600" s="1">
        <v>5</v>
      </c>
      <c r="E600" s="1">
        <v>0</v>
      </c>
      <c r="F600" s="1">
        <f>IF(E600 + F599 &lt; 0, E600 + F599, 0)</f>
        <v>0</v>
      </c>
      <c r="G600" s="1">
        <v>0</v>
      </c>
      <c r="H600" s="1">
        <f>IF(G600 + H599 &lt; 0, G600 + H599, 0)</f>
        <v>0</v>
      </c>
      <c r="I600" s="1">
        <v>130309.6738832557</v>
      </c>
      <c r="J600" s="1">
        <f>IF(I600 + J599 &lt; 0, I600 + J599, 0)</f>
        <v>0</v>
      </c>
      <c r="K600" s="1">
        <v>130309.6738832557</v>
      </c>
      <c r="L600" s="1">
        <f>IF(K600 + L599 &lt; 0, K600 + L599, 0)</f>
        <v>0</v>
      </c>
    </row>
    <row r="601" spans="1:12" s="1" customFormat="1">
      <c r="A601" s="3">
        <v>45859</v>
      </c>
      <c r="B601" s="1" t="s">
        <v>12</v>
      </c>
      <c r="C601" s="1">
        <v>19</v>
      </c>
      <c r="D601" s="1">
        <v>4</v>
      </c>
      <c r="E601" s="1">
        <v>0</v>
      </c>
      <c r="F601" s="1">
        <f>IF(E601 + F600 &lt; 0, E601 + F600, 0)</f>
        <v>0</v>
      </c>
      <c r="G601" s="1">
        <v>0</v>
      </c>
      <c r="H601" s="1">
        <f>IF(G601 + H600 &lt; 0, G601 + H600, 0)</f>
        <v>0</v>
      </c>
      <c r="I601" s="1">
        <v>49430.19943019942</v>
      </c>
      <c r="J601" s="1">
        <f>IF(I601 + J600 &lt; 0, I601 + J600, 0)</f>
        <v>0</v>
      </c>
      <c r="K601" s="1">
        <v>49430.19943019942</v>
      </c>
      <c r="L601" s="1">
        <f>IF(K601 + L600 &lt; 0, K601 + L600, 0)</f>
        <v>0</v>
      </c>
    </row>
    <row r="602" spans="1:12" s="1" customFormat="1">
      <c r="A602" s="3">
        <v>45860</v>
      </c>
      <c r="B602" s="1" t="s">
        <v>13</v>
      </c>
      <c r="C602" s="1">
        <v>18</v>
      </c>
      <c r="D602" s="1">
        <v>3</v>
      </c>
      <c r="E602" s="1">
        <v>0</v>
      </c>
      <c r="F602" s="1">
        <f>IF(E602 + F601 &lt; 0, E602 + F601, 0)</f>
        <v>0</v>
      </c>
      <c r="G602" s="1">
        <v>0</v>
      </c>
      <c r="H602" s="1">
        <f>IF(G602 + H601 &lt; 0, G602 + H601, 0)</f>
        <v>0</v>
      </c>
      <c r="I602" s="1">
        <v>154272.3826188393</v>
      </c>
      <c r="J602" s="1">
        <f>IF(I602 + J601 &lt; 0, I602 + J601, 0)</f>
        <v>0</v>
      </c>
      <c r="K602" s="1">
        <v>154272.3826188393</v>
      </c>
      <c r="L602" s="1">
        <f>IF(K602 + L601 &lt; 0, K602 + L601, 0)</f>
        <v>0</v>
      </c>
    </row>
    <row r="603" spans="1:12" s="1" customFormat="1">
      <c r="A603" s="3">
        <v>45861</v>
      </c>
      <c r="B603" s="1" t="s">
        <v>14</v>
      </c>
      <c r="C603" s="1">
        <v>17</v>
      </c>
      <c r="D603" s="1">
        <v>2</v>
      </c>
      <c r="E603" s="1">
        <v>0</v>
      </c>
      <c r="F603" s="1">
        <f>IF(E603 + F602 &lt; 0, E603 + F602, 0)</f>
        <v>0</v>
      </c>
      <c r="G603" s="1">
        <v>0</v>
      </c>
      <c r="H603" s="1">
        <f>IF(G603 + H602 &lt; 0, G603 + H602, 0)</f>
        <v>0</v>
      </c>
      <c r="I603" s="1">
        <v>-94673.59050445104</v>
      </c>
      <c r="J603" s="1">
        <f>IF(I603 + J602 &lt; 0, I603 + J602, 0)</f>
        <v>0</v>
      </c>
      <c r="K603" s="1">
        <v>-269087.5370919882</v>
      </c>
      <c r="L603" s="1">
        <f>IF(K603 + L602 &lt; 0, K603 + L602, 0)</f>
        <v>0</v>
      </c>
    </row>
    <row r="604" spans="1:12" s="1" customFormat="1">
      <c r="A604" s="3">
        <v>45862</v>
      </c>
      <c r="B604" s="1" t="s">
        <v>16</v>
      </c>
      <c r="C604" s="1">
        <v>16</v>
      </c>
      <c r="D604" s="1">
        <v>1</v>
      </c>
      <c r="E604" s="1">
        <v>0</v>
      </c>
      <c r="F604" s="1">
        <f>IF(E604 + F603 &lt; 0, E604 + F603, 0)</f>
        <v>0</v>
      </c>
      <c r="G604" s="1">
        <v>0</v>
      </c>
      <c r="H604" s="1">
        <f>IF(G604 + H603 &lt; 0, G604 + H603, 0)</f>
        <v>0</v>
      </c>
      <c r="I604" s="1">
        <v>-20173.38331771322</v>
      </c>
      <c r="J604" s="1">
        <f>IF(I604 + J603 &lt; 0, I604 + J603, 0)</f>
        <v>0</v>
      </c>
      <c r="K604" s="1">
        <v>202733.5207747578</v>
      </c>
      <c r="L604" s="1">
        <f>IF(K604 + L603 &lt; 0, K604 + L603, 0)</f>
        <v>0</v>
      </c>
    </row>
    <row r="605" spans="1:12" s="1" customFormat="1">
      <c r="A605" s="3">
        <v>45863</v>
      </c>
      <c r="B605" s="1" t="s">
        <v>15</v>
      </c>
      <c r="C605" s="1">
        <v>15</v>
      </c>
      <c r="D605" s="1">
        <v>20</v>
      </c>
      <c r="E605" s="1">
        <v>0</v>
      </c>
      <c r="F605" s="1">
        <f>IF(E605 + F604 &lt; 0, E605 + F604, 0)</f>
        <v>0</v>
      </c>
      <c r="G605" s="1">
        <v>0</v>
      </c>
      <c r="H605" s="1">
        <f>IF(G605 + H604 &lt; 0, G605 + H604, 0)</f>
        <v>0</v>
      </c>
      <c r="I605" s="1">
        <v>0</v>
      </c>
      <c r="J605" s="1">
        <f>IF(I605 + J604 &lt; 0, I605 + J604, 0)</f>
        <v>0</v>
      </c>
      <c r="K605" s="1">
        <v>0</v>
      </c>
      <c r="L605" s="1">
        <f>IF(K605 + L604 &lt; 0, K605 + L604, 0)</f>
        <v>0</v>
      </c>
    </row>
    <row r="606" spans="1:12" s="1" customFormat="1">
      <c r="A606" s="3">
        <v>45866</v>
      </c>
      <c r="B606" s="1" t="s">
        <v>12</v>
      </c>
      <c r="C606" s="1">
        <v>14</v>
      </c>
      <c r="D606" s="1">
        <v>19</v>
      </c>
      <c r="E606" s="1">
        <v>0</v>
      </c>
      <c r="F606" s="1">
        <f>IF(E606 + F605 &lt; 0, E606 + F605, 0)</f>
        <v>0</v>
      </c>
      <c r="G606" s="1">
        <v>0</v>
      </c>
      <c r="H606" s="1">
        <f>IF(G606 + H605 &lt; 0, G606 + H605, 0)</f>
        <v>0</v>
      </c>
      <c r="I606" s="1">
        <v>0</v>
      </c>
      <c r="J606" s="1">
        <f>IF(I606 + J605 &lt; 0, I606 + J605, 0)</f>
        <v>0</v>
      </c>
      <c r="K606" s="1">
        <v>0</v>
      </c>
      <c r="L606" s="1">
        <f>IF(K606 + L605 &lt; 0, K606 + L605, 0)</f>
        <v>0</v>
      </c>
    </row>
    <row r="607" spans="1:12" s="1" customFormat="1">
      <c r="A607" s="3">
        <v>45867</v>
      </c>
      <c r="B607" s="1" t="s">
        <v>13</v>
      </c>
      <c r="C607" s="1">
        <v>13</v>
      </c>
      <c r="D607" s="1">
        <v>18</v>
      </c>
      <c r="E607" s="1">
        <v>0</v>
      </c>
      <c r="F607" s="1">
        <f>IF(E607 + F606 &lt; 0, E607 + F606, 0)</f>
        <v>0</v>
      </c>
      <c r="G607" s="1">
        <v>0</v>
      </c>
      <c r="H607" s="1">
        <f>IF(G607 + H606 &lt; 0, G607 + H606, 0)</f>
        <v>0</v>
      </c>
      <c r="I607" s="1">
        <v>0</v>
      </c>
      <c r="J607" s="1">
        <f>IF(I607 + J606 &lt; 0, I607 + J606, 0)</f>
        <v>0</v>
      </c>
      <c r="K607" s="1">
        <v>0</v>
      </c>
      <c r="L607" s="1">
        <f>IF(K607 + L606 &lt; 0, K607 + L606, 0)</f>
        <v>0</v>
      </c>
    </row>
    <row r="608" spans="1:12" s="1" customFormat="1">
      <c r="A608" s="3">
        <v>45868</v>
      </c>
      <c r="B608" s="1" t="s">
        <v>14</v>
      </c>
      <c r="C608" s="1">
        <v>12</v>
      </c>
      <c r="D608" s="1">
        <v>17</v>
      </c>
      <c r="E608" s="1">
        <v>0</v>
      </c>
      <c r="F608" s="1">
        <f>IF(E608 + F607 &lt; 0, E608 + F607, 0)</f>
        <v>0</v>
      </c>
      <c r="G608" s="1">
        <v>0</v>
      </c>
      <c r="H608" s="1">
        <f>IF(G608 + H607 &lt; 0, G608 + H607, 0)</f>
        <v>0</v>
      </c>
      <c r="I608" s="1">
        <v>0</v>
      </c>
      <c r="J608" s="1">
        <f>IF(I608 + J607 &lt; 0, I608 + J607, 0)</f>
        <v>0</v>
      </c>
      <c r="K608" s="1">
        <v>0</v>
      </c>
      <c r="L608" s="1">
        <f>IF(K608 + L607 &lt; 0, K608 + L607, 0)</f>
        <v>0</v>
      </c>
    </row>
    <row r="609" spans="1:12" s="1" customFormat="1">
      <c r="A609" s="3">
        <v>45869</v>
      </c>
      <c r="B609" s="1" t="s">
        <v>16</v>
      </c>
      <c r="C609" s="1">
        <v>11</v>
      </c>
      <c r="D609" s="1">
        <v>16</v>
      </c>
      <c r="E609" s="1">
        <v>0</v>
      </c>
      <c r="F609" s="1">
        <f>IF(E609 + F608 &lt; 0, E609 + F608, 0)</f>
        <v>0</v>
      </c>
      <c r="G609" s="1">
        <v>0</v>
      </c>
      <c r="H609" s="1">
        <f>IF(G609 + H608 &lt; 0, G609 + H608, 0)</f>
        <v>0</v>
      </c>
      <c r="I609" s="1">
        <v>0</v>
      </c>
      <c r="J609" s="1">
        <f>IF(I609 + J608 &lt; 0, I609 + J608, 0)</f>
        <v>0</v>
      </c>
      <c r="K609" s="1">
        <v>0</v>
      </c>
      <c r="L609" s="1">
        <f>IF(K609 + L608 &lt; 0, K609 + L608, 0)</f>
        <v>0</v>
      </c>
    </row>
    <row r="610" spans="1:12" s="1" customFormat="1">
      <c r="A610" s="3">
        <v>45870</v>
      </c>
      <c r="B610" s="1" t="s">
        <v>15</v>
      </c>
      <c r="C610" s="1">
        <v>10</v>
      </c>
      <c r="D610" s="1">
        <v>15</v>
      </c>
      <c r="E610" s="1">
        <v>-11072.73391812865</v>
      </c>
      <c r="F610" s="1">
        <f>IF(E610 + F609 &lt; 0, E610 + F609, 0)</f>
        <v>0</v>
      </c>
      <c r="G610" s="1">
        <v>70796.78362573095</v>
      </c>
      <c r="H610" s="1">
        <f>IF(G610 + H609 &lt; 0, G610 + H609, 0)</f>
        <v>0</v>
      </c>
      <c r="I610" s="1">
        <v>0</v>
      </c>
      <c r="J610" s="1">
        <f>IF(I610 + J609 &lt; 0, I610 + J609, 0)</f>
        <v>0</v>
      </c>
      <c r="K610" s="1">
        <v>0</v>
      </c>
      <c r="L610" s="1">
        <f>IF(K610 + L609 &lt; 0, K610 + L609, 0)</f>
        <v>0</v>
      </c>
    </row>
    <row r="611" spans="1:12" s="1" customFormat="1">
      <c r="A611" s="3">
        <v>45873</v>
      </c>
      <c r="B611" s="1" t="s">
        <v>12</v>
      </c>
      <c r="C611" s="1">
        <v>9</v>
      </c>
      <c r="D611" s="1">
        <v>14</v>
      </c>
      <c r="E611" s="1">
        <v>263044.3014009844</v>
      </c>
      <c r="F611" s="1">
        <f>IF(E611 + F610 &lt; 0, E611 + F610, 0)</f>
        <v>0</v>
      </c>
      <c r="G611" s="1">
        <v>263044.3014009844</v>
      </c>
      <c r="H611" s="1">
        <f>IF(G611 + H610 &lt; 0, G611 + H610, 0)</f>
        <v>0</v>
      </c>
      <c r="I611" s="1">
        <v>0</v>
      </c>
      <c r="J611" s="1">
        <f>IF(I611 + J610 &lt; 0, I611 + J610, 0)</f>
        <v>0</v>
      </c>
      <c r="K611" s="1">
        <v>0</v>
      </c>
      <c r="L611" s="1">
        <f>IF(K611 + L610 &lt; 0, K611 + L610, 0)</f>
        <v>0</v>
      </c>
    </row>
    <row r="612" spans="1:12" s="1" customFormat="1">
      <c r="A612" s="3">
        <v>45874</v>
      </c>
      <c r="B612" s="1" t="s">
        <v>13</v>
      </c>
      <c r="C612" s="1">
        <v>8</v>
      </c>
      <c r="D612" s="1">
        <v>13</v>
      </c>
      <c r="E612" s="1">
        <v>221423.3813912578</v>
      </c>
      <c r="F612" s="1">
        <f>IF(E612 + F611 &lt; 0, E612 + F611, 0)</f>
        <v>0</v>
      </c>
      <c r="G612" s="1">
        <v>221423.3813912578</v>
      </c>
      <c r="H612" s="1">
        <f>IF(G612 + H611 &lt; 0, G612 + H611, 0)</f>
        <v>0</v>
      </c>
      <c r="I612" s="1">
        <v>0</v>
      </c>
      <c r="J612" s="1">
        <f>IF(I612 + J611 &lt; 0, I612 + J611, 0)</f>
        <v>0</v>
      </c>
      <c r="K612" s="1">
        <v>0</v>
      </c>
      <c r="L612" s="1">
        <f>IF(K612 + L611 &lt; 0, K612 + L611, 0)</f>
        <v>0</v>
      </c>
    </row>
    <row r="613" spans="1:12" s="1" customFormat="1">
      <c r="A613" s="3">
        <v>45875</v>
      </c>
      <c r="B613" s="1" t="s">
        <v>14</v>
      </c>
      <c r="C613" s="1">
        <v>7</v>
      </c>
      <c r="D613" s="1">
        <v>12</v>
      </c>
      <c r="E613" s="1">
        <v>56715.8564814815</v>
      </c>
      <c r="F613" s="1">
        <f>IF(E613 + F612 &lt; 0, E613 + F612, 0)</f>
        <v>0</v>
      </c>
      <c r="G613" s="1">
        <v>107156.6358024691</v>
      </c>
      <c r="H613" s="1">
        <f>IF(G613 + H612 &lt; 0, G613 + H612, 0)</f>
        <v>0</v>
      </c>
      <c r="I613" s="1">
        <v>0</v>
      </c>
      <c r="J613" s="1">
        <f>IF(I613 + J612 &lt; 0, I613 + J612, 0)</f>
        <v>0</v>
      </c>
      <c r="K613" s="1">
        <v>0</v>
      </c>
      <c r="L613" s="1">
        <f>IF(K613 + L612 &lt; 0, K613 + L612, 0)</f>
        <v>0</v>
      </c>
    </row>
    <row r="614" spans="1:12" s="1" customFormat="1">
      <c r="A614" s="3">
        <v>45876</v>
      </c>
      <c r="B614" s="1" t="s">
        <v>16</v>
      </c>
      <c r="C614" s="1">
        <v>6</v>
      </c>
      <c r="D614" s="1">
        <v>11</v>
      </c>
      <c r="E614" s="1">
        <v>200182.8864936378</v>
      </c>
      <c r="F614" s="1">
        <f>IF(E614 + F613 &lt; 0, E614 + F613, 0)</f>
        <v>0</v>
      </c>
      <c r="G614" s="1">
        <v>200182.8864936378</v>
      </c>
      <c r="H614" s="1">
        <f>IF(G614 + H613 &lt; 0, G614 + H613, 0)</f>
        <v>0</v>
      </c>
      <c r="I614" s="1">
        <v>0</v>
      </c>
      <c r="J614" s="1">
        <f>IF(I614 + J613 &lt; 0, I614 + J613, 0)</f>
        <v>0</v>
      </c>
      <c r="K614" s="1">
        <v>0</v>
      </c>
      <c r="L614" s="1">
        <f>IF(K614 + L613 &lt; 0, K614 + L613, 0)</f>
        <v>0</v>
      </c>
    </row>
    <row r="615" spans="1:12" s="1" customFormat="1">
      <c r="A615" s="3">
        <v>45877</v>
      </c>
      <c r="B615" s="1" t="s">
        <v>15</v>
      </c>
      <c r="C615" s="1">
        <v>5</v>
      </c>
      <c r="D615" s="1">
        <v>10</v>
      </c>
      <c r="E615" s="1">
        <v>-313180.7889405316</v>
      </c>
      <c r="F615" s="1">
        <f>IF(E615 + F614 &lt; 0, E615 + F614, 0)</f>
        <v>0</v>
      </c>
      <c r="G615" s="1">
        <v>223791.3637627616</v>
      </c>
      <c r="H615" s="1">
        <f>IF(G615 + H614 &lt; 0, G615 + H614, 0)</f>
        <v>0</v>
      </c>
      <c r="I615" s="1">
        <v>0</v>
      </c>
      <c r="J615" s="1">
        <f>IF(I615 + J614 &lt; 0, I615 + J614, 0)</f>
        <v>0</v>
      </c>
      <c r="K615" s="1">
        <v>0</v>
      </c>
      <c r="L615" s="1">
        <f>IF(K615 + L614 &lt; 0, K615 + L614, 0)</f>
        <v>0</v>
      </c>
    </row>
    <row r="616" spans="1:12" s="1" customFormat="1">
      <c r="A616" s="3">
        <v>45880</v>
      </c>
      <c r="B616" s="1" t="s">
        <v>12</v>
      </c>
      <c r="C616" s="1">
        <v>4</v>
      </c>
      <c r="D616" s="1">
        <v>9</v>
      </c>
      <c r="E616" s="1">
        <v>197643.8225092693</v>
      </c>
      <c r="F616" s="1">
        <f>IF(E616 + F615 &lt; 0, E616 + F615, 0)</f>
        <v>0</v>
      </c>
      <c r="G616" s="1">
        <v>197643.8225092693</v>
      </c>
      <c r="H616" s="1">
        <f>IF(G616 + H615 &lt; 0, G616 + H615, 0)</f>
        <v>0</v>
      </c>
      <c r="I616" s="1">
        <v>0</v>
      </c>
      <c r="J616" s="1">
        <f>IF(I616 + J615 &lt; 0, I616 + J615, 0)</f>
        <v>0</v>
      </c>
      <c r="K616" s="1">
        <v>0</v>
      </c>
      <c r="L616" s="1">
        <f>IF(K616 + L615 &lt; 0, K616 + L615, 0)</f>
        <v>0</v>
      </c>
    </row>
    <row r="617" spans="1:12" s="1" customFormat="1">
      <c r="A617" s="3">
        <v>45881</v>
      </c>
      <c r="B617" s="1" t="s">
        <v>13</v>
      </c>
      <c r="C617" s="1">
        <v>3</v>
      </c>
      <c r="D617" s="1">
        <v>8</v>
      </c>
      <c r="E617" s="1">
        <v>205715.6115477271</v>
      </c>
      <c r="F617" s="1">
        <f>IF(E617 + F616 &lt; 0, E617 + F616, 0)</f>
        <v>0</v>
      </c>
      <c r="G617" s="1">
        <v>238102.7605544804</v>
      </c>
      <c r="H617" s="1">
        <f>IF(G617 + H616 &lt; 0, G617 + H616, 0)</f>
        <v>0</v>
      </c>
      <c r="I617" s="1">
        <v>0</v>
      </c>
      <c r="J617" s="1">
        <f>IF(I617 + J616 &lt; 0, I617 + J616, 0)</f>
        <v>0</v>
      </c>
      <c r="K617" s="1">
        <v>0</v>
      </c>
      <c r="L617" s="1">
        <f>IF(K617 + L616 &lt; 0, K617 + L616, 0)</f>
        <v>0</v>
      </c>
    </row>
    <row r="618" spans="1:12" s="1" customFormat="1">
      <c r="A618" s="3">
        <v>45882</v>
      </c>
      <c r="B618" s="1" t="s">
        <v>14</v>
      </c>
      <c r="C618" s="1">
        <v>2</v>
      </c>
      <c r="D618" s="1">
        <v>7</v>
      </c>
      <c r="E618" s="1">
        <v>53555.66700100305</v>
      </c>
      <c r="F618" s="1">
        <f>IF(E618 + F617 &lt; 0, E618 + F617, 0)</f>
        <v>0</v>
      </c>
      <c r="G618" s="1">
        <v>306419.25777332</v>
      </c>
      <c r="H618" s="1">
        <f>IF(G618 + H617 &lt; 0, G618 + H617, 0)</f>
        <v>0</v>
      </c>
      <c r="I618" s="1">
        <v>0</v>
      </c>
      <c r="J618" s="1">
        <f>IF(I618 + J617 &lt; 0, I618 + J617, 0)</f>
        <v>0</v>
      </c>
      <c r="K618" s="1">
        <v>0</v>
      </c>
      <c r="L618" s="1">
        <f>IF(K618 + L617 &lt; 0, K618 + L617, 0)</f>
        <v>0</v>
      </c>
    </row>
    <row r="619" spans="1:12" s="1" customFormat="1">
      <c r="A619" s="3">
        <v>45883</v>
      </c>
      <c r="B619" s="1" t="s">
        <v>16</v>
      </c>
      <c r="C619" s="1">
        <v>1</v>
      </c>
      <c r="D619" s="1">
        <v>6</v>
      </c>
      <c r="E619" s="1">
        <v>61345.55586964427</v>
      </c>
      <c r="F619" s="1">
        <f>IF(E619 + F618 &lt; 0, E619 + F618, 0)</f>
        <v>0</v>
      </c>
      <c r="G619" s="1">
        <v>-298146.4281387554</v>
      </c>
      <c r="H619" s="1">
        <f>IF(G619 + H618 &lt; 0, G619 + H618, 0)</f>
        <v>0</v>
      </c>
      <c r="I619" s="1">
        <v>145812.3107971745</v>
      </c>
      <c r="J619" s="1">
        <f>IF(I619 + J618 &lt; 0, I619 + J618, 0)</f>
        <v>0</v>
      </c>
      <c r="K619" s="1">
        <v>145812.3107971745</v>
      </c>
      <c r="L619" s="1">
        <f>IF(K619 + L618 &lt; 0, K619 + L618, 0)</f>
        <v>0</v>
      </c>
    </row>
    <row r="620" spans="1:12" s="1" customFormat="1">
      <c r="A620" s="3">
        <v>45887</v>
      </c>
      <c r="B620" s="1" t="s">
        <v>12</v>
      </c>
      <c r="C620" s="1">
        <v>23</v>
      </c>
      <c r="D620" s="1">
        <v>5</v>
      </c>
      <c r="E620" s="1">
        <v>0</v>
      </c>
      <c r="F620" s="1">
        <f>IF(E620 + F619 &lt; 0, E620 + F619, 0)</f>
        <v>0</v>
      </c>
      <c r="G620" s="1">
        <v>0</v>
      </c>
      <c r="H620" s="1">
        <f>IF(G620 + H619 &lt; 0, G620 + H619, 0)</f>
        <v>0</v>
      </c>
      <c r="I620" s="1">
        <v>-54445.55444555446</v>
      </c>
      <c r="J620" s="1">
        <f>IF(I620 + J619 &lt; 0, I620 + J619, 0)</f>
        <v>0</v>
      </c>
      <c r="K620" s="1">
        <v>-54445.55444555446</v>
      </c>
      <c r="L620" s="1">
        <f>IF(K620 + L619 &lt; 0, K620 + L619, 0)</f>
        <v>0</v>
      </c>
    </row>
    <row r="621" spans="1:12" s="1" customFormat="1">
      <c r="A621" s="3">
        <v>45888</v>
      </c>
      <c r="B621" s="1" t="s">
        <v>13</v>
      </c>
      <c r="C621" s="1">
        <v>22</v>
      </c>
      <c r="D621" s="1">
        <v>4</v>
      </c>
      <c r="E621" s="1">
        <v>0</v>
      </c>
      <c r="F621" s="1">
        <f>IF(E621 + F620 &lt; 0, E621 + F620, 0)</f>
        <v>0</v>
      </c>
      <c r="G621" s="1">
        <v>0</v>
      </c>
      <c r="H621" s="1">
        <f>IF(G621 + H620 &lt; 0, G621 + H620, 0)</f>
        <v>0</v>
      </c>
      <c r="I621" s="1">
        <v>-203515.4962083746</v>
      </c>
      <c r="J621" s="1">
        <f>IF(I621 + J620 &lt; 0, I621 + J620, 0)</f>
        <v>0</v>
      </c>
      <c r="K621" s="1">
        <v>-235575.3379492252</v>
      </c>
      <c r="L621" s="1">
        <f>IF(K621 + L620 &lt; 0, K621 + L620, 0)</f>
        <v>0</v>
      </c>
    </row>
    <row r="622" spans="1:12" s="1" customFormat="1">
      <c r="A622" s="3">
        <v>45889</v>
      </c>
      <c r="B622" s="1" t="s">
        <v>14</v>
      </c>
      <c r="C622" s="1">
        <v>21</v>
      </c>
      <c r="D622" s="1">
        <v>3</v>
      </c>
      <c r="E622" s="1">
        <v>0</v>
      </c>
      <c r="F622" s="1">
        <f>IF(E622 + F621 &lt; 0, E622 + F621, 0)</f>
        <v>0</v>
      </c>
      <c r="G622" s="1">
        <v>0</v>
      </c>
      <c r="H622" s="1">
        <f>IF(G622 + H621 &lt; 0, G622 + H621, 0)</f>
        <v>0</v>
      </c>
      <c r="I622" s="1">
        <v>140754.8476454294</v>
      </c>
      <c r="J622" s="1">
        <f>IF(I622 + J621 &lt; 0, I622 + J621, 0)</f>
        <v>0</v>
      </c>
      <c r="K622" s="1">
        <v>140754.8476454294</v>
      </c>
      <c r="L622" s="1">
        <f>IF(K622 + L621 &lt; 0, K622 + L621, 0)</f>
        <v>0</v>
      </c>
    </row>
    <row r="623" spans="1:12" s="1" customFormat="1">
      <c r="A623" s="3">
        <v>45890</v>
      </c>
      <c r="B623" s="1" t="s">
        <v>16</v>
      </c>
      <c r="C623" s="1">
        <v>20</v>
      </c>
      <c r="D623" s="1">
        <v>2</v>
      </c>
      <c r="E623" s="1">
        <v>0</v>
      </c>
      <c r="F623" s="1">
        <f>IF(E623 + F622 &lt; 0, E623 + F622, 0)</f>
        <v>0</v>
      </c>
      <c r="G623" s="1">
        <v>0</v>
      </c>
      <c r="H623" s="1">
        <f>IF(G623 + H622 &lt; 0, G623 + H622, 0)</f>
        <v>0</v>
      </c>
      <c r="I623" s="1">
        <v>157310.0936524454</v>
      </c>
      <c r="J623" s="1">
        <f>IF(I623 + J622 &lt; 0, I623 + J622, 0)</f>
        <v>0</v>
      </c>
      <c r="K623" s="1">
        <v>161637.1834894208</v>
      </c>
      <c r="L623" s="1">
        <f>IF(K623 + L622 &lt; 0, K623 + L622, 0)</f>
        <v>0</v>
      </c>
    </row>
    <row r="624" spans="1:12" s="1" customFormat="1">
      <c r="A624" s="3">
        <v>45891</v>
      </c>
      <c r="B624" s="1" t="s">
        <v>15</v>
      </c>
      <c r="C624" s="1">
        <v>19</v>
      </c>
      <c r="D624" s="1">
        <v>1</v>
      </c>
      <c r="E624" s="1">
        <v>0</v>
      </c>
      <c r="F624" s="1">
        <f>IF(E624 + F623 &lt; 0, E624 + F623, 0)</f>
        <v>0</v>
      </c>
      <c r="G624" s="1">
        <v>0</v>
      </c>
      <c r="H624" s="1">
        <f>IF(G624 + H623 &lt; 0, G624 + H623, 0)</f>
        <v>0</v>
      </c>
      <c r="I624" s="1">
        <v>20308.26558265584</v>
      </c>
      <c r="J624" s="1">
        <f>IF(I624 + J623 &lt; 0, I624 + J623, 0)</f>
        <v>0</v>
      </c>
      <c r="K624" s="1">
        <v>-196464.2615176152</v>
      </c>
      <c r="L624" s="1">
        <f>IF(K624 + L623 &lt; 0, K624 + L623, 0)</f>
        <v>0</v>
      </c>
    </row>
    <row r="625" spans="1:12" s="1" customFormat="1">
      <c r="A625" s="3">
        <v>45894</v>
      </c>
      <c r="B625" s="1" t="s">
        <v>12</v>
      </c>
      <c r="C625" s="1">
        <v>18</v>
      </c>
      <c r="D625" s="1">
        <v>22</v>
      </c>
      <c r="E625" s="1">
        <v>0</v>
      </c>
      <c r="F625" s="1">
        <f>IF(E625 + F624 &lt; 0, E625 + F624, 0)</f>
        <v>0</v>
      </c>
      <c r="G625" s="1">
        <v>0</v>
      </c>
      <c r="H625" s="1">
        <f>IF(G625 + H624 &lt; 0, G625 + H624, 0)</f>
        <v>0</v>
      </c>
      <c r="I625" s="1">
        <v>0</v>
      </c>
      <c r="J625" s="1">
        <f>IF(I625 + J624 &lt; 0, I625 + J624, 0)</f>
        <v>0</v>
      </c>
      <c r="K625" s="1">
        <v>0</v>
      </c>
      <c r="L625" s="1">
        <f>IF(K625 + L624 &lt; 0, K625 + L624, 0)</f>
        <v>0</v>
      </c>
    </row>
    <row r="626" spans="1:12" s="1" customFormat="1">
      <c r="A626" s="3">
        <v>45895</v>
      </c>
      <c r="B626" s="1" t="s">
        <v>13</v>
      </c>
      <c r="C626" s="1">
        <v>17</v>
      </c>
      <c r="D626" s="1">
        <v>21</v>
      </c>
      <c r="E626" s="1">
        <v>0</v>
      </c>
      <c r="F626" s="1">
        <f>IF(E626 + F625 &lt; 0, E626 + F625, 0)</f>
        <v>0</v>
      </c>
      <c r="G626" s="1">
        <v>0</v>
      </c>
      <c r="H626" s="1">
        <f>IF(G626 + H625 &lt; 0, G626 + H625, 0)</f>
        <v>0</v>
      </c>
      <c r="I626" s="1">
        <v>0</v>
      </c>
      <c r="J626" s="1">
        <f>IF(I626 + J625 &lt; 0, I626 + J625, 0)</f>
        <v>0</v>
      </c>
      <c r="K626" s="1">
        <v>0</v>
      </c>
      <c r="L626" s="1">
        <f>IF(K626 + L625 &lt; 0, K626 + L625, 0)</f>
        <v>0</v>
      </c>
    </row>
    <row r="627" spans="1:12" s="1" customFormat="1">
      <c r="A627" s="3">
        <v>45896</v>
      </c>
      <c r="B627" s="1" t="s">
        <v>14</v>
      </c>
      <c r="C627" s="1">
        <v>16</v>
      </c>
      <c r="D627" s="1">
        <v>20</v>
      </c>
      <c r="E627" s="1">
        <v>0</v>
      </c>
      <c r="F627" s="1">
        <f>IF(E627 + F626 &lt; 0, E627 + F626, 0)</f>
        <v>0</v>
      </c>
      <c r="G627" s="1">
        <v>0</v>
      </c>
      <c r="H627" s="1">
        <f>IF(G627 + H626 &lt; 0, G627 + H626, 0)</f>
        <v>0</v>
      </c>
      <c r="I627" s="1">
        <v>0</v>
      </c>
      <c r="J627" s="1">
        <f>IF(I627 + J626 &lt; 0, I627 + J626, 0)</f>
        <v>0</v>
      </c>
      <c r="K627" s="1">
        <v>0</v>
      </c>
      <c r="L627" s="1">
        <f>IF(K627 + L626 &lt; 0, K627 + L626, 0)</f>
        <v>0</v>
      </c>
    </row>
    <row r="628" spans="1:12" s="1" customFormat="1">
      <c r="A628" s="3">
        <v>45897</v>
      </c>
      <c r="B628" s="1" t="s">
        <v>16</v>
      </c>
      <c r="C628" s="1">
        <v>15</v>
      </c>
      <c r="D628" s="1">
        <v>19</v>
      </c>
      <c r="E628" s="1">
        <v>0</v>
      </c>
      <c r="F628" s="1">
        <f>IF(E628 + F627 &lt; 0, E628 + F627, 0)</f>
        <v>0</v>
      </c>
      <c r="G628" s="1">
        <v>0</v>
      </c>
      <c r="H628" s="1">
        <f>IF(G628 + H627 &lt; 0, G628 + H627, 0)</f>
        <v>0</v>
      </c>
      <c r="I628" s="1">
        <v>0</v>
      </c>
      <c r="J628" s="1">
        <f>IF(I628 + J627 &lt; 0, I628 + J627, 0)</f>
        <v>0</v>
      </c>
      <c r="K628" s="1">
        <v>0</v>
      </c>
      <c r="L628" s="1">
        <f>IF(K628 + L627 &lt; 0, K628 + L627, 0)</f>
        <v>0</v>
      </c>
    </row>
    <row r="629" spans="1:12" s="1" customFormat="1">
      <c r="A629" s="3">
        <v>45898</v>
      </c>
      <c r="B629" s="1" t="s">
        <v>15</v>
      </c>
      <c r="C629" s="1">
        <v>14</v>
      </c>
      <c r="D629" s="1">
        <v>18</v>
      </c>
      <c r="E629" s="1">
        <v>0</v>
      </c>
      <c r="F629" s="1">
        <f>IF(E629 + F628 &lt; 0, E629 + F628, 0)</f>
        <v>0</v>
      </c>
      <c r="G629" s="1">
        <v>0</v>
      </c>
      <c r="H629" s="1">
        <f>IF(G629 + H628 &lt; 0, G629 + H628, 0)</f>
        <v>0</v>
      </c>
      <c r="I629" s="1">
        <v>0</v>
      </c>
      <c r="J629" s="1">
        <f>IF(I629 + J628 &lt; 0, I629 + J628, 0)</f>
        <v>0</v>
      </c>
      <c r="K629" s="1">
        <v>0</v>
      </c>
      <c r="L629" s="1">
        <f>IF(K629 + L628 &lt; 0, K629 + L628, 0)</f>
        <v>0</v>
      </c>
    </row>
    <row r="630" spans="1:12" s="1" customFormat="1">
      <c r="A630" s="3">
        <v>45901</v>
      </c>
      <c r="B630" s="1" t="s">
        <v>12</v>
      </c>
      <c r="C630" s="1">
        <v>13</v>
      </c>
      <c r="D630" s="1">
        <v>17</v>
      </c>
      <c r="E630" s="1">
        <v>0</v>
      </c>
      <c r="F630" s="1">
        <f>IF(E630 + F629 &lt; 0, E630 + F629, 0)</f>
        <v>0</v>
      </c>
      <c r="G630" s="1">
        <v>0</v>
      </c>
      <c r="H630" s="1">
        <f>IF(G630 + H629 &lt; 0, G630 + H629, 0)</f>
        <v>0</v>
      </c>
      <c r="I630" s="1">
        <v>0</v>
      </c>
      <c r="J630" s="1">
        <f>IF(I630 + J629 &lt; 0, I630 + J629, 0)</f>
        <v>0</v>
      </c>
      <c r="K630" s="1">
        <v>0</v>
      </c>
      <c r="L630" s="1">
        <f>IF(K630 + L629 &lt; 0, K630 + L629, 0)</f>
        <v>0</v>
      </c>
    </row>
    <row r="631" spans="1:12" s="1" customFormat="1">
      <c r="A631" s="3">
        <v>45902</v>
      </c>
      <c r="B631" s="1" t="s">
        <v>13</v>
      </c>
      <c r="C631" s="1">
        <v>12</v>
      </c>
      <c r="D631" s="1">
        <v>16</v>
      </c>
      <c r="E631" s="1">
        <v>0</v>
      </c>
      <c r="F631" s="1">
        <f>IF(E631 + F630 &lt; 0, E631 + F630, 0)</f>
        <v>0</v>
      </c>
      <c r="G631" s="1">
        <v>0</v>
      </c>
      <c r="H631" s="1">
        <f>IF(G631 + H630 &lt; 0, G631 + H630, 0)</f>
        <v>0</v>
      </c>
      <c r="I631" s="1">
        <v>0</v>
      </c>
      <c r="J631" s="1">
        <f>IF(I631 + J630 &lt; 0, I631 + J630, 0)</f>
        <v>0</v>
      </c>
      <c r="K631" s="1">
        <v>0</v>
      </c>
      <c r="L631" s="1">
        <f>IF(K631 + L630 &lt; 0, K631 + L630, 0)</f>
        <v>0</v>
      </c>
    </row>
    <row r="632" spans="1:12" s="1" customFormat="1">
      <c r="A632" s="3">
        <v>45903</v>
      </c>
      <c r="B632" s="1" t="s">
        <v>14</v>
      </c>
      <c r="C632" s="1">
        <v>11</v>
      </c>
      <c r="D632" s="1">
        <v>15</v>
      </c>
      <c r="E632" s="1">
        <v>0</v>
      </c>
      <c r="F632" s="1">
        <f>IF(E632 + F631 &lt; 0, E632 + F631, 0)</f>
        <v>0</v>
      </c>
      <c r="G632" s="1">
        <v>0</v>
      </c>
      <c r="H632" s="1">
        <f>IF(G632 + H631 &lt; 0, G632 + H631, 0)</f>
        <v>0</v>
      </c>
      <c r="I632" s="1">
        <v>0</v>
      </c>
      <c r="J632" s="1">
        <f>IF(I632 + J631 &lt; 0, I632 + J631, 0)</f>
        <v>0</v>
      </c>
      <c r="K632" s="1">
        <v>0</v>
      </c>
      <c r="L632" s="1">
        <f>IF(K632 + L631 &lt; 0, K632 + L631, 0)</f>
        <v>0</v>
      </c>
    </row>
    <row r="633" spans="1:12" s="1" customFormat="1">
      <c r="A633" s="3">
        <v>45904</v>
      </c>
      <c r="B633" s="1" t="s">
        <v>16</v>
      </c>
      <c r="C633" s="1">
        <v>10</v>
      </c>
      <c r="D633" s="1">
        <v>14</v>
      </c>
      <c r="E633" s="1">
        <v>22875.81699346406</v>
      </c>
      <c r="F633" s="1">
        <f>IF(E633 + F632 &lt; 0, E633 + F632, 0)</f>
        <v>0</v>
      </c>
      <c r="G633" s="1">
        <v>22875.81699346406</v>
      </c>
      <c r="H633" s="1">
        <f>IF(G633 + H632 &lt; 0, G633 + H632, 0)</f>
        <v>0</v>
      </c>
      <c r="I633" s="1">
        <v>0</v>
      </c>
      <c r="J633" s="1">
        <f>IF(I633 + J632 &lt; 0, I633 + J632, 0)</f>
        <v>0</v>
      </c>
      <c r="K633" s="1">
        <v>0</v>
      </c>
      <c r="L633" s="1">
        <f>IF(K633 + L632 &lt; 0, K633 + L632, 0)</f>
        <v>0</v>
      </c>
    </row>
    <row r="634" spans="1:12" s="1" customFormat="1">
      <c r="A634" s="3">
        <v>45905</v>
      </c>
      <c r="B634" s="1" t="s">
        <v>15</v>
      </c>
      <c r="C634" s="1">
        <v>9</v>
      </c>
      <c r="D634" s="1">
        <v>13</v>
      </c>
      <c r="E634" s="1">
        <v>-34523.57310243477</v>
      </c>
      <c r="F634" s="1">
        <f>IF(E634 + F633 &lt; 0, E634 + F633, 0)</f>
        <v>0</v>
      </c>
      <c r="G634" s="1">
        <v>-65794.17722524528</v>
      </c>
      <c r="H634" s="1">
        <f>IF(G634 + H633 &lt; 0, G634 + H633, 0)</f>
        <v>0</v>
      </c>
      <c r="I634" s="1">
        <v>0</v>
      </c>
      <c r="J634" s="1">
        <f>IF(I634 + J633 &lt; 0, I634 + J633, 0)</f>
        <v>0</v>
      </c>
      <c r="K634" s="1">
        <v>0</v>
      </c>
      <c r="L634" s="1">
        <f>IF(K634 + L633 &lt; 0, K634 + L633, 0)</f>
        <v>0</v>
      </c>
    </row>
    <row r="635" spans="1:12" s="1" customFormat="1">
      <c r="A635" s="3">
        <v>45908</v>
      </c>
      <c r="B635" s="1" t="s">
        <v>12</v>
      </c>
      <c r="C635" s="1">
        <v>8</v>
      </c>
      <c r="D635" s="1">
        <v>12</v>
      </c>
      <c r="E635" s="1">
        <v>32492.96623794213</v>
      </c>
      <c r="F635" s="1">
        <f>IF(E635 + F634 &lt; 0, E635 + F634, 0)</f>
        <v>0</v>
      </c>
      <c r="G635" s="1">
        <v>100924.4372990354</v>
      </c>
      <c r="H635" s="1">
        <f>IF(G635 + H634 &lt; 0, G635 + H634, 0)</f>
        <v>0</v>
      </c>
      <c r="I635" s="1">
        <v>0</v>
      </c>
      <c r="J635" s="1">
        <f>IF(I635 + J634 &lt; 0, I635 + J634, 0)</f>
        <v>0</v>
      </c>
      <c r="K635" s="1">
        <v>0</v>
      </c>
      <c r="L635" s="1">
        <f>IF(K635 + L634 &lt; 0, K635 + L634, 0)</f>
        <v>0</v>
      </c>
    </row>
    <row r="636" spans="1:12" s="1" customFormat="1">
      <c r="A636" s="3">
        <v>45909</v>
      </c>
      <c r="B636" s="1" t="s">
        <v>13</v>
      </c>
      <c r="C636" s="1">
        <v>7</v>
      </c>
      <c r="D636" s="1">
        <v>11</v>
      </c>
      <c r="E636" s="1">
        <v>82181.74119924191</v>
      </c>
      <c r="F636" s="1">
        <f>IF(E636 + F635 &lt; 0, E636 + F635, 0)</f>
        <v>0</v>
      </c>
      <c r="G636" s="1">
        <v>123311.4238477358</v>
      </c>
      <c r="H636" s="1">
        <f>IF(G636 + H635 &lt; 0, G636 + H635, 0)</f>
        <v>0</v>
      </c>
      <c r="I636" s="1">
        <v>0</v>
      </c>
      <c r="J636" s="1">
        <f>IF(I636 + J635 &lt; 0, I636 + J635, 0)</f>
        <v>0</v>
      </c>
      <c r="K636" s="1">
        <v>0</v>
      </c>
      <c r="L636" s="1">
        <f>IF(K636 + L635 &lt; 0, K636 + L635, 0)</f>
        <v>0</v>
      </c>
    </row>
    <row r="637" spans="1:12" s="1" customFormat="1">
      <c r="A637" s="3">
        <v>45910</v>
      </c>
      <c r="B637" s="1" t="s">
        <v>14</v>
      </c>
      <c r="C637" s="1">
        <v>6</v>
      </c>
      <c r="D637" s="1">
        <v>10</v>
      </c>
      <c r="E637" s="1">
        <v>153545.6610993741</v>
      </c>
      <c r="F637" s="1">
        <f>IF(E637 + F636 &lt; 0, E637 + F636, 0)</f>
        <v>0</v>
      </c>
      <c r="G637" s="1">
        <v>153545.6610993741</v>
      </c>
      <c r="H637" s="1">
        <f>IF(G637 + H636 &lt; 0, G637 + H636, 0)</f>
        <v>0</v>
      </c>
      <c r="I637" s="1">
        <v>0</v>
      </c>
      <c r="J637" s="1">
        <f>IF(I637 + J636 &lt; 0, I637 + J636, 0)</f>
        <v>0</v>
      </c>
      <c r="K637" s="1">
        <v>0</v>
      </c>
      <c r="L637" s="1">
        <f>IF(K637 + L636 &lt; 0, K637 + L636, 0)</f>
        <v>0</v>
      </c>
    </row>
    <row r="638" spans="1:12" s="1" customFormat="1">
      <c r="A638" s="3">
        <v>45911</v>
      </c>
      <c r="B638" s="1" t="s">
        <v>16</v>
      </c>
      <c r="C638" s="1">
        <v>5</v>
      </c>
      <c r="D638" s="1">
        <v>9</v>
      </c>
      <c r="E638" s="1">
        <v>20498.08050025725</v>
      </c>
      <c r="F638" s="1">
        <f>IF(E638 + F637 &lt; 0, E638 + F637, 0)</f>
        <v>0</v>
      </c>
      <c r="G638" s="1">
        <v>66905.44979617684</v>
      </c>
      <c r="H638" s="1">
        <f>IF(G638 + H637 &lt; 0, G638 + H637, 0)</f>
        <v>0</v>
      </c>
      <c r="I638" s="1">
        <v>0</v>
      </c>
      <c r="J638" s="1">
        <f>IF(I638 + J637 &lt; 0, I638 + J637, 0)</f>
        <v>0</v>
      </c>
      <c r="K638" s="1">
        <v>0</v>
      </c>
      <c r="L638" s="1">
        <f>IF(K638 + L637 &lt; 0, K638 + L637, 0)</f>
        <v>0</v>
      </c>
    </row>
    <row r="639" spans="1:12" s="1" customFormat="1">
      <c r="A639" s="3">
        <v>45912</v>
      </c>
      <c r="B639" s="1" t="s">
        <v>15</v>
      </c>
      <c r="C639" s="1">
        <v>4</v>
      </c>
      <c r="D639" s="1">
        <v>8</v>
      </c>
      <c r="E639" s="1">
        <v>-1689.806357325579</v>
      </c>
      <c r="F639" s="1">
        <f>IF(E639 + F638 &lt; 0, E639 + F638, 0)</f>
        <v>0</v>
      </c>
      <c r="G639" s="1">
        <v>276600.495270572</v>
      </c>
      <c r="H639" s="1">
        <f>IF(G639 + H638 &lt; 0, G639 + H638, 0)</f>
        <v>0</v>
      </c>
      <c r="I639" s="1">
        <v>0</v>
      </c>
      <c r="J639" s="1">
        <f>IF(I639 + J638 &lt; 0, I639 + J638, 0)</f>
        <v>0</v>
      </c>
      <c r="K639" s="1">
        <v>0</v>
      </c>
      <c r="L639" s="1">
        <f>IF(K639 + L638 &lt; 0, K639 + L638, 0)</f>
        <v>0</v>
      </c>
    </row>
    <row r="640" spans="1:12" s="1" customFormat="1">
      <c r="A640" s="3">
        <v>45915</v>
      </c>
      <c r="B640" s="1" t="s">
        <v>12</v>
      </c>
      <c r="C640" s="1">
        <v>3</v>
      </c>
      <c r="D640" s="1">
        <v>7</v>
      </c>
      <c r="E640" s="1">
        <v>-63322.23064342419</v>
      </c>
      <c r="F640" s="1">
        <f>IF(E640 + F639 &lt; 0, E640 + F639, 0)</f>
        <v>0</v>
      </c>
      <c r="G640" s="1">
        <v>292891.6191311978</v>
      </c>
      <c r="H640" s="1">
        <f>IF(G640 + H639 &lt; 0, G640 + H639, 0)</f>
        <v>0</v>
      </c>
      <c r="I640" s="1">
        <v>0</v>
      </c>
      <c r="J640" s="1">
        <f>IF(I640 + J639 &lt; 0, I640 + J639, 0)</f>
        <v>0</v>
      </c>
      <c r="K640" s="1">
        <v>0</v>
      </c>
      <c r="L640" s="1">
        <f>IF(K640 + L639 &lt; 0, K640 + L639, 0)</f>
        <v>0</v>
      </c>
    </row>
    <row r="641" spans="1:12" s="1" customFormat="1">
      <c r="A641" s="3">
        <v>45916</v>
      </c>
      <c r="B641" s="1" t="s">
        <v>13</v>
      </c>
      <c r="C641" s="1">
        <v>2</v>
      </c>
      <c r="D641" s="1">
        <v>6</v>
      </c>
      <c r="E641" s="1">
        <v>21040.12566610992</v>
      </c>
      <c r="F641" s="1">
        <f>IF(E641 + F640 &lt; 0, E641 + F640, 0)</f>
        <v>0</v>
      </c>
      <c r="G641" s="1">
        <v>-252664.4396723137</v>
      </c>
      <c r="H641" s="1">
        <f>IF(G641 + H640 &lt; 0, G641 + H640, 0)</f>
        <v>0</v>
      </c>
      <c r="I641" s="1">
        <v>32863.8497652582</v>
      </c>
      <c r="J641" s="1">
        <f>IF(I641 + J640 &lt; 0, I641 + J640, 0)</f>
        <v>0</v>
      </c>
      <c r="K641" s="1">
        <v>32863.8497652582</v>
      </c>
      <c r="L641" s="1">
        <f>IF(K641 + L640 &lt; 0, K641 + L640, 0)</f>
        <v>0</v>
      </c>
    </row>
    <row r="642" spans="1:12" s="1" customFormat="1">
      <c r="A642" s="3">
        <v>45917</v>
      </c>
      <c r="B642" s="1" t="s">
        <v>14</v>
      </c>
      <c r="C642" s="1">
        <v>1</v>
      </c>
      <c r="D642" s="1">
        <v>5</v>
      </c>
      <c r="E642" s="1">
        <v>449289.4716181204</v>
      </c>
      <c r="F642" s="1">
        <f>IF(E642 + F641 &lt; 0, E642 + F641, 0)</f>
        <v>0</v>
      </c>
      <c r="G642" s="1">
        <v>486295.8310434168</v>
      </c>
      <c r="H642" s="1">
        <f>IF(G642 + H641 &lt; 0, G642 + H641, 0)</f>
        <v>0</v>
      </c>
      <c r="I642" s="1">
        <v>81126.33181126331</v>
      </c>
      <c r="J642" s="1">
        <f>IF(I642 + J641 &lt; 0, I642 + J641, 0)</f>
        <v>0</v>
      </c>
      <c r="K642" s="1">
        <v>81126.33181126331</v>
      </c>
      <c r="L642" s="1">
        <f>IF(K642 + L641 &lt; 0, K642 + L641, 0)</f>
        <v>0</v>
      </c>
    </row>
    <row r="643" spans="1:12" s="1" customFormat="1">
      <c r="A643" s="3">
        <v>45918</v>
      </c>
      <c r="B643" s="1" t="s">
        <v>16</v>
      </c>
      <c r="C643" s="1">
        <v>20</v>
      </c>
      <c r="D643" s="1">
        <v>4</v>
      </c>
      <c r="E643" s="1">
        <v>0</v>
      </c>
      <c r="F643" s="1">
        <f>IF(E643 + F642 &lt; 0, E643 + F642, 0)</f>
        <v>0</v>
      </c>
      <c r="G643" s="1">
        <v>0</v>
      </c>
      <c r="H643" s="1">
        <f>IF(G643 + H642 &lt; 0, G643 + H642, 0)</f>
        <v>0</v>
      </c>
      <c r="I643" s="1">
        <v>-71779.89548109435</v>
      </c>
      <c r="J643" s="1">
        <f>IF(I643 + J642 &lt; 0, I643 + J642, 0)</f>
        <v>0</v>
      </c>
      <c r="K643" s="1">
        <v>-207208.7304027052</v>
      </c>
      <c r="L643" s="1">
        <f>IF(K643 + L642 &lt; 0, K643 + L642, 0)</f>
        <v>0</v>
      </c>
    </row>
    <row r="644" spans="1:12" s="1" customFormat="1">
      <c r="A644" s="3">
        <v>45919</v>
      </c>
      <c r="B644" s="1" t="s">
        <v>15</v>
      </c>
      <c r="C644" s="1">
        <v>19</v>
      </c>
      <c r="D644" s="1">
        <v>3</v>
      </c>
      <c r="E644" s="1">
        <v>0</v>
      </c>
      <c r="F644" s="1">
        <f>IF(E644 + F643 &lt; 0, E644 + F643, 0)</f>
        <v>0</v>
      </c>
      <c r="G644" s="1">
        <v>0</v>
      </c>
      <c r="H644" s="1">
        <f>IF(G644 + H643 &lt; 0, G644 + H643, 0)</f>
        <v>0</v>
      </c>
      <c r="I644" s="1">
        <v>40605.86529165324</v>
      </c>
      <c r="J644" s="1">
        <f>IF(I644 + J643 &lt; 0, I644 + J643, 0)</f>
        <v>0</v>
      </c>
      <c r="K644" s="1">
        <v>40605.86529165324</v>
      </c>
      <c r="L644" s="1">
        <f>IF(K644 + L643 &lt; 0, K644 + L643, 0)</f>
        <v>0</v>
      </c>
    </row>
    <row r="645" spans="1:12" s="1" customFormat="1">
      <c r="A645" s="3">
        <v>45922</v>
      </c>
      <c r="B645" s="1" t="s">
        <v>12</v>
      </c>
      <c r="C645" s="1">
        <v>18</v>
      </c>
      <c r="D645" s="1">
        <v>2</v>
      </c>
      <c r="E645" s="1">
        <v>0</v>
      </c>
      <c r="F645" s="1">
        <f>IF(E645 + F644 &lt; 0, E645 + F644, 0)</f>
        <v>0</v>
      </c>
      <c r="G645" s="1">
        <v>0</v>
      </c>
      <c r="H645" s="1">
        <f>IF(G645 + H644 &lt; 0, G645 + H644, 0)</f>
        <v>0</v>
      </c>
      <c r="I645" s="1">
        <v>-137042.2877511342</v>
      </c>
      <c r="J645" s="1">
        <f>IF(I645 + J644 &lt; 0, I645 + J644, 0)</f>
        <v>0</v>
      </c>
      <c r="K645" s="1">
        <v>4374.594944912498</v>
      </c>
      <c r="L645" s="1">
        <f>IF(K645 + L644 &lt; 0, K645 + L644, 0)</f>
        <v>0</v>
      </c>
    </row>
    <row r="646" spans="1:12" s="1" customFormat="1">
      <c r="A646" s="3">
        <v>45923</v>
      </c>
      <c r="B646" s="1" t="s">
        <v>13</v>
      </c>
      <c r="C646" s="1">
        <v>17</v>
      </c>
      <c r="D646" s="1">
        <v>1</v>
      </c>
      <c r="E646" s="1">
        <v>0</v>
      </c>
      <c r="F646" s="1">
        <f>IF(E646 + F645 &lt; 0, E646 + F645, 0)</f>
        <v>0</v>
      </c>
      <c r="G646" s="1">
        <v>0</v>
      </c>
      <c r="H646" s="1">
        <f>IF(G646 + H645 &lt; 0, G646 + H645, 0)</f>
        <v>0</v>
      </c>
      <c r="I646" s="1">
        <v>85788.76555667672</v>
      </c>
      <c r="J646" s="1">
        <f>IF(I646 + J645 &lt; 0, I646 + J645, 0)</f>
        <v>0</v>
      </c>
      <c r="K646" s="1">
        <v>223755.4658594012</v>
      </c>
      <c r="L646" s="1">
        <f>IF(K646 + L645 &lt; 0, K646 + L645, 0)</f>
        <v>0</v>
      </c>
    </row>
    <row r="647" spans="1:12" s="1" customFormat="1">
      <c r="A647" s="3">
        <v>45924</v>
      </c>
      <c r="B647" s="1" t="s">
        <v>14</v>
      </c>
      <c r="C647" s="1">
        <v>16</v>
      </c>
      <c r="D647" s="1">
        <v>21</v>
      </c>
      <c r="E647" s="1">
        <v>0</v>
      </c>
      <c r="F647" s="1">
        <f>IF(E647 + F646 &lt; 0, E647 + F646, 0)</f>
        <v>0</v>
      </c>
      <c r="G647" s="1">
        <v>0</v>
      </c>
      <c r="H647" s="1">
        <f>IF(G647 + H646 &lt; 0, G647 + H646, 0)</f>
        <v>0</v>
      </c>
      <c r="I647" s="1">
        <v>0</v>
      </c>
      <c r="J647" s="1">
        <f>IF(I647 + J646 &lt; 0, I647 + J646, 0)</f>
        <v>0</v>
      </c>
      <c r="K647" s="1">
        <v>0</v>
      </c>
      <c r="L647" s="1">
        <f>IF(K647 + L646 &lt; 0, K647 + L646, 0)</f>
        <v>0</v>
      </c>
    </row>
    <row r="648" spans="1:12" s="1" customFormat="1">
      <c r="A648" s="3">
        <v>45925</v>
      </c>
      <c r="B648" s="1" t="s">
        <v>16</v>
      </c>
      <c r="C648" s="1">
        <v>15</v>
      </c>
      <c r="D648" s="1">
        <v>20</v>
      </c>
      <c r="E648" s="1">
        <v>0</v>
      </c>
      <c r="F648" s="1">
        <f>IF(E648 + F647 &lt; 0, E648 + F647, 0)</f>
        <v>0</v>
      </c>
      <c r="G648" s="1">
        <v>0</v>
      </c>
      <c r="H648" s="1">
        <f>IF(G648 + H647 &lt; 0, G648 + H647, 0)</f>
        <v>0</v>
      </c>
      <c r="I648" s="1">
        <v>0</v>
      </c>
      <c r="J648" s="1">
        <f>IF(I648 + J647 &lt; 0, I648 + J647, 0)</f>
        <v>0</v>
      </c>
      <c r="K648" s="1">
        <v>0</v>
      </c>
      <c r="L648" s="1">
        <f>IF(K648 + L647 &lt; 0, K648 + L647, 0)</f>
        <v>0</v>
      </c>
    </row>
    <row r="649" spans="1:12" s="1" customFormat="1">
      <c r="A649" s="3">
        <v>45926</v>
      </c>
      <c r="B649" s="1" t="s">
        <v>15</v>
      </c>
      <c r="C649" s="1">
        <v>14</v>
      </c>
      <c r="D649" s="1">
        <v>19</v>
      </c>
      <c r="E649" s="1">
        <v>0</v>
      </c>
      <c r="F649" s="1">
        <f>IF(E649 + F648 &lt; 0, E649 + F648, 0)</f>
        <v>0</v>
      </c>
      <c r="G649" s="1">
        <v>0</v>
      </c>
      <c r="H649" s="1">
        <f>IF(G649 + H648 &lt; 0, G649 + H648, 0)</f>
        <v>0</v>
      </c>
      <c r="I649" s="1">
        <v>0</v>
      </c>
      <c r="J649" s="1">
        <f>IF(I649 + J648 &lt; 0, I649 + J648, 0)</f>
        <v>0</v>
      </c>
      <c r="K649" s="1">
        <v>0</v>
      </c>
      <c r="L649" s="1">
        <f>IF(K649 + L648 &lt; 0, K649 + L648, 0)</f>
        <v>0</v>
      </c>
    </row>
    <row r="650" spans="1:12" s="1" customFormat="1">
      <c r="A650" s="3">
        <v>45929</v>
      </c>
      <c r="B650" s="1" t="s">
        <v>12</v>
      </c>
      <c r="C650" s="1">
        <v>13</v>
      </c>
      <c r="D650" s="1">
        <v>18</v>
      </c>
      <c r="E650" s="1">
        <v>0</v>
      </c>
      <c r="F650" s="1">
        <f>IF(E650 + F649 &lt; 0, E650 + F649, 0)</f>
        <v>0</v>
      </c>
      <c r="G650" s="1">
        <v>0</v>
      </c>
      <c r="H650" s="1">
        <f>IF(G650 + H649 &lt; 0, G650 + H649, 0)</f>
        <v>0</v>
      </c>
      <c r="I650" s="1">
        <v>0</v>
      </c>
      <c r="J650" s="1">
        <f>IF(I650 + J649 &lt; 0, I650 + J649, 0)</f>
        <v>0</v>
      </c>
      <c r="K650" s="1">
        <v>0</v>
      </c>
      <c r="L650" s="1">
        <f>IF(K650 + L649 &lt; 0, K650 + L649, 0)</f>
        <v>0</v>
      </c>
    </row>
    <row r="651" spans="1:12" s="1" customFormat="1">
      <c r="A651" s="3">
        <v>45930</v>
      </c>
      <c r="B651" s="1" t="s">
        <v>13</v>
      </c>
      <c r="C651" s="1">
        <v>12</v>
      </c>
      <c r="D651" s="1">
        <v>17</v>
      </c>
      <c r="E651" s="1">
        <v>0</v>
      </c>
      <c r="F651" s="1">
        <f>IF(E651 + F650 &lt; 0, E651 + F650, 0)</f>
        <v>0</v>
      </c>
      <c r="G651" s="1">
        <v>0</v>
      </c>
      <c r="H651" s="1">
        <f>IF(G651 + H650 &lt; 0, G651 + H650, 0)</f>
        <v>0</v>
      </c>
      <c r="I651" s="1">
        <v>0</v>
      </c>
      <c r="J651" s="1">
        <f>IF(I651 + J650 &lt; 0, I651 + J650, 0)</f>
        <v>0</v>
      </c>
      <c r="K651" s="1">
        <v>0</v>
      </c>
      <c r="L651" s="1">
        <f>IF(K651 + L650 &lt; 0, K651 + L650, 0)</f>
        <v>0</v>
      </c>
    </row>
    <row r="652" spans="1:12" s="1" customFormat="1">
      <c r="A652" s="3">
        <v>45931</v>
      </c>
      <c r="B652" s="1" t="s">
        <v>14</v>
      </c>
      <c r="C652" s="1">
        <v>11</v>
      </c>
      <c r="D652" s="1">
        <v>16</v>
      </c>
      <c r="E652" s="1">
        <v>0</v>
      </c>
      <c r="F652" s="1">
        <f>IF(E652 + F651 &lt; 0, E652 + F651, 0)</f>
        <v>0</v>
      </c>
      <c r="G652" s="1">
        <v>0</v>
      </c>
      <c r="H652" s="1">
        <f>IF(G652 + H651 &lt; 0, G652 + H651, 0)</f>
        <v>0</v>
      </c>
      <c r="I652" s="1">
        <v>0</v>
      </c>
      <c r="J652" s="1">
        <f>IF(I652 + J651 &lt; 0, I652 + J651, 0)</f>
        <v>0</v>
      </c>
      <c r="K652" s="1">
        <v>0</v>
      </c>
      <c r="L652" s="1">
        <f>IF(K652 + L651 &lt; 0, K652 + L651, 0)</f>
        <v>0</v>
      </c>
    </row>
    <row r="653" spans="1:12" s="1" customFormat="1">
      <c r="A653" s="3">
        <v>45933</v>
      </c>
      <c r="B653" s="1" t="s">
        <v>15</v>
      </c>
      <c r="C653" s="1">
        <v>10</v>
      </c>
      <c r="D653" s="1">
        <v>15</v>
      </c>
      <c r="E653" s="1">
        <v>155682.844707235</v>
      </c>
      <c r="F653" s="1">
        <f>IF(E653 + F652 &lt; 0, E653 + F652, 0)</f>
        <v>0</v>
      </c>
      <c r="G653" s="1">
        <v>155682.844707235</v>
      </c>
      <c r="H653" s="1">
        <f>IF(G653 + H652 &lt; 0, G653 + H652, 0)</f>
        <v>0</v>
      </c>
      <c r="I653" s="1">
        <v>0</v>
      </c>
      <c r="J653" s="1">
        <f>IF(I653 + J652 &lt; 0, I653 + J652, 0)</f>
        <v>0</v>
      </c>
      <c r="K653" s="1">
        <v>0</v>
      </c>
      <c r="L653" s="1">
        <f>IF(K653 + L652 &lt; 0, K653 + L652, 0)</f>
        <v>0</v>
      </c>
    </row>
    <row r="654" spans="1:12" s="1" customFormat="1">
      <c r="A654" s="3">
        <v>45936</v>
      </c>
      <c r="B654" s="1" t="s">
        <v>12</v>
      </c>
      <c r="C654" s="1">
        <v>9</v>
      </c>
      <c r="D654" s="1">
        <v>14</v>
      </c>
      <c r="E654" s="1">
        <v>25780.20643594416</v>
      </c>
      <c r="F654" s="1">
        <f>IF(E654 + F653 &lt; 0, E654 + F653, 0)</f>
        <v>0</v>
      </c>
      <c r="G654" s="1">
        <v>67172.63711799232</v>
      </c>
      <c r="H654" s="1">
        <f>IF(G654 + H653 &lt; 0, G654 + H653, 0)</f>
        <v>0</v>
      </c>
      <c r="I654" s="1">
        <v>0</v>
      </c>
      <c r="J654" s="1">
        <f>IF(I654 + J653 &lt; 0, I654 + J653, 0)</f>
        <v>0</v>
      </c>
      <c r="K654" s="1">
        <v>0</v>
      </c>
      <c r="L654" s="1">
        <f>IF(K654 + L653 &lt; 0, K654 + L653, 0)</f>
        <v>0</v>
      </c>
    </row>
    <row r="655" spans="1:12" s="1" customFormat="1">
      <c r="A655" s="3">
        <v>45937</v>
      </c>
      <c r="B655" s="1" t="s">
        <v>13</v>
      </c>
      <c r="C655" s="1">
        <v>8</v>
      </c>
      <c r="D655" s="1">
        <v>13</v>
      </c>
      <c r="E655" s="1">
        <v>-78528.44970318623</v>
      </c>
      <c r="F655" s="1">
        <f>IF(E655 + F654 &lt; 0, E655 + F654, 0)</f>
        <v>0</v>
      </c>
      <c r="G655" s="1">
        <v>59584.86451560796</v>
      </c>
      <c r="H655" s="1">
        <f>IF(G655 + H654 &lt; 0, G655 + H654, 0)</f>
        <v>0</v>
      </c>
      <c r="I655" s="1">
        <v>0</v>
      </c>
      <c r="J655" s="1">
        <f>IF(I655 + J654 &lt; 0, I655 + J654, 0)</f>
        <v>0</v>
      </c>
      <c r="K655" s="1">
        <v>0</v>
      </c>
      <c r="L655" s="1">
        <f>IF(K655 + L654 &lt; 0, K655 + L654, 0)</f>
        <v>0</v>
      </c>
    </row>
    <row r="656" spans="1:12" s="1" customFormat="1">
      <c r="A656" s="3">
        <v>45938</v>
      </c>
      <c r="B656" s="1" t="s">
        <v>14</v>
      </c>
      <c r="C656" s="1">
        <v>7</v>
      </c>
      <c r="D656" s="1">
        <v>12</v>
      </c>
      <c r="E656" s="1">
        <v>92577.71708570969</v>
      </c>
      <c r="F656" s="1">
        <f>IF(E656 + F655 &lt; 0, E656 + F655, 0)</f>
        <v>0</v>
      </c>
      <c r="G656" s="1">
        <v>92577.71708570969</v>
      </c>
      <c r="H656" s="1">
        <f>IF(G656 + H655 &lt; 0, G656 + H655, 0)</f>
        <v>0</v>
      </c>
      <c r="I656" s="1">
        <v>0</v>
      </c>
      <c r="J656" s="1">
        <f>IF(I656 + J655 &lt; 0, I656 + J655, 0)</f>
        <v>0</v>
      </c>
      <c r="K656" s="1">
        <v>0</v>
      </c>
      <c r="L656" s="1">
        <f>IF(K656 + L655 &lt; 0, K656 + L655, 0)</f>
        <v>0</v>
      </c>
    </row>
    <row r="657" spans="1:12" s="1" customFormat="1">
      <c r="A657" s="3">
        <v>45939</v>
      </c>
      <c r="B657" s="1" t="s">
        <v>16</v>
      </c>
      <c r="C657" s="1">
        <v>6</v>
      </c>
      <c r="D657" s="1">
        <v>11</v>
      </c>
      <c r="E657" s="1">
        <v>-126576.3863755177</v>
      </c>
      <c r="F657" s="1">
        <f>IF(E657 + F656 &lt; 0, E657 + F656, 0)</f>
        <v>0</v>
      </c>
      <c r="G657" s="1">
        <v>-137129.5290947842</v>
      </c>
      <c r="H657" s="1">
        <f>IF(G657 + H656 &lt; 0, G657 + H656, 0)</f>
        <v>0</v>
      </c>
      <c r="I657" s="1">
        <v>0</v>
      </c>
      <c r="J657" s="1">
        <f>IF(I657 + J656 &lt; 0, I657 + J656, 0)</f>
        <v>0</v>
      </c>
      <c r="K657" s="1">
        <v>0</v>
      </c>
      <c r="L657" s="1">
        <f>IF(K657 + L656 &lt; 0, K657 + L656, 0)</f>
        <v>0</v>
      </c>
    </row>
    <row r="658" spans="1:12" s="1" customFormat="1">
      <c r="A658" s="3">
        <v>45940</v>
      </c>
      <c r="B658" s="1" t="s">
        <v>15</v>
      </c>
      <c r="C658" s="1">
        <v>5</v>
      </c>
      <c r="D658" s="1">
        <v>10</v>
      </c>
      <c r="E658" s="1">
        <v>-79998.37583238591</v>
      </c>
      <c r="F658" s="1">
        <f>IF(E658 + F657 &lt; 0, E658 + F657, 0)</f>
        <v>0</v>
      </c>
      <c r="G658" s="1">
        <v>-650369.4981322074</v>
      </c>
      <c r="H658" s="1">
        <f>IF(G658 + H657 &lt; 0, G658 + H657, 0)</f>
        <v>0</v>
      </c>
      <c r="I658" s="1">
        <v>0</v>
      </c>
      <c r="J658" s="1">
        <f>IF(I658 + J657 &lt; 0, I658 + J657, 0)</f>
        <v>0</v>
      </c>
      <c r="K658" s="1">
        <v>0</v>
      </c>
      <c r="L658" s="1">
        <f>IF(K658 + L657 &lt; 0, K658 + L657, 0)</f>
        <v>0</v>
      </c>
    </row>
    <row r="659" spans="1:12" s="1" customFormat="1">
      <c r="A659" s="3">
        <v>45943</v>
      </c>
      <c r="B659" s="1" t="s">
        <v>12</v>
      </c>
      <c r="C659" s="1">
        <v>4</v>
      </c>
      <c r="D659" s="1">
        <v>9</v>
      </c>
      <c r="E659" s="1">
        <v>68634.34647910915</v>
      </c>
      <c r="F659" s="1">
        <f>IF(E659 + F658 &lt; 0, E659 + F658, 0)</f>
        <v>0</v>
      </c>
      <c r="G659" s="1">
        <v>336054.5926484134</v>
      </c>
      <c r="H659" s="1">
        <f>IF(G659 + H658 &lt; 0, G659 + H658, 0)</f>
        <v>0</v>
      </c>
      <c r="I659" s="1">
        <v>0</v>
      </c>
      <c r="J659" s="1">
        <f>IF(I659 + J658 &lt; 0, I659 + J658, 0)</f>
        <v>0</v>
      </c>
      <c r="K659" s="1">
        <v>0</v>
      </c>
      <c r="L659" s="1">
        <f>IF(K659 + L658 &lt; 0, K659 + L658, 0)</f>
        <v>0</v>
      </c>
    </row>
    <row r="660" spans="1:12" s="1" customFormat="1">
      <c r="A660" s="3">
        <v>45944</v>
      </c>
      <c r="B660" s="1" t="s">
        <v>13</v>
      </c>
      <c r="C660" s="1">
        <v>3</v>
      </c>
      <c r="D660" s="1">
        <v>8</v>
      </c>
      <c r="E660" s="1">
        <v>500102.6306970508</v>
      </c>
      <c r="F660" s="1">
        <f>IF(E660 + F659 &lt; 0, E660 + F659, 0)</f>
        <v>0</v>
      </c>
      <c r="G660" s="1">
        <v>500102.6306970508</v>
      </c>
      <c r="H660" s="1">
        <f>IF(G660 + H659 &lt; 0, G660 + H659, 0)</f>
        <v>0</v>
      </c>
      <c r="I660" s="1">
        <v>0</v>
      </c>
      <c r="J660" s="1">
        <f>IF(I660 + J659 &lt; 0, I660 + J659, 0)</f>
        <v>0</v>
      </c>
      <c r="K660" s="1">
        <v>0</v>
      </c>
      <c r="L660" s="1">
        <f>IF(K660 + L659 &lt; 0, K660 + L659, 0)</f>
        <v>0</v>
      </c>
    </row>
    <row r="661" spans="1:12" s="1" customFormat="1">
      <c r="A661" s="3">
        <v>45945</v>
      </c>
      <c r="B661" s="1" t="s">
        <v>14</v>
      </c>
      <c r="C661" s="1">
        <v>2</v>
      </c>
      <c r="D661" s="1">
        <v>7</v>
      </c>
      <c r="E661" s="1">
        <v>73380.87895142629</v>
      </c>
      <c r="F661" s="1">
        <f>IF(E661 + F660 &lt; 0, E661 + F660, 0)</f>
        <v>0</v>
      </c>
      <c r="G661" s="1">
        <v>398055.3413861046</v>
      </c>
      <c r="H661" s="1">
        <f>IF(G661 + H660 &lt; 0, G661 + H660, 0)</f>
        <v>0</v>
      </c>
      <c r="I661" s="1">
        <v>0</v>
      </c>
      <c r="J661" s="1">
        <f>IF(I661 + J660 &lt; 0, I661 + J660, 0)</f>
        <v>0</v>
      </c>
      <c r="K661" s="1">
        <v>0</v>
      </c>
      <c r="L661" s="1">
        <f>IF(K661 + L660 &lt; 0, K661 + L660, 0)</f>
        <v>0</v>
      </c>
    </row>
    <row r="662" spans="1:12" s="1" customFormat="1">
      <c r="A662" s="3">
        <v>45946</v>
      </c>
      <c r="B662" s="1" t="s">
        <v>16</v>
      </c>
      <c r="C662" s="1">
        <v>1</v>
      </c>
      <c r="D662" s="1">
        <v>6</v>
      </c>
      <c r="E662" s="1">
        <v>166052.8353842182</v>
      </c>
      <c r="F662" s="1">
        <f>IF(E662 + F661 &lt; 0, E662 + F661, 0)</f>
        <v>0</v>
      </c>
      <c r="G662" s="1">
        <v>-121762.3268221323</v>
      </c>
      <c r="H662" s="1">
        <f>IF(G662 + H661 &lt; 0, G662 + H661, 0)</f>
        <v>0</v>
      </c>
      <c r="I662" s="1">
        <v>-31708.84098719152</v>
      </c>
      <c r="J662" s="1">
        <f>IF(I662 + J661 &lt; 0, I662 + J661, 0)</f>
        <v>0</v>
      </c>
      <c r="K662" s="1">
        <v>-31708.84098719152</v>
      </c>
      <c r="L662" s="1">
        <f>IF(K662 + L661 &lt; 0, K662 + L661, 0)</f>
        <v>0</v>
      </c>
    </row>
    <row r="663" spans="1:12" s="1" customFormat="1">
      <c r="A663" s="3">
        <v>45947</v>
      </c>
      <c r="B663" s="1" t="s">
        <v>15</v>
      </c>
      <c r="C663" s="1">
        <v>21</v>
      </c>
      <c r="D663" s="1">
        <v>5</v>
      </c>
      <c r="E663" s="1">
        <v>0</v>
      </c>
      <c r="F663" s="1">
        <f>IF(E663 + F662 &lt; 0, E663 + F662, 0)</f>
        <v>0</v>
      </c>
      <c r="G663" s="1">
        <v>0</v>
      </c>
      <c r="H663" s="1">
        <f>IF(G663 + H662 &lt; 0, G663 + H662, 0)</f>
        <v>0</v>
      </c>
      <c r="I663" s="1">
        <v>37499.99999999998</v>
      </c>
      <c r="J663" s="1">
        <f>IF(I663 + J662 &lt; 0, I663 + J662, 0)</f>
        <v>0</v>
      </c>
      <c r="K663" s="1">
        <v>37499.99999999998</v>
      </c>
      <c r="L663" s="1">
        <f>IF(K663 + L662 &lt; 0, K663 + L662, 0)</f>
        <v>0</v>
      </c>
    </row>
    <row r="664" spans="1:12" s="1" customFormat="1">
      <c r="A664" s="3">
        <v>45950</v>
      </c>
      <c r="B664" s="1" t="s">
        <v>12</v>
      </c>
      <c r="C664" s="1">
        <v>20</v>
      </c>
      <c r="D664" s="1">
        <v>4</v>
      </c>
      <c r="E664" s="1">
        <v>0</v>
      </c>
      <c r="F664" s="1">
        <f>IF(E664 + F663 &lt; 0, E664 + F663, 0)</f>
        <v>0</v>
      </c>
      <c r="G664" s="1">
        <v>0</v>
      </c>
      <c r="H664" s="1">
        <f>IF(G664 + H663 &lt; 0, G664 + H663, 0)</f>
        <v>0</v>
      </c>
      <c r="I664" s="1">
        <v>-243857.4660633484</v>
      </c>
      <c r="J664" s="1">
        <f>IF(I664 + J663 &lt; 0, I664 + J663, 0)</f>
        <v>0</v>
      </c>
      <c r="K664" s="1">
        <v>-245384.6153846154</v>
      </c>
      <c r="L664" s="1">
        <f>IF(K664 + L663 &lt; 0, K664 + L663, 0)</f>
        <v>0</v>
      </c>
    </row>
    <row r="665" spans="1:12" s="1" customFormat="1">
      <c r="A665" s="3">
        <v>45952</v>
      </c>
      <c r="B665" s="1" t="s">
        <v>14</v>
      </c>
      <c r="C665" s="1">
        <v>19</v>
      </c>
      <c r="D665" s="1">
        <v>3</v>
      </c>
      <c r="E665" s="1">
        <v>0</v>
      </c>
      <c r="F665" s="1">
        <f>IF(E665 + F664 &lt; 0, E665 + F664, 0)</f>
        <v>0</v>
      </c>
      <c r="G665" s="1">
        <v>0</v>
      </c>
      <c r="H665" s="1">
        <f>IF(G665 + H664 &lt; 0, G665 + H664, 0)</f>
        <v>0</v>
      </c>
      <c r="I665" s="1">
        <v>129093.8864628821</v>
      </c>
      <c r="J665" s="1">
        <f>IF(I665 + J664 &lt; 0, I665 + J664, 0)</f>
        <v>0</v>
      </c>
      <c r="K665" s="1">
        <v>129093.8864628821</v>
      </c>
      <c r="L665" s="1">
        <f>IF(K665 + L664 &lt; 0, K665 + L664, 0)</f>
        <v>0</v>
      </c>
    </row>
    <row r="666" spans="1:12" s="1" customFormat="1">
      <c r="A666" s="3">
        <v>45953</v>
      </c>
      <c r="B666" s="1" t="s">
        <v>16</v>
      </c>
      <c r="C666" s="1">
        <v>18</v>
      </c>
      <c r="D666" s="1">
        <v>2</v>
      </c>
      <c r="E666" s="1">
        <v>0</v>
      </c>
      <c r="F666" s="1">
        <f>IF(E666 + F665 &lt; 0, E666 + F665, 0)</f>
        <v>0</v>
      </c>
      <c r="G666" s="1">
        <v>0</v>
      </c>
      <c r="H666" s="1">
        <f>IF(G666 + H665 &lt; 0, G666 + H665, 0)</f>
        <v>0</v>
      </c>
      <c r="I666" s="1">
        <v>-188786.0082304527</v>
      </c>
      <c r="J666" s="1">
        <f>IF(I666 + J665 &lt; 0, I666 + J665, 0)</f>
        <v>0</v>
      </c>
      <c r="K666" s="1">
        <v>4938.271604938258</v>
      </c>
      <c r="L666" s="1">
        <f>IF(K666 + L665 &lt; 0, K666 + L665, 0)</f>
        <v>0</v>
      </c>
    </row>
    <row r="667" spans="1:12" s="1" customFormat="1">
      <c r="A667" s="3">
        <v>45954</v>
      </c>
      <c r="B667" s="1" t="s">
        <v>15</v>
      </c>
      <c r="C667" s="1">
        <v>17</v>
      </c>
      <c r="D667" s="1">
        <v>1</v>
      </c>
      <c r="E667" s="1">
        <v>0</v>
      </c>
      <c r="F667" s="1">
        <f>IF(E667 + F666 &lt; 0, E667 + F666, 0)</f>
        <v>0</v>
      </c>
      <c r="G667" s="1">
        <v>0</v>
      </c>
      <c r="H667" s="1">
        <f>IF(G667 + H666 &lt; 0, G667 + H666, 0)</f>
        <v>0</v>
      </c>
      <c r="I667" s="1">
        <v>34612.65103056148</v>
      </c>
      <c r="J667" s="1">
        <f>IF(I667 + J666 &lt; 0, I667 + J666, 0)</f>
        <v>0</v>
      </c>
      <c r="K667" s="1">
        <v>197832.2672352523</v>
      </c>
      <c r="L667" s="1">
        <f>IF(K667 + L666 &lt; 0, K667 + L666, 0)</f>
        <v>0</v>
      </c>
    </row>
    <row r="668" spans="1:12" s="1" customFormat="1">
      <c r="A668" s="3">
        <v>45957</v>
      </c>
      <c r="B668" s="1" t="s">
        <v>12</v>
      </c>
      <c r="C668" s="1">
        <v>16</v>
      </c>
      <c r="D668" s="1">
        <v>18</v>
      </c>
      <c r="E668" s="1">
        <v>0</v>
      </c>
      <c r="F668" s="1">
        <f>IF(E668 + F667 &lt; 0, E668 + F667, 0)</f>
        <v>0</v>
      </c>
      <c r="G668" s="1">
        <v>0</v>
      </c>
      <c r="H668" s="1">
        <f>IF(G668 + H667 &lt; 0, G668 + H667, 0)</f>
        <v>0</v>
      </c>
      <c r="I668" s="1">
        <v>0</v>
      </c>
      <c r="J668" s="1">
        <f>IF(I668 + J667 &lt; 0, I668 + J667, 0)</f>
        <v>0</v>
      </c>
      <c r="K668" s="1">
        <v>0</v>
      </c>
      <c r="L668" s="1">
        <f>IF(K668 + L667 &lt; 0, K668 + L667, 0)</f>
        <v>0</v>
      </c>
    </row>
    <row r="669" spans="1:12" s="1" customFormat="1">
      <c r="A669" s="3">
        <v>45958</v>
      </c>
      <c r="B669" s="1" t="s">
        <v>13</v>
      </c>
      <c r="C669" s="1">
        <v>15</v>
      </c>
      <c r="D669" s="1">
        <v>17</v>
      </c>
      <c r="E669" s="1">
        <v>0</v>
      </c>
      <c r="F669" s="1">
        <f>IF(E669 + F668 &lt; 0, E669 + F668, 0)</f>
        <v>0</v>
      </c>
      <c r="G669" s="1">
        <v>0</v>
      </c>
      <c r="H669" s="1">
        <f>IF(G669 + H668 &lt; 0, G669 + H668, 0)</f>
        <v>0</v>
      </c>
      <c r="I669" s="1">
        <v>0</v>
      </c>
      <c r="J669" s="1">
        <f>IF(I669 + J668 &lt; 0, I669 + J668, 0)</f>
        <v>0</v>
      </c>
      <c r="K669" s="1">
        <v>0</v>
      </c>
      <c r="L669" s="1">
        <f>IF(K669 + L668 &lt; 0, K669 + L668, 0)</f>
        <v>0</v>
      </c>
    </row>
    <row r="670" spans="1:12" s="1" customFormat="1">
      <c r="A670" s="3">
        <v>45959</v>
      </c>
      <c r="B670" s="1" t="s">
        <v>14</v>
      </c>
      <c r="C670" s="1">
        <v>14</v>
      </c>
      <c r="D670" s="1">
        <v>16</v>
      </c>
      <c r="E670" s="1">
        <v>0</v>
      </c>
      <c r="F670" s="1">
        <f>IF(E670 + F669 &lt; 0, E670 + F669, 0)</f>
        <v>0</v>
      </c>
      <c r="G670" s="1">
        <v>0</v>
      </c>
      <c r="H670" s="1">
        <f>IF(G670 + H669 &lt; 0, G670 + H669, 0)</f>
        <v>0</v>
      </c>
      <c r="I670" s="1">
        <v>0</v>
      </c>
      <c r="J670" s="1">
        <f>IF(I670 + J669 &lt; 0, I670 + J669, 0)</f>
        <v>0</v>
      </c>
      <c r="K670" s="1">
        <v>0</v>
      </c>
      <c r="L670" s="1">
        <f>IF(K670 + L669 &lt; 0, K670 + L669, 0)</f>
        <v>0</v>
      </c>
    </row>
    <row r="671" spans="1:12" s="1" customFormat="1">
      <c r="A671" s="3">
        <v>45960</v>
      </c>
      <c r="B671" s="1" t="s">
        <v>16</v>
      </c>
      <c r="C671" s="1">
        <v>13</v>
      </c>
      <c r="D671" s="1">
        <v>15</v>
      </c>
      <c r="E671" s="1">
        <v>0</v>
      </c>
      <c r="F671" s="1">
        <f>IF(E671 + F670 &lt; 0, E671 + F670, 0)</f>
        <v>0</v>
      </c>
      <c r="G671" s="1">
        <v>0</v>
      </c>
      <c r="H671" s="1">
        <f>IF(G671 + H670 &lt; 0, G671 + H670, 0)</f>
        <v>0</v>
      </c>
      <c r="I671" s="1">
        <v>0</v>
      </c>
      <c r="J671" s="1">
        <f>IF(I671 + J670 &lt; 0, I671 + J670, 0)</f>
        <v>0</v>
      </c>
      <c r="K671" s="1">
        <v>0</v>
      </c>
      <c r="L671" s="1">
        <f>IF(K671 + L670 &lt; 0, K671 + L670, 0)</f>
        <v>0</v>
      </c>
    </row>
    <row r="672" spans="1:12" s="1" customFormat="1">
      <c r="A672" s="3">
        <v>45961</v>
      </c>
      <c r="B672" s="1" t="s">
        <v>15</v>
      </c>
      <c r="C672" s="1">
        <v>12</v>
      </c>
      <c r="D672" s="1">
        <v>14</v>
      </c>
      <c r="E672" s="1">
        <v>0</v>
      </c>
      <c r="F672" s="1">
        <f>IF(E672 + F671 &lt; 0, E672 + F671, 0)</f>
        <v>0</v>
      </c>
      <c r="G672" s="1">
        <v>0</v>
      </c>
      <c r="H672" s="1">
        <f>IF(G672 + H671 &lt; 0, G672 + H671, 0)</f>
        <v>0</v>
      </c>
      <c r="I672" s="1">
        <v>0</v>
      </c>
      <c r="J672" s="1">
        <f>IF(I672 + J671 &lt; 0, I672 + J671, 0)</f>
        <v>0</v>
      </c>
      <c r="K672" s="1">
        <v>0</v>
      </c>
      <c r="L672" s="1">
        <f>IF(K672 + L671 &lt; 0, K672 + L671, 0)</f>
        <v>0</v>
      </c>
    </row>
    <row r="673" spans="1:12" s="1" customFormat="1">
      <c r="A673" s="3">
        <v>45964</v>
      </c>
      <c r="B673" s="1" t="s">
        <v>12</v>
      </c>
      <c r="C673" s="1">
        <v>11</v>
      </c>
      <c r="D673" s="1">
        <v>13</v>
      </c>
      <c r="E673" s="1">
        <v>0</v>
      </c>
      <c r="F673" s="1">
        <f>IF(E673 + F672 &lt; 0, E673 + F672, 0)</f>
        <v>0</v>
      </c>
      <c r="G673" s="1">
        <v>0</v>
      </c>
      <c r="H673" s="1">
        <f>IF(G673 + H672 &lt; 0, G673 + H672, 0)</f>
        <v>0</v>
      </c>
      <c r="I673" s="1">
        <v>0</v>
      </c>
      <c r="J673" s="1">
        <f>IF(I673 + J672 &lt; 0, I673 + J672, 0)</f>
        <v>0</v>
      </c>
      <c r="K673" s="1">
        <v>0</v>
      </c>
      <c r="L673" s="1">
        <f>IF(K673 + L672 &lt; 0, K673 + L672, 0)</f>
        <v>0</v>
      </c>
    </row>
    <row r="674" spans="1:12" s="1" customFormat="1">
      <c r="A674" s="3">
        <v>45965</v>
      </c>
      <c r="B674" s="1" t="s">
        <v>13</v>
      </c>
      <c r="C674" s="1">
        <v>10</v>
      </c>
      <c r="D674" s="1">
        <v>12</v>
      </c>
      <c r="E674" s="1">
        <v>133329.2226743947</v>
      </c>
      <c r="F674" s="1">
        <f>IF(E674 + F673 &lt; 0, E674 + F673, 0)</f>
        <v>0</v>
      </c>
      <c r="G674" s="1">
        <v>133329.2226743947</v>
      </c>
      <c r="H674" s="1">
        <f>IF(G674 + H673 &lt; 0, G674 + H673, 0)</f>
        <v>0</v>
      </c>
      <c r="I674" s="1">
        <v>0</v>
      </c>
      <c r="J674" s="1">
        <f>IF(I674 + J673 &lt; 0, I674 + J673, 0)</f>
        <v>0</v>
      </c>
      <c r="K674" s="1">
        <v>0</v>
      </c>
      <c r="L674" s="1">
        <f>IF(K674 + L673 &lt; 0, K674 + L673, 0)</f>
        <v>0</v>
      </c>
    </row>
    <row r="675" spans="1:12" s="1" customFormat="1">
      <c r="A675" s="3">
        <v>45966</v>
      </c>
      <c r="B675" s="1" t="s">
        <v>14</v>
      </c>
      <c r="C675" s="1">
        <v>9</v>
      </c>
      <c r="D675" s="1">
        <v>11</v>
      </c>
      <c r="E675" s="1">
        <v>-32132.13213213211</v>
      </c>
      <c r="F675" s="1">
        <f>IF(E675 + F674 &lt; 0, E675 + F674, 0)</f>
        <v>0</v>
      </c>
      <c r="G675" s="1">
        <v>4463.367477066102</v>
      </c>
      <c r="H675" s="1">
        <f>IF(G675 + H674 &lt; 0, G675 + H674, 0)</f>
        <v>0</v>
      </c>
      <c r="I675" s="1">
        <v>0</v>
      </c>
      <c r="J675" s="1">
        <f>IF(I675 + J674 &lt; 0, I675 + J674, 0)</f>
        <v>0</v>
      </c>
      <c r="K675" s="1">
        <v>0</v>
      </c>
      <c r="L675" s="1">
        <f>IF(K675 + L674 &lt; 0, K675 + L674, 0)</f>
        <v>0</v>
      </c>
    </row>
    <row r="676" spans="1:12" s="1" customFormat="1">
      <c r="A676" s="3">
        <v>45967</v>
      </c>
      <c r="B676" s="1" t="s">
        <v>16</v>
      </c>
      <c r="C676" s="1">
        <v>8</v>
      </c>
      <c r="D676" s="1">
        <v>10</v>
      </c>
      <c r="E676" s="1">
        <v>-201512.8022461552</v>
      </c>
      <c r="F676" s="1">
        <f>IF(E676 + F675 &lt; 0, E676 + F675, 0)</f>
        <v>0</v>
      </c>
      <c r="G676" s="1">
        <v>-127645.3086368018</v>
      </c>
      <c r="H676" s="1">
        <f>IF(G676 + H675 &lt; 0, G676 + H675, 0)</f>
        <v>0</v>
      </c>
      <c r="I676" s="1">
        <v>0</v>
      </c>
      <c r="J676" s="1">
        <f>IF(I676 + J675 &lt; 0, I676 + J675, 0)</f>
        <v>0</v>
      </c>
      <c r="K676" s="1">
        <v>0</v>
      </c>
      <c r="L676" s="1">
        <f>IF(K676 + L675 &lt; 0, K676 + L675, 0)</f>
        <v>0</v>
      </c>
    </row>
    <row r="677" spans="1:12" s="1" customFormat="1">
      <c r="A677" s="3">
        <v>45968</v>
      </c>
      <c r="B677" s="1" t="s">
        <v>15</v>
      </c>
      <c r="C677" s="1">
        <v>7</v>
      </c>
      <c r="D677" s="1">
        <v>9</v>
      </c>
      <c r="E677" s="1">
        <v>60945.43014135312</v>
      </c>
      <c r="F677" s="1">
        <f>IF(E677 + F676 &lt; 0, E677 + F676, 0)</f>
        <v>0</v>
      </c>
      <c r="G677" s="1">
        <v>60945.43014135312</v>
      </c>
      <c r="H677" s="1">
        <f>IF(G677 + H676 &lt; 0, G677 + H676, 0)</f>
        <v>0</v>
      </c>
      <c r="I677" s="1">
        <v>0</v>
      </c>
      <c r="J677" s="1">
        <f>IF(I677 + J676 &lt; 0, I677 + J676, 0)</f>
        <v>0</v>
      </c>
      <c r="K677" s="1">
        <v>0</v>
      </c>
      <c r="L677" s="1">
        <f>IF(K677 + L676 &lt; 0, K677 + L676, 0)</f>
        <v>0</v>
      </c>
    </row>
    <row r="678" spans="1:12" s="1" customFormat="1">
      <c r="A678" s="3">
        <v>45971</v>
      </c>
      <c r="B678" s="1" t="s">
        <v>12</v>
      </c>
      <c r="C678" s="1">
        <v>6</v>
      </c>
      <c r="D678" s="1">
        <v>8</v>
      </c>
      <c r="E678" s="1">
        <v>215859.9467731204</v>
      </c>
      <c r="F678" s="1">
        <f>IF(E678 + F677 &lt; 0, E678 + F677, 0)</f>
        <v>0</v>
      </c>
      <c r="G678" s="1">
        <v>215859.9467731204</v>
      </c>
      <c r="H678" s="1">
        <f>IF(G678 + H677 &lt; 0, G678 + H677, 0)</f>
        <v>0</v>
      </c>
      <c r="I678" s="1">
        <v>0</v>
      </c>
      <c r="J678" s="1">
        <f>IF(I678 + J677 &lt; 0, I678 + J677, 0)</f>
        <v>0</v>
      </c>
      <c r="K678" s="1">
        <v>0</v>
      </c>
      <c r="L678" s="1">
        <f>IF(K678 + L677 &lt; 0, K678 + L677, 0)</f>
        <v>0</v>
      </c>
    </row>
    <row r="679" spans="1:12" s="1" customFormat="1">
      <c r="A679" s="3">
        <v>45972</v>
      </c>
      <c r="B679" s="1" t="s">
        <v>13</v>
      </c>
      <c r="C679" s="1">
        <v>5</v>
      </c>
      <c r="D679" s="1">
        <v>7</v>
      </c>
      <c r="E679" s="1">
        <v>1643.88699058254</v>
      </c>
      <c r="F679" s="1">
        <f>IF(E679 + F678 &lt; 0, E679 + F678, 0)</f>
        <v>0</v>
      </c>
      <c r="G679" s="1">
        <v>33315.27627302274</v>
      </c>
      <c r="H679" s="1">
        <f>IF(G679 + H678 &lt; 0, G679 + H678, 0)</f>
        <v>0</v>
      </c>
      <c r="I679" s="1">
        <v>0</v>
      </c>
      <c r="J679" s="1">
        <f>IF(I679 + J678 &lt; 0, I679 + J678, 0)</f>
        <v>0</v>
      </c>
      <c r="K679" s="1">
        <v>0</v>
      </c>
      <c r="L679" s="1">
        <f>IF(K679 + L678 &lt; 0, K679 + L678, 0)</f>
        <v>0</v>
      </c>
    </row>
    <row r="680" spans="1:12" s="1" customFormat="1">
      <c r="A680" s="3">
        <v>45973</v>
      </c>
      <c r="B680" s="1" t="s">
        <v>14</v>
      </c>
      <c r="C680" s="1">
        <v>4</v>
      </c>
      <c r="D680" s="1">
        <v>6</v>
      </c>
      <c r="E680" s="1">
        <v>-11895.06172839509</v>
      </c>
      <c r="F680" s="1">
        <f>IF(E680 + F679 &lt; 0, E680 + F679, 0)</f>
        <v>0</v>
      </c>
      <c r="G680" s="1">
        <v>-649020.5761316874</v>
      </c>
      <c r="H680" s="1">
        <f>IF(G680 + H679 &lt; 0, G680 + H679, 0)</f>
        <v>0</v>
      </c>
      <c r="I680" s="1">
        <v>13059.70149253732</v>
      </c>
      <c r="J680" s="1">
        <f>IF(I680 + J679 &lt; 0, I680 + J679, 0)</f>
        <v>0</v>
      </c>
      <c r="K680" s="1">
        <v>13059.70149253732</v>
      </c>
      <c r="L680" s="1">
        <f>IF(K680 + L679 &lt; 0, K680 + L679, 0)</f>
        <v>0</v>
      </c>
    </row>
    <row r="681" spans="1:12" s="1" customFormat="1">
      <c r="A681" s="3">
        <v>45974</v>
      </c>
      <c r="B681" s="1" t="s">
        <v>16</v>
      </c>
      <c r="C681" s="1">
        <v>3</v>
      </c>
      <c r="D681" s="1">
        <v>5</v>
      </c>
      <c r="E681" s="1">
        <v>264167.0946755692</v>
      </c>
      <c r="F681" s="1">
        <f>IF(E681 + F680 &lt; 0, E681 + F680, 0)</f>
        <v>0</v>
      </c>
      <c r="G681" s="1">
        <v>264167.0946755692</v>
      </c>
      <c r="H681" s="1">
        <f>IF(G681 + H680 &lt; 0, G681 + H680, 0)</f>
        <v>0</v>
      </c>
      <c r="I681" s="1">
        <v>-179409.931435695</v>
      </c>
      <c r="J681" s="1">
        <f>IF(I681 + J680 &lt; 0, I681 + J680, 0)</f>
        <v>0</v>
      </c>
      <c r="K681" s="1">
        <v>-179409.931435695</v>
      </c>
      <c r="L681" s="1">
        <f>IF(K681 + L680 &lt; 0, K681 + L680, 0)</f>
        <v>0</v>
      </c>
    </row>
    <row r="682" spans="1:12" s="1" customFormat="1">
      <c r="A682" s="3">
        <v>45975</v>
      </c>
      <c r="B682" s="1" t="s">
        <v>15</v>
      </c>
      <c r="C682" s="1">
        <v>2</v>
      </c>
      <c r="D682" s="1">
        <v>4</v>
      </c>
      <c r="E682" s="1">
        <v>102558.3539370574</v>
      </c>
      <c r="F682" s="1">
        <f>IF(E682 + F681 &lt; 0, E682 + F681, 0)</f>
        <v>0</v>
      </c>
      <c r="G682" s="1">
        <v>326237.2710891338</v>
      </c>
      <c r="H682" s="1">
        <f>IF(G682 + H681 &lt; 0, G682 + H681, 0)</f>
        <v>0</v>
      </c>
      <c r="I682" s="1">
        <v>-8331.639910587281</v>
      </c>
      <c r="J682" s="1">
        <f>IF(I682 + J681 &lt; 0, I682 + J681, 0)</f>
        <v>0</v>
      </c>
      <c r="K682" s="1">
        <v>-8331.639910587281</v>
      </c>
      <c r="L682" s="1">
        <f>IF(K682 + L681 &lt; 0, K682 + L681, 0)</f>
        <v>0</v>
      </c>
    </row>
    <row r="683" spans="1:12" s="1" customFormat="1">
      <c r="A683" s="3">
        <v>45978</v>
      </c>
      <c r="B683" s="1" t="s">
        <v>12</v>
      </c>
      <c r="C683" s="1">
        <v>1</v>
      </c>
      <c r="D683" s="1">
        <v>3</v>
      </c>
      <c r="E683" s="1">
        <v>524660.7855492544</v>
      </c>
      <c r="F683" s="1">
        <f>IF(E683 + F682 &lt; 0, E683 + F682, 0)</f>
        <v>0</v>
      </c>
      <c r="G683" s="1">
        <v>524660.7855492544</v>
      </c>
      <c r="H683" s="1">
        <f>IF(G683 + H682 &lt; 0, G683 + H682, 0)</f>
        <v>0</v>
      </c>
      <c r="I683" s="1">
        <v>65615.14195583593</v>
      </c>
      <c r="J683" s="1">
        <f>IF(I683 + J682 &lt; 0, I683 + J682, 0)</f>
        <v>0</v>
      </c>
      <c r="K683" s="1">
        <v>65615.14195583593</v>
      </c>
      <c r="L683" s="1">
        <f>IF(K683 + L682 &lt; 0, K683 + L682, 0)</f>
        <v>0</v>
      </c>
    </row>
    <row r="684" spans="1:12" s="1" customFormat="1">
      <c r="A684" s="3">
        <v>45979</v>
      </c>
      <c r="B684" s="1" t="s">
        <v>13</v>
      </c>
      <c r="C684" s="1">
        <v>21</v>
      </c>
      <c r="D684" s="1">
        <v>2</v>
      </c>
      <c r="E684" s="1">
        <v>0</v>
      </c>
      <c r="F684" s="1">
        <f>IF(E684 + F683 &lt; 0, E684 + F683, 0)</f>
        <v>0</v>
      </c>
      <c r="G684" s="1">
        <v>0</v>
      </c>
      <c r="H684" s="1">
        <f>IF(G684 + H683 &lt; 0, G684 + H683, 0)</f>
        <v>0</v>
      </c>
      <c r="I684" s="1">
        <v>3880.146583315368</v>
      </c>
      <c r="J684" s="1">
        <f>IF(I684 + J683 &lt; 0, I684 + J683, 0)</f>
        <v>0</v>
      </c>
      <c r="K684" s="1">
        <v>3880.146583315368</v>
      </c>
      <c r="L684" s="1">
        <f>IF(K684 + L683 &lt; 0, K684 + L683, 0)</f>
        <v>0</v>
      </c>
    </row>
    <row r="685" spans="1:12" s="1" customFormat="1">
      <c r="A685" s="3">
        <v>45980</v>
      </c>
      <c r="B685" s="1" t="s">
        <v>14</v>
      </c>
      <c r="C685" s="1">
        <v>20</v>
      </c>
      <c r="D685" s="1">
        <v>1</v>
      </c>
      <c r="E685" s="1">
        <v>0</v>
      </c>
      <c r="F685" s="1">
        <f>IF(E685 + F684 &lt; 0, E685 + F684, 0)</f>
        <v>0</v>
      </c>
      <c r="G685" s="1">
        <v>0</v>
      </c>
      <c r="H685" s="1">
        <f>IF(G685 + H684 &lt; 0, G685 + H684, 0)</f>
        <v>0</v>
      </c>
      <c r="I685" s="1">
        <v>-132984.0962819686</v>
      </c>
      <c r="J685" s="1">
        <f>IF(I685 + J684 &lt; 0, I685 + J684, 0)</f>
        <v>0</v>
      </c>
      <c r="K685" s="1">
        <v>-229206.9632495164</v>
      </c>
      <c r="L685" s="1">
        <f>IF(K685 + L684 &lt; 0, K685 + L684, 0)</f>
        <v>0</v>
      </c>
    </row>
    <row r="686" spans="1:12" s="1" customFormat="1">
      <c r="A686" s="3">
        <v>45981</v>
      </c>
      <c r="B686" s="1" t="s">
        <v>16</v>
      </c>
      <c r="C686" s="1">
        <v>19</v>
      </c>
      <c r="D686" s="1">
        <v>24</v>
      </c>
      <c r="E686" s="1">
        <v>0</v>
      </c>
      <c r="F686" s="1">
        <f>IF(E686 + F685 &lt; 0, E686 + F685, 0)</f>
        <v>0</v>
      </c>
      <c r="G686" s="1">
        <v>0</v>
      </c>
      <c r="H686" s="1">
        <f>IF(G686 + H685 &lt; 0, G686 + H685, 0)</f>
        <v>0</v>
      </c>
      <c r="I686" s="1">
        <v>0</v>
      </c>
      <c r="J686" s="1">
        <f>IF(I686 + J685 &lt; 0, I686 + J685, 0)</f>
        <v>0</v>
      </c>
      <c r="K686" s="1">
        <v>0</v>
      </c>
      <c r="L686" s="1">
        <f>IF(K686 + L685 &lt; 0, K686 + L685, 0)</f>
        <v>0</v>
      </c>
    </row>
    <row r="687" spans="1:12" s="1" customFormat="1">
      <c r="A687" s="3">
        <v>45982</v>
      </c>
      <c r="B687" s="1" t="s">
        <v>15</v>
      </c>
      <c r="C687" s="1">
        <v>18</v>
      </c>
      <c r="D687" s="1">
        <v>23</v>
      </c>
      <c r="E687" s="1">
        <v>0</v>
      </c>
      <c r="F687" s="1">
        <f>IF(E687 + F686 &lt; 0, E687 + F686, 0)</f>
        <v>0</v>
      </c>
      <c r="G687" s="1">
        <v>0</v>
      </c>
      <c r="H687" s="1">
        <f>IF(G687 + H686 &lt; 0, G687 + H686, 0)</f>
        <v>0</v>
      </c>
      <c r="I687" s="1">
        <v>0</v>
      </c>
      <c r="J687" s="1">
        <f>IF(I687 + J686 &lt; 0, I687 + J686, 0)</f>
        <v>0</v>
      </c>
      <c r="K687" s="1">
        <v>0</v>
      </c>
      <c r="L687" s="1">
        <f>IF(K687 + L686 &lt; 0, K687 + L686, 0)</f>
        <v>0</v>
      </c>
    </row>
    <row r="688" spans="1:12" s="1" customFormat="1">
      <c r="A688" s="3">
        <v>45985</v>
      </c>
      <c r="B688" s="1" t="s">
        <v>12</v>
      </c>
      <c r="C688" s="1">
        <v>17</v>
      </c>
      <c r="D688" s="1">
        <v>22</v>
      </c>
      <c r="E688" s="1">
        <v>0</v>
      </c>
      <c r="F688" s="1">
        <f>IF(E688 + F687 &lt; 0, E688 + F687, 0)</f>
        <v>0</v>
      </c>
      <c r="G688" s="1">
        <v>0</v>
      </c>
      <c r="H688" s="1">
        <f>IF(G688 + H687 &lt; 0, G688 + H687, 0)</f>
        <v>0</v>
      </c>
      <c r="I688" s="1">
        <v>0</v>
      </c>
      <c r="J688" s="1">
        <f>IF(I688 + J687 &lt; 0, I688 + J687, 0)</f>
        <v>0</v>
      </c>
      <c r="K688" s="1">
        <v>0</v>
      </c>
      <c r="L688" s="1">
        <f>IF(K688 + L687 &lt; 0, K688 + L687, 0)</f>
        <v>0</v>
      </c>
    </row>
    <row r="689" spans="1:12" s="1" customFormat="1">
      <c r="A689" s="3">
        <v>45986</v>
      </c>
      <c r="B689" s="1" t="s">
        <v>13</v>
      </c>
      <c r="C689" s="1">
        <v>16</v>
      </c>
      <c r="D689" s="1">
        <v>21</v>
      </c>
      <c r="E689" s="1">
        <v>0</v>
      </c>
      <c r="F689" s="1">
        <f>IF(E689 + F688 &lt; 0, E689 + F688, 0)</f>
        <v>0</v>
      </c>
      <c r="G689" s="1">
        <v>0</v>
      </c>
      <c r="H689" s="1">
        <f>IF(G689 + H688 &lt; 0, G689 + H688, 0)</f>
        <v>0</v>
      </c>
      <c r="I689" s="1">
        <v>0</v>
      </c>
      <c r="J689" s="1">
        <f>IF(I689 + J688 &lt; 0, I689 + J688, 0)</f>
        <v>0</v>
      </c>
      <c r="K689" s="1">
        <v>0</v>
      </c>
      <c r="L689" s="1">
        <f>IF(K689 + L688 &lt; 0, K689 + L688, 0)</f>
        <v>0</v>
      </c>
    </row>
    <row r="690" spans="1:12" s="1" customFormat="1">
      <c r="A690" s="3">
        <v>45987</v>
      </c>
      <c r="B690" s="1" t="s">
        <v>14</v>
      </c>
      <c r="C690" s="1">
        <v>15</v>
      </c>
      <c r="D690" s="1">
        <v>20</v>
      </c>
      <c r="E690" s="1">
        <v>0</v>
      </c>
      <c r="F690" s="1">
        <f>IF(E690 + F689 &lt; 0, E690 + F689, 0)</f>
        <v>0</v>
      </c>
      <c r="G690" s="1">
        <v>0</v>
      </c>
      <c r="H690" s="1">
        <f>IF(G690 + H689 &lt; 0, G690 + H689, 0)</f>
        <v>0</v>
      </c>
      <c r="I690" s="1">
        <v>0</v>
      </c>
      <c r="J690" s="1">
        <f>IF(I690 + J689 &lt; 0, I690 + J689, 0)</f>
        <v>0</v>
      </c>
      <c r="K690" s="1">
        <v>0</v>
      </c>
      <c r="L690" s="1">
        <f>IF(K690 + L689 &lt; 0, K690 + L689, 0)</f>
        <v>0</v>
      </c>
    </row>
    <row r="691" spans="1:12" s="1" customFormat="1">
      <c r="A691" s="3">
        <v>45988</v>
      </c>
      <c r="B691" s="1" t="s">
        <v>16</v>
      </c>
      <c r="C691" s="1">
        <v>14</v>
      </c>
      <c r="D691" s="1">
        <v>19</v>
      </c>
      <c r="E691" s="1">
        <v>0</v>
      </c>
      <c r="F691" s="1">
        <f>IF(E691 + F690 &lt; 0, E691 + F690, 0)</f>
        <v>0</v>
      </c>
      <c r="G691" s="1">
        <v>0</v>
      </c>
      <c r="H691" s="1">
        <f>IF(G691 + H690 &lt; 0, G691 + H690, 0)</f>
        <v>0</v>
      </c>
      <c r="I691" s="1">
        <v>0</v>
      </c>
      <c r="J691" s="1">
        <f>IF(I691 + J690 &lt; 0, I691 + J690, 0)</f>
        <v>0</v>
      </c>
      <c r="K691" s="1">
        <v>0</v>
      </c>
      <c r="L691" s="1">
        <f>IF(K691 + L690 &lt; 0, K691 + L690, 0)</f>
        <v>0</v>
      </c>
    </row>
    <row r="692" spans="1:12" s="1" customFormat="1">
      <c r="A692" s="3">
        <v>45989</v>
      </c>
      <c r="B692" s="1" t="s">
        <v>15</v>
      </c>
      <c r="C692" s="1">
        <v>13</v>
      </c>
      <c r="D692" s="1">
        <v>18</v>
      </c>
      <c r="E692" s="1">
        <v>0</v>
      </c>
      <c r="F692" s="1">
        <f>IF(E692 + F691 &lt; 0, E692 + F691, 0)</f>
        <v>0</v>
      </c>
      <c r="G692" s="1">
        <v>0</v>
      </c>
      <c r="H692" s="1">
        <f>IF(G692 + H691 &lt; 0, G692 + H691, 0)</f>
        <v>0</v>
      </c>
      <c r="I692" s="1">
        <v>0</v>
      </c>
      <c r="J692" s="1">
        <f>IF(I692 + J691 &lt; 0, I692 + J691, 0)</f>
        <v>0</v>
      </c>
      <c r="K692" s="1">
        <v>0</v>
      </c>
      <c r="L692" s="1">
        <f>IF(K692 + L691 &lt; 0, K692 + L691, 0)</f>
        <v>0</v>
      </c>
    </row>
    <row r="693" spans="1:12" s="1" customFormat="1">
      <c r="A693" s="3">
        <v>45992</v>
      </c>
      <c r="B693" s="1" t="s">
        <v>12</v>
      </c>
      <c r="C693" s="1">
        <v>12</v>
      </c>
      <c r="D693" s="1">
        <v>17</v>
      </c>
      <c r="E693" s="1">
        <v>0</v>
      </c>
      <c r="F693" s="1">
        <f>IF(E693 + F692 &lt; 0, E693 + F692, 0)</f>
        <v>0</v>
      </c>
      <c r="G693" s="1">
        <v>0</v>
      </c>
      <c r="H693" s="1">
        <f>IF(G693 + H692 &lt; 0, G693 + H692, 0)</f>
        <v>0</v>
      </c>
      <c r="I693" s="1">
        <v>0</v>
      </c>
      <c r="J693" s="1">
        <f>IF(I693 + J692 &lt; 0, I693 + J692, 0)</f>
        <v>0</v>
      </c>
      <c r="K693" s="1">
        <v>0</v>
      </c>
      <c r="L693" s="1">
        <f>IF(K693 + L692 &lt; 0, K693 + L692, 0)</f>
        <v>0</v>
      </c>
    </row>
    <row r="694" spans="1:12" s="1" customFormat="1">
      <c r="A694" s="3">
        <v>45993</v>
      </c>
      <c r="B694" s="1" t="s">
        <v>13</v>
      </c>
      <c r="C694" s="1">
        <v>11</v>
      </c>
      <c r="D694" s="1">
        <v>16</v>
      </c>
      <c r="E694" s="1">
        <v>0</v>
      </c>
      <c r="F694" s="1">
        <f>IF(E694 + F693 &lt; 0, E694 + F693, 0)</f>
        <v>0</v>
      </c>
      <c r="G694" s="1">
        <v>0</v>
      </c>
      <c r="H694" s="1">
        <f>IF(G694 + H693 &lt; 0, G694 + H693, 0)</f>
        <v>0</v>
      </c>
      <c r="I694" s="1">
        <v>0</v>
      </c>
      <c r="J694" s="1">
        <f>IF(I694 + J693 &lt; 0, I694 + J693, 0)</f>
        <v>0</v>
      </c>
      <c r="K694" s="1">
        <v>0</v>
      </c>
      <c r="L694" s="1">
        <f>IF(K694 + L693 &lt; 0, K694 + L693, 0)</f>
        <v>0</v>
      </c>
    </row>
    <row r="695" spans="1:12" s="1" customFormat="1">
      <c r="A695" s="3">
        <v>45994</v>
      </c>
      <c r="B695" s="1" t="s">
        <v>14</v>
      </c>
      <c r="C695" s="1">
        <v>10</v>
      </c>
      <c r="D695" s="1">
        <v>15</v>
      </c>
      <c r="E695" s="1">
        <v>130510.5382483836</v>
      </c>
      <c r="F695" s="1">
        <f>IF(E695 + F694 &lt; 0, E695 + F694, 0)</f>
        <v>0</v>
      </c>
      <c r="G695" s="1">
        <v>130510.5382483836</v>
      </c>
      <c r="H695" s="1">
        <f>IF(G695 + H694 &lt; 0, G695 + H694, 0)</f>
        <v>0</v>
      </c>
      <c r="I695" s="1">
        <v>0</v>
      </c>
      <c r="J695" s="1">
        <f>IF(I695 + J694 &lt; 0, I695 + J694, 0)</f>
        <v>0</v>
      </c>
      <c r="K695" s="1">
        <v>0</v>
      </c>
      <c r="L695" s="1">
        <f>IF(K695 + L694 &lt; 0, K695 + L694, 0)</f>
        <v>0</v>
      </c>
    </row>
    <row r="696" spans="1:12" s="1" customFormat="1">
      <c r="A696" s="3">
        <v>45995</v>
      </c>
      <c r="B696" s="1" t="s">
        <v>16</v>
      </c>
      <c r="C696" s="1">
        <v>9</v>
      </c>
      <c r="D696" s="1">
        <v>14</v>
      </c>
      <c r="E696" s="1">
        <v>-4267.130665340952</v>
      </c>
      <c r="F696" s="1">
        <f>IF(E696 + F695 &lt; 0, E696 + F695, 0)</f>
        <v>0</v>
      </c>
      <c r="G696" s="1">
        <v>-4267.130665340952</v>
      </c>
      <c r="H696" s="1">
        <f>IF(G696 + H695 &lt; 0, G696 + H695, 0)</f>
        <v>0</v>
      </c>
      <c r="I696" s="1">
        <v>0</v>
      </c>
      <c r="J696" s="1">
        <f>IF(I696 + J695 &lt; 0, I696 + J695, 0)</f>
        <v>0</v>
      </c>
      <c r="K696" s="1">
        <v>0</v>
      </c>
      <c r="L696" s="1">
        <f>IF(K696 + L695 &lt; 0, K696 + L695, 0)</f>
        <v>0</v>
      </c>
    </row>
    <row r="697" spans="1:12" s="1" customFormat="1">
      <c r="A697" s="3">
        <v>45996</v>
      </c>
      <c r="B697" s="1" t="s">
        <v>15</v>
      </c>
      <c r="C697" s="1">
        <v>8</v>
      </c>
      <c r="D697" s="1">
        <v>13</v>
      </c>
      <c r="E697" s="1">
        <v>-177632.6699834163</v>
      </c>
      <c r="F697" s="1">
        <f>IF(E697 + F696 &lt; 0, E697 + F696, 0)</f>
        <v>0</v>
      </c>
      <c r="G697" s="1">
        <v>-177632.6699834163</v>
      </c>
      <c r="H697" s="1">
        <f>IF(G697 + H696 &lt; 0, G697 + H696, 0)</f>
        <v>0</v>
      </c>
      <c r="I697" s="1">
        <v>0</v>
      </c>
      <c r="J697" s="1">
        <f>IF(I697 + J696 &lt; 0, I697 + J696, 0)</f>
        <v>0</v>
      </c>
      <c r="K697" s="1">
        <v>0</v>
      </c>
      <c r="L697" s="1">
        <f>IF(K697 + L696 &lt; 0, K697 + L696, 0)</f>
        <v>0</v>
      </c>
    </row>
    <row r="698" spans="1:12" s="1" customFormat="1">
      <c r="A698" s="3">
        <v>45999</v>
      </c>
      <c r="B698" s="1" t="s">
        <v>12</v>
      </c>
      <c r="C698" s="1">
        <v>7</v>
      </c>
      <c r="D698" s="1">
        <v>12</v>
      </c>
      <c r="E698" s="1">
        <v>48253.15005727376</v>
      </c>
      <c r="F698" s="1">
        <f>IF(E698 + F697 &lt; 0, E698 + F697, 0)</f>
        <v>0</v>
      </c>
      <c r="G698" s="1">
        <v>48253.15005727376</v>
      </c>
      <c r="H698" s="1">
        <f>IF(G698 + H697 &lt; 0, G698 + H697, 0)</f>
        <v>0</v>
      </c>
      <c r="I698" s="1">
        <v>0</v>
      </c>
      <c r="J698" s="1">
        <f>IF(I698 + J697 &lt; 0, I698 + J697, 0)</f>
        <v>0</v>
      </c>
      <c r="K698" s="1">
        <v>0</v>
      </c>
      <c r="L698" s="1">
        <f>IF(K698 + L697 &lt; 0, K698 + L697, 0)</f>
        <v>0</v>
      </c>
    </row>
    <row r="699" spans="1:12" s="1" customFormat="1">
      <c r="A699" s="3">
        <v>46000</v>
      </c>
      <c r="B699" s="1" t="s">
        <v>13</v>
      </c>
      <c r="C699" s="1">
        <v>6</v>
      </c>
      <c r="D699" s="1">
        <v>11</v>
      </c>
      <c r="E699" s="1">
        <v>-29596.51104417674</v>
      </c>
      <c r="F699" s="1">
        <f>IF(E699 + F698 &lt; 0, E699 + F698, 0)</f>
        <v>0</v>
      </c>
      <c r="G699" s="1">
        <v>-39323.96251673362</v>
      </c>
      <c r="H699" s="1">
        <f>IF(G699 + H698 &lt; 0, G699 + H698, 0)</f>
        <v>0</v>
      </c>
      <c r="I699" s="1">
        <v>0</v>
      </c>
      <c r="J699" s="1">
        <f>IF(I699 + J698 &lt; 0, I699 + J698, 0)</f>
        <v>0</v>
      </c>
      <c r="K699" s="1">
        <v>0</v>
      </c>
      <c r="L699" s="1">
        <f>IF(K699 + L698 &lt; 0, K699 + L698, 0)</f>
        <v>0</v>
      </c>
    </row>
    <row r="700" spans="1:12" s="1" customFormat="1">
      <c r="A700" s="3">
        <v>46001</v>
      </c>
      <c r="B700" s="1" t="s">
        <v>14</v>
      </c>
      <c r="C700" s="1">
        <v>5</v>
      </c>
      <c r="D700" s="1">
        <v>10</v>
      </c>
      <c r="E700" s="1">
        <v>-136288.6206314368</v>
      </c>
      <c r="F700" s="1">
        <f>IF(E700 + F699 &lt; 0, E700 + F699, 0)</f>
        <v>0</v>
      </c>
      <c r="G700" s="1">
        <v>-59154.9890258315</v>
      </c>
      <c r="H700" s="1">
        <f>IF(G700 + H699 &lt; 0, G700 + H699, 0)</f>
        <v>0</v>
      </c>
      <c r="I700" s="1">
        <v>0</v>
      </c>
      <c r="J700" s="1">
        <f>IF(I700 + J699 &lt; 0, I700 + J699, 0)</f>
        <v>0</v>
      </c>
      <c r="K700" s="1">
        <v>0</v>
      </c>
      <c r="L700" s="1">
        <f>IF(K700 + L699 &lt; 0, K700 + L699, 0)</f>
        <v>0</v>
      </c>
    </row>
    <row r="701" spans="1:12" s="1" customFormat="1">
      <c r="A701" s="3">
        <v>46002</v>
      </c>
      <c r="B701" s="1" t="s">
        <v>16</v>
      </c>
      <c r="C701" s="1">
        <v>4</v>
      </c>
      <c r="D701" s="1">
        <v>9</v>
      </c>
      <c r="E701" s="1">
        <v>-39656.15501519759</v>
      </c>
      <c r="F701" s="1">
        <f>IF(E701 + F700 &lt; 0, E701 + F700, 0)</f>
        <v>0</v>
      </c>
      <c r="G701" s="1">
        <v>1604.187774400544</v>
      </c>
      <c r="H701" s="1">
        <f>IF(G701 + H700 &lt; 0, G701 + H700, 0)</f>
        <v>0</v>
      </c>
      <c r="I701" s="1">
        <v>0</v>
      </c>
      <c r="J701" s="1">
        <f>IF(I701 + J700 &lt; 0, I701 + J700, 0)</f>
        <v>0</v>
      </c>
      <c r="K701" s="1">
        <v>0</v>
      </c>
      <c r="L701" s="1">
        <f>IF(K701 + L700 &lt; 0, K701 + L700, 0)</f>
        <v>0</v>
      </c>
    </row>
    <row r="702" spans="1:12" s="1" customFormat="1">
      <c r="A702" s="3">
        <v>46003</v>
      </c>
      <c r="B702" s="1" t="s">
        <v>15</v>
      </c>
      <c r="C702" s="1">
        <v>3</v>
      </c>
      <c r="D702" s="1">
        <v>8</v>
      </c>
      <c r="E702" s="1">
        <v>114413.2329300279</v>
      </c>
      <c r="F702" s="1">
        <f>IF(E702 + F701 &lt; 0, E702 + F701, 0)</f>
        <v>0</v>
      </c>
      <c r="G702" s="1">
        <v>114413.2329300279</v>
      </c>
      <c r="H702" s="1">
        <f>IF(G702 + H701 &lt; 0, G702 + H701, 0)</f>
        <v>0</v>
      </c>
      <c r="I702" s="1">
        <v>0</v>
      </c>
      <c r="J702" s="1">
        <f>IF(I702 + J701 &lt; 0, I702 + J701, 0)</f>
        <v>0</v>
      </c>
      <c r="K702" s="1">
        <v>0</v>
      </c>
      <c r="L702" s="1">
        <f>IF(K702 + L701 &lt; 0, K702 + L701, 0)</f>
        <v>0</v>
      </c>
    </row>
    <row r="703" spans="1:12" s="1" customFormat="1">
      <c r="A703" s="3">
        <v>46006</v>
      </c>
      <c r="B703" s="1" t="s">
        <v>12</v>
      </c>
      <c r="C703" s="1">
        <v>2</v>
      </c>
      <c r="D703" s="1">
        <v>7</v>
      </c>
      <c r="E703" s="1">
        <v>-55369.95372925243</v>
      </c>
      <c r="F703" s="1">
        <f>IF(E703 + F702 &lt; 0, E703 + F702, 0)</f>
        <v>0</v>
      </c>
      <c r="G703" s="1">
        <v>-113575.5826293671</v>
      </c>
      <c r="H703" s="1">
        <f>IF(G703 + H702 &lt; 0, G703 + H702, 0)</f>
        <v>0</v>
      </c>
      <c r="I703" s="1">
        <v>0</v>
      </c>
      <c r="J703" s="1">
        <f>IF(I703 + J702 &lt; 0, I703 + J702, 0)</f>
        <v>0</v>
      </c>
      <c r="K703" s="1">
        <v>0</v>
      </c>
      <c r="L703" s="1">
        <f>IF(K703 + L702 &lt; 0, K703 + L702, 0)</f>
        <v>0</v>
      </c>
    </row>
    <row r="704" spans="1:12" s="1" customFormat="1">
      <c r="A704" s="3">
        <v>46007</v>
      </c>
      <c r="B704" s="1" t="s">
        <v>13</v>
      </c>
      <c r="C704" s="1">
        <v>1</v>
      </c>
      <c r="D704" s="1">
        <v>6</v>
      </c>
      <c r="E704" s="1">
        <v>-27628.22451713261</v>
      </c>
      <c r="F704" s="1">
        <f>IF(E704 + F703 &lt; 0, E704 + F703, 0)</f>
        <v>0</v>
      </c>
      <c r="G704" s="1">
        <v>282029.1232770168</v>
      </c>
      <c r="H704" s="1">
        <f>IF(G704 + H703 &lt; 0, G704 + H703, 0)</f>
        <v>0</v>
      </c>
      <c r="I704" s="1">
        <v>42181.06995884772</v>
      </c>
      <c r="J704" s="1">
        <f>IF(I704 + J703 &lt; 0, I704 + J703, 0)</f>
        <v>0</v>
      </c>
      <c r="K704" s="1">
        <v>42181.06995884772</v>
      </c>
      <c r="L704" s="1">
        <f>IF(K704 + L703 &lt; 0, K704 + L703, 0)</f>
        <v>0</v>
      </c>
    </row>
    <row r="705" spans="1:12" s="1" customFormat="1">
      <c r="A705" s="3">
        <v>46008</v>
      </c>
      <c r="B705" s="1" t="s">
        <v>14</v>
      </c>
      <c r="C705" s="1">
        <v>20</v>
      </c>
      <c r="D705" s="1">
        <v>5</v>
      </c>
      <c r="E705" s="1">
        <v>0</v>
      </c>
      <c r="F705" s="1">
        <f>IF(E705 + F704 &lt; 0, E705 + F704, 0)</f>
        <v>0</v>
      </c>
      <c r="G705" s="1">
        <v>0</v>
      </c>
      <c r="H705" s="1">
        <f>IF(G705 + H704 &lt; 0, G705 + H704, 0)</f>
        <v>0</v>
      </c>
      <c r="I705" s="1">
        <v>75161.88714153563</v>
      </c>
      <c r="J705" s="1">
        <f>IF(I705 + J704 &lt; 0, I705 + J704, 0)</f>
        <v>0</v>
      </c>
      <c r="K705" s="1">
        <v>75161.88714153563</v>
      </c>
      <c r="L705" s="1">
        <f>IF(K705 + L704 &lt; 0, K705 + L704, 0)</f>
        <v>0</v>
      </c>
    </row>
    <row r="706" spans="1:12" s="1" customFormat="1">
      <c r="A706" s="3">
        <v>46009</v>
      </c>
      <c r="B706" s="1" t="s">
        <v>16</v>
      </c>
      <c r="C706" s="1">
        <v>19</v>
      </c>
      <c r="D706" s="1">
        <v>4</v>
      </c>
      <c r="E706" s="1">
        <v>0</v>
      </c>
      <c r="F706" s="1">
        <f>IF(E706 + F705 &lt; 0, E706 + F705, 0)</f>
        <v>0</v>
      </c>
      <c r="G706" s="1">
        <v>0</v>
      </c>
      <c r="H706" s="1">
        <f>IF(G706 + H705 &lt; 0, G706 + H705, 0)</f>
        <v>0</v>
      </c>
      <c r="I706" s="1">
        <v>-207481.9168173598</v>
      </c>
      <c r="J706" s="1">
        <f>IF(I706 + J705 &lt; 0, I706 + J705, 0)</f>
        <v>0</v>
      </c>
      <c r="K706" s="1">
        <v>-207481.9168173598</v>
      </c>
      <c r="L706" s="1">
        <f>IF(K706 + L705 &lt; 0, K706 + L705, 0)</f>
        <v>0</v>
      </c>
    </row>
    <row r="707" spans="1:12" s="1" customFormat="1">
      <c r="A707" s="3">
        <v>46010</v>
      </c>
      <c r="B707" s="1" t="s">
        <v>15</v>
      </c>
      <c r="C707" s="1">
        <v>18</v>
      </c>
      <c r="D707" s="1">
        <v>3</v>
      </c>
      <c r="E707" s="1">
        <v>0</v>
      </c>
      <c r="F707" s="1">
        <f>IF(E707 + F706 &lt; 0, E707 + F706, 0)</f>
        <v>0</v>
      </c>
      <c r="G707" s="1">
        <v>0</v>
      </c>
      <c r="H707" s="1">
        <f>IF(G707 + H706 &lt; 0, G707 + H706, 0)</f>
        <v>0</v>
      </c>
      <c r="I707" s="1">
        <v>-471.2535344015032</v>
      </c>
      <c r="J707" s="1">
        <f>IF(I707 + J706 &lt; 0, I707 + J706, 0)</f>
        <v>0</v>
      </c>
      <c r="K707" s="1">
        <v>-471.2535344015032</v>
      </c>
      <c r="L707" s="1">
        <f>IF(K707 + L706 &lt; 0, K707 + L706, 0)</f>
        <v>0</v>
      </c>
    </row>
    <row r="708" spans="1:12" s="1" customFormat="1">
      <c r="A708" s="3">
        <v>46013</v>
      </c>
      <c r="B708" s="1" t="s">
        <v>12</v>
      </c>
      <c r="C708" s="1">
        <v>17</v>
      </c>
      <c r="D708" s="1">
        <v>2</v>
      </c>
      <c r="E708" s="1">
        <v>0</v>
      </c>
      <c r="F708" s="1">
        <f>IF(E708 + F707 &lt; 0, E708 + F707, 0)</f>
        <v>0</v>
      </c>
      <c r="G708" s="1">
        <v>0</v>
      </c>
      <c r="H708" s="1">
        <f>IF(G708 + H707 &lt; 0, G708 + H707, 0)</f>
        <v>0</v>
      </c>
      <c r="I708" s="1">
        <v>-23752.87356321839</v>
      </c>
      <c r="J708" s="1">
        <f>IF(I708 + J707 &lt; 0, I708 + J707, 0)</f>
        <v>0</v>
      </c>
      <c r="K708" s="1">
        <v>-268528.735632184</v>
      </c>
      <c r="L708" s="1">
        <f>IF(K708 + L707 &lt; 0, K708 + L707, 0)</f>
        <v>0</v>
      </c>
    </row>
    <row r="709" spans="1:12" s="1" customFormat="1">
      <c r="A709" s="3">
        <v>46014</v>
      </c>
      <c r="B709" s="1" t="s">
        <v>13</v>
      </c>
      <c r="C709" s="1">
        <v>16</v>
      </c>
      <c r="D709" s="1">
        <v>1</v>
      </c>
      <c r="E709" s="1">
        <v>0</v>
      </c>
      <c r="F709" s="1">
        <f>IF(E709 + F708 &lt; 0, E709 + F708, 0)</f>
        <v>0</v>
      </c>
      <c r="G709" s="1">
        <v>0</v>
      </c>
      <c r="H709" s="1">
        <f>IF(G709 + H708 &lt; 0, G709 + H708, 0)</f>
        <v>0</v>
      </c>
      <c r="I709" s="1">
        <v>75298.59484777517</v>
      </c>
      <c r="J709" s="1">
        <f>IF(I709 + J708 &lt; 0, I709 + J708, 0)</f>
        <v>0</v>
      </c>
      <c r="K709" s="1">
        <v>-249080.7962529275</v>
      </c>
      <c r="L709" s="1">
        <f>IF(K709 + L708 &lt; 0, K709 + L708, 0)</f>
        <v>0</v>
      </c>
    </row>
    <row r="710" spans="1:12" s="1" customFormat="1">
      <c r="A710" s="3">
        <v>46015</v>
      </c>
      <c r="B710" s="1" t="s">
        <v>14</v>
      </c>
      <c r="C710" s="1">
        <v>15</v>
      </c>
      <c r="D710" s="1">
        <v>21</v>
      </c>
      <c r="E710" s="1">
        <v>0</v>
      </c>
      <c r="F710" s="1">
        <f>IF(E710 + F709 &lt; 0, E710 + F709, 0)</f>
        <v>0</v>
      </c>
      <c r="G710" s="1">
        <v>0</v>
      </c>
      <c r="H710" s="1">
        <f>IF(G710 + H709 &lt; 0, G710 + H709, 0)</f>
        <v>0</v>
      </c>
      <c r="I710" s="1">
        <v>0</v>
      </c>
      <c r="J710" s="1">
        <f>IF(I710 + J709 &lt; 0, I710 + J709, 0)</f>
        <v>0</v>
      </c>
      <c r="K710" s="1">
        <v>0</v>
      </c>
      <c r="L710" s="1">
        <f>IF(K710 + L709 &lt; 0, K710 + L709, 0)</f>
        <v>0</v>
      </c>
    </row>
    <row r="711" spans="1:12" s="1" customFormat="1">
      <c r="A711" s="3">
        <v>46017</v>
      </c>
      <c r="B711" s="1" t="s">
        <v>15</v>
      </c>
      <c r="C711" s="1">
        <v>14</v>
      </c>
      <c r="D711" s="1">
        <v>20</v>
      </c>
      <c r="E711" s="1">
        <v>0</v>
      </c>
      <c r="F711" s="1">
        <f>IF(E711 + F710 &lt; 0, E711 + F710, 0)</f>
        <v>0</v>
      </c>
      <c r="G711" s="1">
        <v>0</v>
      </c>
      <c r="H711" s="1">
        <f>IF(G711 + H710 &lt; 0, G711 + H710, 0)</f>
        <v>0</v>
      </c>
      <c r="I711" s="1">
        <v>0</v>
      </c>
      <c r="J711" s="1">
        <f>IF(I711 + J710 &lt; 0, I711 + J710, 0)</f>
        <v>0</v>
      </c>
      <c r="K711" s="1">
        <v>0</v>
      </c>
      <c r="L711" s="1">
        <f>IF(K711 + L710 &lt; 0, K711 + L710, 0)</f>
        <v>0</v>
      </c>
    </row>
    <row r="712" spans="1:12" s="1" customFormat="1">
      <c r="A712" s="3">
        <v>46020</v>
      </c>
      <c r="B712" s="1" t="s">
        <v>12</v>
      </c>
      <c r="C712" s="1">
        <v>13</v>
      </c>
      <c r="D712" s="1">
        <v>19</v>
      </c>
      <c r="E712" s="1">
        <v>0</v>
      </c>
      <c r="F712" s="1">
        <f>IF(E712 + F711 &lt; 0, E712 + F711, 0)</f>
        <v>0</v>
      </c>
      <c r="G712" s="1">
        <v>0</v>
      </c>
      <c r="H712" s="1">
        <f>IF(G712 + H711 &lt; 0, G712 + H711, 0)</f>
        <v>0</v>
      </c>
      <c r="I712" s="1">
        <v>0</v>
      </c>
      <c r="J712" s="1">
        <f>IF(I712 + J711 &lt; 0, I712 + J711, 0)</f>
        <v>0</v>
      </c>
      <c r="K712" s="1">
        <v>0</v>
      </c>
      <c r="L712" s="1">
        <f>IF(K712 + L711 &lt; 0, K712 + L711, 0)</f>
        <v>0</v>
      </c>
    </row>
    <row r="713" spans="1:12" s="1" customFormat="1">
      <c r="A713" s="3">
        <v>46021</v>
      </c>
      <c r="B713" s="1" t="s">
        <v>13</v>
      </c>
      <c r="C713" s="1">
        <v>12</v>
      </c>
      <c r="D713" s="1">
        <v>18</v>
      </c>
      <c r="E713" s="1">
        <v>0</v>
      </c>
      <c r="F713" s="1">
        <f>IF(E713 + F712 &lt; 0, E713 + F712, 0)</f>
        <v>0</v>
      </c>
      <c r="G713" s="1">
        <v>0</v>
      </c>
      <c r="H713" s="1">
        <f>IF(G713 + H712 &lt; 0, G713 + H712, 0)</f>
        <v>0</v>
      </c>
      <c r="I713" s="1">
        <v>0</v>
      </c>
      <c r="J713" s="1">
        <f>IF(I713 + J712 &lt; 0, I713 + J712, 0)</f>
        <v>0</v>
      </c>
      <c r="K713" s="1">
        <v>0</v>
      </c>
      <c r="L713" s="1">
        <f>IF(K713 + L712 &lt; 0, K713 + L712, 0)</f>
        <v>0</v>
      </c>
    </row>
    <row r="714" spans="1:12" s="1" customFormat="1">
      <c r="A714" s="3">
        <v>46022</v>
      </c>
      <c r="B714" s="1" t="s">
        <v>14</v>
      </c>
      <c r="C714" s="1">
        <v>11</v>
      </c>
      <c r="D714" s="1">
        <v>17</v>
      </c>
      <c r="E714" s="1">
        <v>0</v>
      </c>
      <c r="F714" s="1">
        <f>IF(E714 + F713 &lt; 0, E714 + F713, 0)</f>
        <v>0</v>
      </c>
      <c r="G714" s="1">
        <v>0</v>
      </c>
      <c r="H714" s="1">
        <f>IF(G714 + H713 &lt; 0, G714 + H713, 0)</f>
        <v>0</v>
      </c>
      <c r="I714" s="1">
        <v>0</v>
      </c>
      <c r="J714" s="1">
        <f>IF(I714 + J713 &lt; 0, I714 + J713, 0)</f>
        <v>0</v>
      </c>
      <c r="K714" s="1">
        <v>0</v>
      </c>
      <c r="L714" s="1">
        <f>IF(K714 + L713 &lt; 0, K714 + L713, 0)</f>
        <v>0</v>
      </c>
    </row>
    <row r="715" spans="1:12" s="1" customFormat="1">
      <c r="A715" s="3">
        <v>46023</v>
      </c>
      <c r="B715" s="1" t="s">
        <v>16</v>
      </c>
      <c r="C715" s="1">
        <v>10</v>
      </c>
      <c r="D715" s="1">
        <v>16</v>
      </c>
      <c r="E715" s="1">
        <v>-1173.20819112628</v>
      </c>
      <c r="F715" s="1">
        <f>IF(E715 + F714 &lt; 0, E715 + F714, 0)</f>
        <v>0</v>
      </c>
      <c r="G715" s="1">
        <v>-1173.20819112628</v>
      </c>
      <c r="H715" s="1">
        <f>IF(G715 + H714 &lt; 0, G715 + H714, 0)</f>
        <v>0</v>
      </c>
      <c r="I715" s="1">
        <v>0</v>
      </c>
      <c r="J715" s="1">
        <f>IF(I715 + J714 &lt; 0, I715 + J714, 0)</f>
        <v>0</v>
      </c>
      <c r="K715" s="1">
        <v>0</v>
      </c>
      <c r="L715" s="1">
        <f>IF(K715 + L714 &lt; 0, K715 + L714, 0)</f>
        <v>0</v>
      </c>
    </row>
    <row r="716" spans="1:12" s="1" customFormat="1">
      <c r="A716" s="3">
        <v>46024</v>
      </c>
      <c r="B716" s="1" t="s">
        <v>15</v>
      </c>
      <c r="C716" s="1">
        <v>9</v>
      </c>
      <c r="D716" s="1">
        <v>15</v>
      </c>
      <c r="E716" s="1">
        <v>-15513.63578165678</v>
      </c>
      <c r="F716" s="1">
        <f>IF(E716 + F715 &lt; 0, E716 + F715, 0)</f>
        <v>0</v>
      </c>
      <c r="G716" s="1">
        <v>-15513.63578165678</v>
      </c>
      <c r="H716" s="1">
        <f>IF(G716 + H715 &lt; 0, G716 + H715, 0)</f>
        <v>0</v>
      </c>
      <c r="I716" s="1">
        <v>0</v>
      </c>
      <c r="J716" s="1">
        <f>IF(I716 + J715 &lt; 0, I716 + J715, 0)</f>
        <v>0</v>
      </c>
      <c r="K716" s="1">
        <v>0</v>
      </c>
      <c r="L716" s="1">
        <f>IF(K716 + L715 &lt; 0, K716 + L715, 0)</f>
        <v>0</v>
      </c>
    </row>
    <row r="717" spans="1:12" s="1" customFormat="1">
      <c r="A717" s="3">
        <v>46027</v>
      </c>
      <c r="B717" s="1" t="s">
        <v>12</v>
      </c>
      <c r="C717" s="1">
        <v>8</v>
      </c>
      <c r="D717" s="1">
        <v>14</v>
      </c>
      <c r="E717" s="1">
        <v>-42644.28234284488</v>
      </c>
      <c r="F717" s="1">
        <f>IF(E717 + F716 &lt; 0, E717 + F716, 0)</f>
        <v>0</v>
      </c>
      <c r="G717" s="1">
        <v>-12829.86483587212</v>
      </c>
      <c r="H717" s="1">
        <f>IF(G717 + H716 &lt; 0, G717 + H716, 0)</f>
        <v>0</v>
      </c>
      <c r="I717" s="1">
        <v>0</v>
      </c>
      <c r="J717" s="1">
        <f>IF(I717 + J716 &lt; 0, I717 + J716, 0)</f>
        <v>0</v>
      </c>
      <c r="K717" s="1">
        <v>0</v>
      </c>
      <c r="L717" s="1">
        <f>IF(K717 + L716 &lt; 0, K717 + L716, 0)</f>
        <v>0</v>
      </c>
    </row>
    <row r="718" spans="1:12" s="1" customFormat="1">
      <c r="A718" s="3">
        <v>46028</v>
      </c>
      <c r="B718" s="1" t="s">
        <v>13</v>
      </c>
      <c r="C718" s="1">
        <v>7</v>
      </c>
      <c r="D718" s="1">
        <v>13</v>
      </c>
      <c r="E718" s="1">
        <v>-193361.3249851934</v>
      </c>
      <c r="F718" s="1">
        <f>IF(E718 + F717 &lt; 0, E718 + F717, 0)</f>
        <v>0</v>
      </c>
      <c r="G718" s="1">
        <v>-212073.7795075726</v>
      </c>
      <c r="H718" s="1">
        <f>IF(G718 + H717 &lt; 0, G718 + H717, 0)</f>
        <v>0</v>
      </c>
      <c r="I718" s="1">
        <v>0</v>
      </c>
      <c r="J718" s="1">
        <f>IF(I718 + J717 &lt; 0, I718 + J717, 0)</f>
        <v>0</v>
      </c>
      <c r="K718" s="1">
        <v>0</v>
      </c>
      <c r="L718" s="1">
        <f>IF(K718 + L717 &lt; 0, K718 + L717, 0)</f>
        <v>0</v>
      </c>
    </row>
    <row r="719" spans="1:12" s="1" customFormat="1">
      <c r="A719" s="3">
        <v>46029</v>
      </c>
      <c r="B719" s="1" t="s">
        <v>14</v>
      </c>
      <c r="C719" s="1">
        <v>6</v>
      </c>
      <c r="D719" s="1">
        <v>12</v>
      </c>
      <c r="E719" s="1">
        <v>-77184.02294853963</v>
      </c>
      <c r="F719" s="1">
        <f>IF(E719 + F718 &lt; 0, E719 + F718, 0)</f>
        <v>0</v>
      </c>
      <c r="G719" s="1">
        <v>-102073.1919332406</v>
      </c>
      <c r="H719" s="1">
        <f>IF(G719 + H718 &lt; 0, G719 + H718, 0)</f>
        <v>0</v>
      </c>
      <c r="I719" s="1">
        <v>0</v>
      </c>
      <c r="J719" s="1">
        <f>IF(I719 + J718 &lt; 0, I719 + J718, 0)</f>
        <v>0</v>
      </c>
      <c r="K719" s="1">
        <v>0</v>
      </c>
      <c r="L719" s="1">
        <f>IF(K719 + L718 &lt; 0, K719 + L718, 0)</f>
        <v>0</v>
      </c>
    </row>
    <row r="720" spans="1:12" s="1" customFormat="1">
      <c r="A720" s="3">
        <v>46030</v>
      </c>
      <c r="B720" s="1" t="s">
        <v>16</v>
      </c>
      <c r="C720" s="1">
        <v>5</v>
      </c>
      <c r="D720" s="1">
        <v>11</v>
      </c>
      <c r="E720" s="1">
        <v>24204.1568008419</v>
      </c>
      <c r="F720" s="1">
        <f>IF(E720 + F719 &lt; 0, E720 + F719, 0)</f>
        <v>0</v>
      </c>
      <c r="G720" s="1">
        <v>24204.1568008419</v>
      </c>
      <c r="H720" s="1">
        <f>IF(G720 + H719 &lt; 0, G720 + H719, 0)</f>
        <v>0</v>
      </c>
      <c r="I720" s="1">
        <v>0</v>
      </c>
      <c r="J720" s="1">
        <f>IF(I720 + J719 &lt; 0, I720 + J719, 0)</f>
        <v>0</v>
      </c>
      <c r="K720" s="1">
        <v>0</v>
      </c>
      <c r="L720" s="1">
        <f>IF(K720 + L719 &lt; 0, K720 + L719, 0)</f>
        <v>0</v>
      </c>
    </row>
    <row r="721" spans="1:12" s="1" customFormat="1">
      <c r="A721" s="3">
        <v>46031</v>
      </c>
      <c r="B721" s="1" t="s">
        <v>15</v>
      </c>
      <c r="C721" s="1">
        <v>4</v>
      </c>
      <c r="D721" s="1">
        <v>10</v>
      </c>
      <c r="E721" s="1">
        <v>-266555.2053160675</v>
      </c>
      <c r="F721" s="1">
        <f>IF(E721 + F720 &lt; 0, E721 + F720, 0)</f>
        <v>0</v>
      </c>
      <c r="G721" s="1">
        <v>-468670.131197819</v>
      </c>
      <c r="H721" s="1">
        <f>IF(G721 + H720 &lt; 0, G721 + H720, 0)</f>
        <v>0</v>
      </c>
      <c r="I721" s="1">
        <v>0</v>
      </c>
      <c r="J721" s="1">
        <f>IF(I721 + J720 &lt; 0, I721 + J720, 0)</f>
        <v>0</v>
      </c>
      <c r="K721" s="1">
        <v>0</v>
      </c>
      <c r="L721" s="1">
        <f>IF(K721 + L720 &lt; 0, K721 + L720, 0)</f>
        <v>0</v>
      </c>
    </row>
    <row r="722" spans="1:12" s="1" customFormat="1">
      <c r="A722" s="3">
        <v>46034</v>
      </c>
      <c r="B722" s="1" t="s">
        <v>12</v>
      </c>
      <c r="C722" s="1">
        <v>3</v>
      </c>
      <c r="D722" s="1">
        <v>9</v>
      </c>
      <c r="E722" s="1">
        <v>-33415.49149299058</v>
      </c>
      <c r="F722" s="1">
        <f>IF(E722 + F721 &lt; 0, E722 + F721, 0)</f>
        <v>0</v>
      </c>
      <c r="G722" s="1">
        <v>21173.92570406422</v>
      </c>
      <c r="H722" s="1">
        <f>IF(G722 + H721 &lt; 0, G722 + H721, 0)</f>
        <v>0</v>
      </c>
      <c r="I722" s="1">
        <v>0</v>
      </c>
      <c r="J722" s="1">
        <f>IF(I722 + J721 &lt; 0, I722 + J721, 0)</f>
        <v>0</v>
      </c>
      <c r="K722" s="1">
        <v>0</v>
      </c>
      <c r="L722" s="1">
        <f>IF(K722 + L721 &lt; 0, K722 + L721, 0)</f>
        <v>0</v>
      </c>
    </row>
    <row r="723" spans="1:12" s="1" customFormat="1"/>
    <row r="724" spans="1:12" s="1" customFormat="1"/>
    <row r="725" spans="1:12" s="1" customFormat="1"/>
    <row r="726" spans="1:12" s="1" customFormat="1"/>
    <row r="727" spans="1:12" s="1" customFormat="1"/>
    <row r="728" spans="1:12" s="1" customFormat="1"/>
    <row r="729" spans="1:12" s="1" customFormat="1"/>
    <row r="730" spans="1:12" s="1" customFormat="1"/>
    <row r="731" spans="1:12" s="1" customFormat="1"/>
    <row r="732" spans="1:12" s="1" customFormat="1"/>
    <row r="733" spans="1:12" s="1" customFormat="1"/>
    <row r="734" spans="1:12" s="1" customFormat="1"/>
    <row r="735" spans="1:12" s="1" customFormat="1"/>
    <row r="736" spans="1:12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</sheetData>
  <conditionalFormatting sqref="C2:ZZ1000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2000"/>
  <sheetViews>
    <sheetView workbookViewId="0"/>
  </sheetViews>
  <sheetFormatPr defaultRowHeight="15"/>
  <sheetData>
    <row r="1" spans="1:28" s="1" customFormat="1">
      <c r="A1" s="2" t="s">
        <v>8</v>
      </c>
      <c r="B1" s="2" t="s">
        <v>9</v>
      </c>
      <c r="C1" s="2" t="s">
        <v>19</v>
      </c>
      <c r="D1" s="2" t="s">
        <v>20</v>
      </c>
      <c r="E1" s="2" t="s">
        <v>187</v>
      </c>
      <c r="F1" s="2" t="s">
        <v>188</v>
      </c>
      <c r="G1" s="2" t="s">
        <v>189</v>
      </c>
      <c r="H1" s="2" t="s">
        <v>190</v>
      </c>
      <c r="I1" s="2" t="s">
        <v>191</v>
      </c>
      <c r="J1" s="2" t="s">
        <v>192</v>
      </c>
      <c r="K1" s="2" t="s">
        <v>193</v>
      </c>
      <c r="L1" s="2" t="s">
        <v>194</v>
      </c>
      <c r="M1" s="2" t="s">
        <v>195</v>
      </c>
      <c r="N1" s="2" t="s">
        <v>196</v>
      </c>
      <c r="O1" s="2" t="s">
        <v>197</v>
      </c>
      <c r="P1" s="2" t="s">
        <v>198</v>
      </c>
      <c r="Q1" s="2" t="s">
        <v>199</v>
      </c>
      <c r="R1" s="2" t="s">
        <v>200</v>
      </c>
      <c r="S1" s="2" t="s">
        <v>201</v>
      </c>
      <c r="T1" s="2" t="s">
        <v>202</v>
      </c>
      <c r="U1" s="2" t="s">
        <v>203</v>
      </c>
      <c r="V1" s="2" t="s">
        <v>204</v>
      </c>
      <c r="W1" s="2" t="s">
        <v>205</v>
      </c>
      <c r="X1" s="2" t="s">
        <v>206</v>
      </c>
      <c r="Y1" s="2" t="s">
        <v>207</v>
      </c>
      <c r="Z1" s="2" t="s">
        <v>208</v>
      </c>
      <c r="AA1" s="2" t="s">
        <v>209</v>
      </c>
      <c r="AB1" s="2" t="s">
        <v>210</v>
      </c>
    </row>
    <row r="2" spans="1:28" s="1" customFormat="1">
      <c r="A2" s="3">
        <v>44928</v>
      </c>
      <c r="B2" s="2" t="s">
        <v>12</v>
      </c>
      <c r="C2" s="1">
        <f>SUM(PL!E2:H2)</f>
        <v>0</v>
      </c>
      <c r="D2" s="1">
        <f>SUM(PL!I2:L2)</f>
        <v>0</v>
      </c>
      <c r="E2" s="1">
        <f>SUM(C2:D2)</f>
        <v>0</v>
      </c>
      <c r="F2" s="1">
        <f>IF(C2 &lt; 0, C2, 0)</f>
        <v>0</v>
      </c>
      <c r="G2" s="1">
        <f>IF(D2 &lt; 0, D2, 0)</f>
        <v>0</v>
      </c>
      <c r="H2" s="1">
        <f>IF(E2 &lt; 0, E2, 0)</f>
        <v>0</v>
      </c>
      <c r="I2" s="1">
        <f>IF(H2 &lt; 0, 1, 0)</f>
        <v>0</v>
      </c>
      <c r="J2" s="1">
        <f>C2-((ABS(SUM(PL!E2:H2)))*0.125)</f>
        <v>0</v>
      </c>
      <c r="K2" s="1">
        <f>D2-((ABS(SUM(PL!I2:L2)))*0.125)</f>
        <v>0</v>
      </c>
      <c r="L2" s="1">
        <f>J2 + K2</f>
        <v>0</v>
      </c>
      <c r="M2" s="1">
        <f>IF(J2 &lt; 0, J2, 0)</f>
        <v>0</v>
      </c>
      <c r="N2" s="1">
        <f>IF(K2 &lt; 0, K2, 0)</f>
        <v>0</v>
      </c>
      <c r="O2" s="1">
        <f>IF(L2 &lt; 0, L2, 0)</f>
        <v>0</v>
      </c>
      <c r="P2" s="1">
        <f>IF(O2 &lt; 0, 1, 0)</f>
        <v>0</v>
      </c>
      <c r="Q2" s="1">
        <f>IF(E2&lt;0,1,0)</f>
        <v>0</v>
      </c>
      <c r="R2" s="1">
        <f>IF(Q2=1,E2,0)</f>
        <v>0</v>
      </c>
      <c r="S2" s="1">
        <f>IF(E2&gt;0,1,0)</f>
        <v>0</v>
      </c>
      <c r="T2" s="1">
        <f>IF(S2=1,E2,0)</f>
        <v>0</v>
      </c>
      <c r="U2" s="1">
        <f>IF(R2&lt;-100000000/100,1,0)</f>
        <v>0</v>
      </c>
      <c r="V2" s="1">
        <f>IF(T2&gt;100000000/100,1,0)</f>
        <v>0</v>
      </c>
      <c r="W2" s="1">
        <f>IF(L2&lt;0,1,0)</f>
        <v>0</v>
      </c>
      <c r="X2" s="1">
        <f>IF(W2=1,L2,0)</f>
        <v>0</v>
      </c>
      <c r="Y2" s="1">
        <f>IF(L2&gt;0,1,0)</f>
        <v>0</v>
      </c>
      <c r="Z2" s="1">
        <f>IF(Y2=1,L2,0)</f>
        <v>0</v>
      </c>
      <c r="AA2" s="1">
        <f>IF(X2&lt;-100000000/100,1,0)</f>
        <v>0</v>
      </c>
      <c r="AB2" s="1">
        <f>IF(Z2&gt;100000000/100,1,0)</f>
        <v>0</v>
      </c>
    </row>
    <row r="3" spans="1:28" s="1" customFormat="1">
      <c r="A3" s="3">
        <v>44929</v>
      </c>
      <c r="B3" s="2" t="s">
        <v>13</v>
      </c>
      <c r="C3" s="1">
        <f>SUM(PL!E3:H3)</f>
        <v>0</v>
      </c>
      <c r="D3" s="1">
        <f>SUM(PL!I3:L3)</f>
        <v>0</v>
      </c>
      <c r="E3" s="1">
        <f>SUM(C3:D3)</f>
        <v>0</v>
      </c>
      <c r="F3" s="1">
        <f>IF(C3 + F2 &lt; 0, C3 + F2, 0)</f>
        <v>0</v>
      </c>
      <c r="G3" s="1">
        <f>IF(D3 + G2 &lt; 0, D3 + G2, 0)</f>
        <v>0</v>
      </c>
      <c r="H3" s="1">
        <f>IF(E3 + H2 &lt; 0, E3 + H2, 0)</f>
        <v>0</v>
      </c>
      <c r="I3" s="1">
        <f>IF(H3 &lt; 0, 1 + I2, 0)</f>
        <v>0</v>
      </c>
      <c r="J3" s="1">
        <f>C3-((ABS(SUM(PL!E3:H3)))*0.125)</f>
        <v>0</v>
      </c>
      <c r="K3" s="1">
        <f>D3-((ABS(SUM(PL!I3:L3)))*0.125)</f>
        <v>0</v>
      </c>
      <c r="L3" s="1">
        <f>J3 + K3</f>
        <v>0</v>
      </c>
      <c r="M3" s="1">
        <f>IF(J3 + M2 &lt; 0, J3 + M2, 0)</f>
        <v>0</v>
      </c>
      <c r="N3" s="1">
        <f>IF(K3 + N2 &lt; 0, K3 + N2, 0)</f>
        <v>0</v>
      </c>
      <c r="O3" s="1">
        <f>IF(L3 + O2 &lt; 0, L3 + O2, 0)</f>
        <v>0</v>
      </c>
      <c r="P3" s="1">
        <f>IF(O3 &lt; 0, 1 + P2, 0)</f>
        <v>0</v>
      </c>
      <c r="Q3" s="1">
        <f>IF(E3&lt;0,1,0)</f>
        <v>0</v>
      </c>
      <c r="R3" s="1">
        <f>IF(Q3=1,E3,0)</f>
        <v>0</v>
      </c>
      <c r="S3" s="1">
        <f>IF(E3&gt;0,1,0)</f>
        <v>0</v>
      </c>
      <c r="T3" s="1">
        <f>IF(S3=1,E3,0)</f>
        <v>0</v>
      </c>
      <c r="U3" s="1">
        <f>IF(R3&lt;-100000000/100,1,0)</f>
        <v>0</v>
      </c>
      <c r="V3" s="1">
        <f>IF(T3&gt;100000000/100,1,0)</f>
        <v>0</v>
      </c>
      <c r="W3" s="1">
        <f>IF(L3&lt;0,1,0)</f>
        <v>0</v>
      </c>
      <c r="X3" s="1">
        <f>IF(W3=1,L3,0)</f>
        <v>0</v>
      </c>
      <c r="Y3" s="1">
        <f>IF(L3&gt;0,1,0)</f>
        <v>0</v>
      </c>
      <c r="Z3" s="1">
        <f>IF(Y3=1,L3,0)</f>
        <v>0</v>
      </c>
      <c r="AA3" s="1">
        <f>IF(X3&lt;-100000000/100,1,0)</f>
        <v>0</v>
      </c>
      <c r="AB3" s="1">
        <f>IF(Z3&gt;100000000/100,1,0)</f>
        <v>0</v>
      </c>
    </row>
    <row r="4" spans="1:28" s="1" customFormat="1">
      <c r="A4" s="3">
        <v>44930</v>
      </c>
      <c r="B4" s="2" t="s">
        <v>14</v>
      </c>
      <c r="C4" s="1">
        <f>SUM(PL!E4:H4)</f>
        <v>0</v>
      </c>
      <c r="D4" s="1">
        <f>SUM(PL!I4:L4)</f>
        <v>0</v>
      </c>
      <c r="E4" s="1">
        <f>SUM(C4:D4)</f>
        <v>0</v>
      </c>
      <c r="F4" s="1">
        <f>IF(C4 + F3 &lt; 0, C4 + F3, 0)</f>
        <v>0</v>
      </c>
      <c r="G4" s="1">
        <f>IF(D4 + G3 &lt; 0, D4 + G3, 0)</f>
        <v>0</v>
      </c>
      <c r="H4" s="1">
        <f>IF(E4 + H3 &lt; 0, E4 + H3, 0)</f>
        <v>0</v>
      </c>
      <c r="I4" s="1">
        <f>IF(H4 &lt; 0, 1 + I3, 0)</f>
        <v>0</v>
      </c>
      <c r="J4" s="1">
        <f>C4-((ABS(SUM(PL!E4:H4)))*0.125)</f>
        <v>0</v>
      </c>
      <c r="K4" s="1">
        <f>D4-((ABS(SUM(PL!I4:L4)))*0.125)</f>
        <v>0</v>
      </c>
      <c r="L4" s="1">
        <f>J4 + K4</f>
        <v>0</v>
      </c>
      <c r="M4" s="1">
        <f>IF(J4 + M3 &lt; 0, J4 + M3, 0)</f>
        <v>0</v>
      </c>
      <c r="N4" s="1">
        <f>IF(K4 + N3 &lt; 0, K4 + N3, 0)</f>
        <v>0</v>
      </c>
      <c r="O4" s="1">
        <f>IF(L4 + O3 &lt; 0, L4 + O3, 0)</f>
        <v>0</v>
      </c>
      <c r="P4" s="1">
        <f>IF(O4 &lt; 0, 1 + P3, 0)</f>
        <v>0</v>
      </c>
      <c r="Q4" s="1">
        <f>IF(E4&lt;0,1,0)</f>
        <v>0</v>
      </c>
      <c r="R4" s="1">
        <f>IF(Q4=1,E4,0)</f>
        <v>0</v>
      </c>
      <c r="S4" s="1">
        <f>IF(E4&gt;0,1,0)</f>
        <v>0</v>
      </c>
      <c r="T4" s="1">
        <f>IF(S4=1,E4,0)</f>
        <v>0</v>
      </c>
      <c r="U4" s="1">
        <f>IF(R4&lt;-100000000/100,1,0)</f>
        <v>0</v>
      </c>
      <c r="V4" s="1">
        <f>IF(T4&gt;100000000/100,1,0)</f>
        <v>0</v>
      </c>
      <c r="W4" s="1">
        <f>IF(L4&lt;0,1,0)</f>
        <v>0</v>
      </c>
      <c r="X4" s="1">
        <f>IF(W4=1,L4,0)</f>
        <v>0</v>
      </c>
      <c r="Y4" s="1">
        <f>IF(L4&gt;0,1,0)</f>
        <v>0</v>
      </c>
      <c r="Z4" s="1">
        <f>IF(Y4=1,L4,0)</f>
        <v>0</v>
      </c>
      <c r="AA4" s="1">
        <f>IF(X4&lt;-100000000/100,1,0)</f>
        <v>0</v>
      </c>
      <c r="AB4" s="1">
        <f>IF(Z4&gt;100000000/100,1,0)</f>
        <v>0</v>
      </c>
    </row>
    <row r="5" spans="1:28" s="1" customFormat="1">
      <c r="A5" s="3">
        <v>44932</v>
      </c>
      <c r="B5" s="2" t="s">
        <v>15</v>
      </c>
      <c r="C5" s="1">
        <f>SUM(PL!E5:H5)</f>
        <v>0</v>
      </c>
      <c r="D5" s="1">
        <f>SUM(PL!I5:L5)</f>
        <v>0</v>
      </c>
      <c r="E5" s="1">
        <f>SUM(C5:D5)</f>
        <v>0</v>
      </c>
      <c r="F5" s="1">
        <f>IF(C5 + F4 &lt; 0, C5 + F4, 0)</f>
        <v>0</v>
      </c>
      <c r="G5" s="1">
        <f>IF(D5 + G4 &lt; 0, D5 + G4, 0)</f>
        <v>0</v>
      </c>
      <c r="H5" s="1">
        <f>IF(E5 + H4 &lt; 0, E5 + H4, 0)</f>
        <v>0</v>
      </c>
      <c r="I5" s="1">
        <f>IF(H5 &lt; 0, 1 + I4, 0)</f>
        <v>0</v>
      </c>
      <c r="J5" s="1">
        <f>C5-((ABS(SUM(PL!E5:H5)))*0.125)</f>
        <v>0</v>
      </c>
      <c r="K5" s="1">
        <f>D5-((ABS(SUM(PL!I5:L5)))*0.125)</f>
        <v>0</v>
      </c>
      <c r="L5" s="1">
        <f>J5 + K5</f>
        <v>0</v>
      </c>
      <c r="M5" s="1">
        <f>IF(J5 + M4 &lt; 0, J5 + M4, 0)</f>
        <v>0</v>
      </c>
      <c r="N5" s="1">
        <f>IF(K5 + N4 &lt; 0, K5 + N4, 0)</f>
        <v>0</v>
      </c>
      <c r="O5" s="1">
        <f>IF(L5 + O4 &lt; 0, L5 + O4, 0)</f>
        <v>0</v>
      </c>
      <c r="P5" s="1">
        <f>IF(O5 &lt; 0, 1 + P4, 0)</f>
        <v>0</v>
      </c>
      <c r="Q5" s="1">
        <f>IF(E5&lt;0,1,0)</f>
        <v>0</v>
      </c>
      <c r="R5" s="1">
        <f>IF(Q5=1,E5,0)</f>
        <v>0</v>
      </c>
      <c r="S5" s="1">
        <f>IF(E5&gt;0,1,0)</f>
        <v>0</v>
      </c>
      <c r="T5" s="1">
        <f>IF(S5=1,E5,0)</f>
        <v>0</v>
      </c>
      <c r="U5" s="1">
        <f>IF(R5&lt;-100000000/100,1,0)</f>
        <v>0</v>
      </c>
      <c r="V5" s="1">
        <f>IF(T5&gt;100000000/100,1,0)</f>
        <v>0</v>
      </c>
      <c r="W5" s="1">
        <f>IF(L5&lt;0,1,0)</f>
        <v>0</v>
      </c>
      <c r="X5" s="1">
        <f>IF(W5=1,L5,0)</f>
        <v>0</v>
      </c>
      <c r="Y5" s="1">
        <f>IF(L5&gt;0,1,0)</f>
        <v>0</v>
      </c>
      <c r="Z5" s="1">
        <f>IF(Y5=1,L5,0)</f>
        <v>0</v>
      </c>
      <c r="AA5" s="1">
        <f>IF(X5&lt;-100000000/100,1,0)</f>
        <v>0</v>
      </c>
      <c r="AB5" s="1">
        <f>IF(Z5&gt;100000000/100,1,0)</f>
        <v>0</v>
      </c>
    </row>
    <row r="6" spans="1:28" s="1" customFormat="1">
      <c r="A6" s="3">
        <v>44938</v>
      </c>
      <c r="B6" s="2" t="s">
        <v>16</v>
      </c>
      <c r="C6" s="1">
        <f>SUM(PL!E6:H6)</f>
        <v>0</v>
      </c>
      <c r="D6" s="1">
        <f>SUM(PL!I6:L6)</f>
        <v>0</v>
      </c>
      <c r="E6" s="1">
        <f>SUM(C6:D6)</f>
        <v>0</v>
      </c>
      <c r="F6" s="1">
        <f>IF(C6 + F5 &lt; 0, C6 + F5, 0)</f>
        <v>0</v>
      </c>
      <c r="G6" s="1">
        <f>IF(D6 + G5 &lt; 0, D6 + G5, 0)</f>
        <v>0</v>
      </c>
      <c r="H6" s="1">
        <f>IF(E6 + H5 &lt; 0, E6 + H5, 0)</f>
        <v>0</v>
      </c>
      <c r="I6" s="1">
        <f>IF(H6 &lt; 0, 1 + I5, 0)</f>
        <v>0</v>
      </c>
      <c r="J6" s="1">
        <f>C6-((ABS(SUM(PL!E6:H6)))*0.125)</f>
        <v>0</v>
      </c>
      <c r="K6" s="1">
        <f>D6-((ABS(SUM(PL!I6:L6)))*0.125)</f>
        <v>0</v>
      </c>
      <c r="L6" s="1">
        <f>J6 + K6</f>
        <v>0</v>
      </c>
      <c r="M6" s="1">
        <f>IF(J6 + M5 &lt; 0, J6 + M5, 0)</f>
        <v>0</v>
      </c>
      <c r="N6" s="1">
        <f>IF(K6 + N5 &lt; 0, K6 + N5, 0)</f>
        <v>0</v>
      </c>
      <c r="O6" s="1">
        <f>IF(L6 + O5 &lt; 0, L6 + O5, 0)</f>
        <v>0</v>
      </c>
      <c r="P6" s="1">
        <f>IF(O6 &lt; 0, 1 + P5, 0)</f>
        <v>0</v>
      </c>
      <c r="Q6" s="1">
        <f>IF(E6&lt;0,1,0)</f>
        <v>0</v>
      </c>
      <c r="R6" s="1">
        <f>IF(Q6=1,E6,0)</f>
        <v>0</v>
      </c>
      <c r="S6" s="1">
        <f>IF(E6&gt;0,1,0)</f>
        <v>0</v>
      </c>
      <c r="T6" s="1">
        <f>IF(S6=1,E6,0)</f>
        <v>0</v>
      </c>
      <c r="U6" s="1">
        <f>IF(R6&lt;-100000000/100,1,0)</f>
        <v>0</v>
      </c>
      <c r="V6" s="1">
        <f>IF(T6&gt;100000000/100,1,0)</f>
        <v>0</v>
      </c>
      <c r="W6" s="1">
        <f>IF(L6&lt;0,1,0)</f>
        <v>0</v>
      </c>
      <c r="X6" s="1">
        <f>IF(W6=1,L6,0)</f>
        <v>0</v>
      </c>
      <c r="Y6" s="1">
        <f>IF(L6&gt;0,1,0)</f>
        <v>0</v>
      </c>
      <c r="Z6" s="1">
        <f>IF(Y6=1,L6,0)</f>
        <v>0</v>
      </c>
      <c r="AA6" s="1">
        <f>IF(X6&lt;-100000000/100,1,0)</f>
        <v>0</v>
      </c>
      <c r="AB6" s="1">
        <f>IF(Z6&gt;100000000/100,1,0)</f>
        <v>0</v>
      </c>
    </row>
    <row r="7" spans="1:28" s="1" customFormat="1">
      <c r="A7" s="3">
        <v>44939</v>
      </c>
      <c r="B7" s="2" t="s">
        <v>15</v>
      </c>
      <c r="C7" s="1">
        <f>SUM(PL!E7:H7)</f>
        <v>0</v>
      </c>
      <c r="D7" s="1">
        <f>SUM(PL!I7:L7)</f>
        <v>0</v>
      </c>
      <c r="E7" s="1">
        <f>SUM(C7:D7)</f>
        <v>0</v>
      </c>
      <c r="F7" s="1">
        <f>IF(C7 + F6 &lt; 0, C7 + F6, 0)</f>
        <v>0</v>
      </c>
      <c r="G7" s="1">
        <f>IF(D7 + G6 &lt; 0, D7 + G6, 0)</f>
        <v>0</v>
      </c>
      <c r="H7" s="1">
        <f>IF(E7 + H6 &lt; 0, E7 + H6, 0)</f>
        <v>0</v>
      </c>
      <c r="I7" s="1">
        <f>IF(H7 &lt; 0, 1 + I6, 0)</f>
        <v>0</v>
      </c>
      <c r="J7" s="1">
        <f>C7-((ABS(SUM(PL!E7:H7)))*0.125)</f>
        <v>0</v>
      </c>
      <c r="K7" s="1">
        <f>D7-((ABS(SUM(PL!I7:L7)))*0.125)</f>
        <v>0</v>
      </c>
      <c r="L7" s="1">
        <f>J7 + K7</f>
        <v>0</v>
      </c>
      <c r="M7" s="1">
        <f>IF(J7 + M6 &lt; 0, J7 + M6, 0)</f>
        <v>0</v>
      </c>
      <c r="N7" s="1">
        <f>IF(K7 + N6 &lt; 0, K7 + N6, 0)</f>
        <v>0</v>
      </c>
      <c r="O7" s="1">
        <f>IF(L7 + O6 &lt; 0, L7 + O6, 0)</f>
        <v>0</v>
      </c>
      <c r="P7" s="1">
        <f>IF(O7 &lt; 0, 1 + P6, 0)</f>
        <v>0</v>
      </c>
      <c r="Q7" s="1">
        <f>IF(E7&lt;0,1,0)</f>
        <v>0</v>
      </c>
      <c r="R7" s="1">
        <f>IF(Q7=1,E7,0)</f>
        <v>0</v>
      </c>
      <c r="S7" s="1">
        <f>IF(E7&gt;0,1,0)</f>
        <v>0</v>
      </c>
      <c r="T7" s="1">
        <f>IF(S7=1,E7,0)</f>
        <v>0</v>
      </c>
      <c r="U7" s="1">
        <f>IF(R7&lt;-100000000/100,1,0)</f>
        <v>0</v>
      </c>
      <c r="V7" s="1">
        <f>IF(T7&gt;100000000/100,1,0)</f>
        <v>0</v>
      </c>
      <c r="W7" s="1">
        <f>IF(L7&lt;0,1,0)</f>
        <v>0</v>
      </c>
      <c r="X7" s="1">
        <f>IF(W7=1,L7,0)</f>
        <v>0</v>
      </c>
      <c r="Y7" s="1">
        <f>IF(L7&gt;0,1,0)</f>
        <v>0</v>
      </c>
      <c r="Z7" s="1">
        <f>IF(Y7=1,L7,0)</f>
        <v>0</v>
      </c>
      <c r="AA7" s="1">
        <f>IF(X7&lt;-100000000/100,1,0)</f>
        <v>0</v>
      </c>
      <c r="AB7" s="1">
        <f>IF(Z7&gt;100000000/100,1,0)</f>
        <v>0</v>
      </c>
    </row>
    <row r="8" spans="1:28" s="1" customFormat="1">
      <c r="A8" s="3">
        <v>44942</v>
      </c>
      <c r="B8" s="2" t="s">
        <v>12</v>
      </c>
      <c r="C8" s="1">
        <f>SUM(PL!E8:H8)</f>
        <v>0</v>
      </c>
      <c r="D8" s="1">
        <f>SUM(PL!I8:L8)</f>
        <v>0</v>
      </c>
      <c r="E8" s="1">
        <f>SUM(C8:D8)</f>
        <v>0</v>
      </c>
      <c r="F8" s="1">
        <f>IF(C8 + F7 &lt; 0, C8 + F7, 0)</f>
        <v>0</v>
      </c>
      <c r="G8" s="1">
        <f>IF(D8 + G7 &lt; 0, D8 + G7, 0)</f>
        <v>0</v>
      </c>
      <c r="H8" s="1">
        <f>IF(E8 + H7 &lt; 0, E8 + H7, 0)</f>
        <v>0</v>
      </c>
      <c r="I8" s="1">
        <f>IF(H8 &lt; 0, 1 + I7, 0)</f>
        <v>0</v>
      </c>
      <c r="J8" s="1">
        <f>C8-((ABS(SUM(PL!E8:H8)))*0.125)</f>
        <v>0</v>
      </c>
      <c r="K8" s="1">
        <f>D8-((ABS(SUM(PL!I8:L8)))*0.125)</f>
        <v>0</v>
      </c>
      <c r="L8" s="1">
        <f>J8 + K8</f>
        <v>0</v>
      </c>
      <c r="M8" s="1">
        <f>IF(J8 + M7 &lt; 0, J8 + M7, 0)</f>
        <v>0</v>
      </c>
      <c r="N8" s="1">
        <f>IF(K8 + N7 &lt; 0, K8 + N7, 0)</f>
        <v>0</v>
      </c>
      <c r="O8" s="1">
        <f>IF(L8 + O7 &lt; 0, L8 + O7, 0)</f>
        <v>0</v>
      </c>
      <c r="P8" s="1">
        <f>IF(O8 &lt; 0, 1 + P7, 0)</f>
        <v>0</v>
      </c>
      <c r="Q8" s="1">
        <f>IF(E8&lt;0,1,0)</f>
        <v>0</v>
      </c>
      <c r="R8" s="1">
        <f>IF(Q8=1,E8,0)</f>
        <v>0</v>
      </c>
      <c r="S8" s="1">
        <f>IF(E8&gt;0,1,0)</f>
        <v>0</v>
      </c>
      <c r="T8" s="1">
        <f>IF(S8=1,E8,0)</f>
        <v>0</v>
      </c>
      <c r="U8" s="1">
        <f>IF(R8&lt;-100000000/100,1,0)</f>
        <v>0</v>
      </c>
      <c r="V8" s="1">
        <f>IF(T8&gt;100000000/100,1,0)</f>
        <v>0</v>
      </c>
      <c r="W8" s="1">
        <f>IF(L8&lt;0,1,0)</f>
        <v>0</v>
      </c>
      <c r="X8" s="1">
        <f>IF(W8=1,L8,0)</f>
        <v>0</v>
      </c>
      <c r="Y8" s="1">
        <f>IF(L8&gt;0,1,0)</f>
        <v>0</v>
      </c>
      <c r="Z8" s="1">
        <f>IF(Y8=1,L8,0)</f>
        <v>0</v>
      </c>
      <c r="AA8" s="1">
        <f>IF(X8&lt;-100000000/100,1,0)</f>
        <v>0</v>
      </c>
      <c r="AB8" s="1">
        <f>IF(Z8&gt;100000000/100,1,0)</f>
        <v>0</v>
      </c>
    </row>
    <row r="9" spans="1:28" s="1" customFormat="1">
      <c r="A9" s="3">
        <v>44943</v>
      </c>
      <c r="B9" s="2" t="s">
        <v>13</v>
      </c>
      <c r="C9" s="1">
        <f>SUM(PL!E9:H9)</f>
        <v>0</v>
      </c>
      <c r="D9" s="1">
        <f>SUM(PL!I9:L9)</f>
        <v>0</v>
      </c>
      <c r="E9" s="1">
        <f>SUM(C9:D9)</f>
        <v>0</v>
      </c>
      <c r="F9" s="1">
        <f>IF(C9 + F8 &lt; 0, C9 + F8, 0)</f>
        <v>0</v>
      </c>
      <c r="G9" s="1">
        <f>IF(D9 + G8 &lt; 0, D9 + G8, 0)</f>
        <v>0</v>
      </c>
      <c r="H9" s="1">
        <f>IF(E9 + H8 &lt; 0, E9 + H8, 0)</f>
        <v>0</v>
      </c>
      <c r="I9" s="1">
        <f>IF(H9 &lt; 0, 1 + I8, 0)</f>
        <v>0</v>
      </c>
      <c r="J9" s="1">
        <f>C9-((ABS(SUM(PL!E9:H9)))*0.125)</f>
        <v>0</v>
      </c>
      <c r="K9" s="1">
        <f>D9-((ABS(SUM(PL!I9:L9)))*0.125)</f>
        <v>0</v>
      </c>
      <c r="L9" s="1">
        <f>J9 + K9</f>
        <v>0</v>
      </c>
      <c r="M9" s="1">
        <f>IF(J9 + M8 &lt; 0, J9 + M8, 0)</f>
        <v>0</v>
      </c>
      <c r="N9" s="1">
        <f>IF(K9 + N8 &lt; 0, K9 + N8, 0)</f>
        <v>0</v>
      </c>
      <c r="O9" s="1">
        <f>IF(L9 + O8 &lt; 0, L9 + O8, 0)</f>
        <v>0</v>
      </c>
      <c r="P9" s="1">
        <f>IF(O9 &lt; 0, 1 + P8, 0)</f>
        <v>0</v>
      </c>
      <c r="Q9" s="1">
        <f>IF(E9&lt;0,1,0)</f>
        <v>0</v>
      </c>
      <c r="R9" s="1">
        <f>IF(Q9=1,E9,0)</f>
        <v>0</v>
      </c>
      <c r="S9" s="1">
        <f>IF(E9&gt;0,1,0)</f>
        <v>0</v>
      </c>
      <c r="T9" s="1">
        <f>IF(S9=1,E9,0)</f>
        <v>0</v>
      </c>
      <c r="U9" s="1">
        <f>IF(R9&lt;-100000000/100,1,0)</f>
        <v>0</v>
      </c>
      <c r="V9" s="1">
        <f>IF(T9&gt;100000000/100,1,0)</f>
        <v>0</v>
      </c>
      <c r="W9" s="1">
        <f>IF(L9&lt;0,1,0)</f>
        <v>0</v>
      </c>
      <c r="X9" s="1">
        <f>IF(W9=1,L9,0)</f>
        <v>0</v>
      </c>
      <c r="Y9" s="1">
        <f>IF(L9&gt;0,1,0)</f>
        <v>0</v>
      </c>
      <c r="Z9" s="1">
        <f>IF(Y9=1,L9,0)</f>
        <v>0</v>
      </c>
      <c r="AA9" s="1">
        <f>IF(X9&lt;-100000000/100,1,0)</f>
        <v>0</v>
      </c>
      <c r="AB9" s="1">
        <f>IF(Z9&gt;100000000/100,1,0)</f>
        <v>0</v>
      </c>
    </row>
    <row r="10" spans="1:28" s="1" customFormat="1">
      <c r="A10" s="3">
        <v>44944</v>
      </c>
      <c r="B10" s="2" t="s">
        <v>14</v>
      </c>
      <c r="C10" s="1">
        <f>SUM(PL!E10:H10)</f>
        <v>0</v>
      </c>
      <c r="D10" s="1">
        <f>SUM(PL!I10:L10)</f>
        <v>0</v>
      </c>
      <c r="E10" s="1">
        <f>SUM(C10:D10)</f>
        <v>0</v>
      </c>
      <c r="F10" s="1">
        <f>IF(C10 + F9 &lt; 0, C10 + F9, 0)</f>
        <v>0</v>
      </c>
      <c r="G10" s="1">
        <f>IF(D10 + G9 &lt; 0, D10 + G9, 0)</f>
        <v>0</v>
      </c>
      <c r="H10" s="1">
        <f>IF(E10 + H9 &lt; 0, E10 + H9, 0)</f>
        <v>0</v>
      </c>
      <c r="I10" s="1">
        <f>IF(H10 &lt; 0, 1 + I9, 0)</f>
        <v>0</v>
      </c>
      <c r="J10" s="1">
        <f>C10-((ABS(SUM(PL!E10:H10)))*0.125)</f>
        <v>0</v>
      </c>
      <c r="K10" s="1">
        <f>D10-((ABS(SUM(PL!I10:L10)))*0.125)</f>
        <v>0</v>
      </c>
      <c r="L10" s="1">
        <f>J10 + K10</f>
        <v>0</v>
      </c>
      <c r="M10" s="1">
        <f>IF(J10 + M9 &lt; 0, J10 + M9, 0)</f>
        <v>0</v>
      </c>
      <c r="N10" s="1">
        <f>IF(K10 + N9 &lt; 0, K10 + N9, 0)</f>
        <v>0</v>
      </c>
      <c r="O10" s="1">
        <f>IF(L10 + O9 &lt; 0, L10 + O9, 0)</f>
        <v>0</v>
      </c>
      <c r="P10" s="1">
        <f>IF(O10 &lt; 0, 1 + P9, 0)</f>
        <v>0</v>
      </c>
      <c r="Q10" s="1">
        <f>IF(E10&lt;0,1,0)</f>
        <v>0</v>
      </c>
      <c r="R10" s="1">
        <f>IF(Q10=1,E10,0)</f>
        <v>0</v>
      </c>
      <c r="S10" s="1">
        <f>IF(E10&gt;0,1,0)</f>
        <v>0</v>
      </c>
      <c r="T10" s="1">
        <f>IF(S10=1,E10,0)</f>
        <v>0</v>
      </c>
      <c r="U10" s="1">
        <f>IF(R10&lt;-100000000/100,1,0)</f>
        <v>0</v>
      </c>
      <c r="V10" s="1">
        <f>IF(T10&gt;100000000/100,1,0)</f>
        <v>0</v>
      </c>
      <c r="W10" s="1">
        <f>IF(L10&lt;0,1,0)</f>
        <v>0</v>
      </c>
      <c r="X10" s="1">
        <f>IF(W10=1,L10,0)</f>
        <v>0</v>
      </c>
      <c r="Y10" s="1">
        <f>IF(L10&gt;0,1,0)</f>
        <v>0</v>
      </c>
      <c r="Z10" s="1">
        <f>IF(Y10=1,L10,0)</f>
        <v>0</v>
      </c>
      <c r="AA10" s="1">
        <f>IF(X10&lt;-100000000/100,1,0)</f>
        <v>0</v>
      </c>
      <c r="AB10" s="1">
        <f>IF(Z10&gt;100000000/100,1,0)</f>
        <v>0</v>
      </c>
    </row>
    <row r="11" spans="1:28" s="1" customFormat="1">
      <c r="A11" s="3">
        <v>44945</v>
      </c>
      <c r="B11" s="2" t="s">
        <v>16</v>
      </c>
      <c r="C11" s="1">
        <f>SUM(PL!E11:H11)</f>
        <v>0</v>
      </c>
      <c r="D11" s="1">
        <f>SUM(PL!I11:L11)</f>
        <v>0</v>
      </c>
      <c r="E11" s="1">
        <f>SUM(C11:D11)</f>
        <v>0</v>
      </c>
      <c r="F11" s="1">
        <f>IF(C11 + F10 &lt; 0, C11 + F10, 0)</f>
        <v>0</v>
      </c>
      <c r="G11" s="1">
        <f>IF(D11 + G10 &lt; 0, D11 + G10, 0)</f>
        <v>0</v>
      </c>
      <c r="H11" s="1">
        <f>IF(E11 + H10 &lt; 0, E11 + H10, 0)</f>
        <v>0</v>
      </c>
      <c r="I11" s="1">
        <f>IF(H11 &lt; 0, 1 + I10, 0)</f>
        <v>0</v>
      </c>
      <c r="J11" s="1">
        <f>C11-((ABS(SUM(PL!E11:H11)))*0.125)</f>
        <v>0</v>
      </c>
      <c r="K11" s="1">
        <f>D11-((ABS(SUM(PL!I11:L11)))*0.125)</f>
        <v>0</v>
      </c>
      <c r="L11" s="1">
        <f>J11 + K11</f>
        <v>0</v>
      </c>
      <c r="M11" s="1">
        <f>IF(J11 + M10 &lt; 0, J11 + M10, 0)</f>
        <v>0</v>
      </c>
      <c r="N11" s="1">
        <f>IF(K11 + N10 &lt; 0, K11 + N10, 0)</f>
        <v>0</v>
      </c>
      <c r="O11" s="1">
        <f>IF(L11 + O10 &lt; 0, L11 + O10, 0)</f>
        <v>0</v>
      </c>
      <c r="P11" s="1">
        <f>IF(O11 &lt; 0, 1 + P10, 0)</f>
        <v>0</v>
      </c>
      <c r="Q11" s="1">
        <f>IF(E11&lt;0,1,0)</f>
        <v>0</v>
      </c>
      <c r="R11" s="1">
        <f>IF(Q11=1,E11,0)</f>
        <v>0</v>
      </c>
      <c r="S11" s="1">
        <f>IF(E11&gt;0,1,0)</f>
        <v>0</v>
      </c>
      <c r="T11" s="1">
        <f>IF(S11=1,E11,0)</f>
        <v>0</v>
      </c>
      <c r="U11" s="1">
        <f>IF(R11&lt;-100000000/100,1,0)</f>
        <v>0</v>
      </c>
      <c r="V11" s="1">
        <f>IF(T11&gt;100000000/100,1,0)</f>
        <v>0</v>
      </c>
      <c r="W11" s="1">
        <f>IF(L11&lt;0,1,0)</f>
        <v>0</v>
      </c>
      <c r="X11" s="1">
        <f>IF(W11=1,L11,0)</f>
        <v>0</v>
      </c>
      <c r="Y11" s="1">
        <f>IF(L11&gt;0,1,0)</f>
        <v>0</v>
      </c>
      <c r="Z11" s="1">
        <f>IF(Y11=1,L11,0)</f>
        <v>0</v>
      </c>
      <c r="AA11" s="1">
        <f>IF(X11&lt;-100000000/100,1,0)</f>
        <v>0</v>
      </c>
      <c r="AB11" s="1">
        <f>IF(Z11&gt;100000000/100,1,0)</f>
        <v>0</v>
      </c>
    </row>
    <row r="12" spans="1:28" s="1" customFormat="1">
      <c r="A12" s="3">
        <v>44946</v>
      </c>
      <c r="B12" s="2" t="s">
        <v>15</v>
      </c>
      <c r="C12" s="1">
        <f>SUM(PL!E12:H12)</f>
        <v>0</v>
      </c>
      <c r="D12" s="1">
        <f>SUM(PL!I12:L12)</f>
        <v>0</v>
      </c>
      <c r="E12" s="1">
        <f>SUM(C12:D12)</f>
        <v>0</v>
      </c>
      <c r="F12" s="1">
        <f>IF(C12 + F11 &lt; 0, C12 + F11, 0)</f>
        <v>0</v>
      </c>
      <c r="G12" s="1">
        <f>IF(D12 + G11 &lt; 0, D12 + G11, 0)</f>
        <v>0</v>
      </c>
      <c r="H12" s="1">
        <f>IF(E12 + H11 &lt; 0, E12 + H11, 0)</f>
        <v>0</v>
      </c>
      <c r="I12" s="1">
        <f>IF(H12 &lt; 0, 1 + I11, 0)</f>
        <v>0</v>
      </c>
      <c r="J12" s="1">
        <f>C12-((ABS(SUM(PL!E12:H12)))*0.125)</f>
        <v>0</v>
      </c>
      <c r="K12" s="1">
        <f>D12-((ABS(SUM(PL!I12:L12)))*0.125)</f>
        <v>0</v>
      </c>
      <c r="L12" s="1">
        <f>J12 + K12</f>
        <v>0</v>
      </c>
      <c r="M12" s="1">
        <f>IF(J12 + M11 &lt; 0, J12 + M11, 0)</f>
        <v>0</v>
      </c>
      <c r="N12" s="1">
        <f>IF(K12 + N11 &lt; 0, K12 + N11, 0)</f>
        <v>0</v>
      </c>
      <c r="O12" s="1">
        <f>IF(L12 + O11 &lt; 0, L12 + O11, 0)</f>
        <v>0</v>
      </c>
      <c r="P12" s="1">
        <f>IF(O12 &lt; 0, 1 + P11, 0)</f>
        <v>0</v>
      </c>
      <c r="Q12" s="1">
        <f>IF(E12&lt;0,1,0)</f>
        <v>0</v>
      </c>
      <c r="R12" s="1">
        <f>IF(Q12=1,E12,0)</f>
        <v>0</v>
      </c>
      <c r="S12" s="1">
        <f>IF(E12&gt;0,1,0)</f>
        <v>0</v>
      </c>
      <c r="T12" s="1">
        <f>IF(S12=1,E12,0)</f>
        <v>0</v>
      </c>
      <c r="U12" s="1">
        <f>IF(R12&lt;-100000000/100,1,0)</f>
        <v>0</v>
      </c>
      <c r="V12" s="1">
        <f>IF(T12&gt;100000000/100,1,0)</f>
        <v>0</v>
      </c>
      <c r="W12" s="1">
        <f>IF(L12&lt;0,1,0)</f>
        <v>0</v>
      </c>
      <c r="X12" s="1">
        <f>IF(W12=1,L12,0)</f>
        <v>0</v>
      </c>
      <c r="Y12" s="1">
        <f>IF(L12&gt;0,1,0)</f>
        <v>0</v>
      </c>
      <c r="Z12" s="1">
        <f>IF(Y12=1,L12,0)</f>
        <v>0</v>
      </c>
      <c r="AA12" s="1">
        <f>IF(X12&lt;-100000000/100,1,0)</f>
        <v>0</v>
      </c>
      <c r="AB12" s="1">
        <f>IF(Z12&gt;100000000/100,1,0)</f>
        <v>0</v>
      </c>
    </row>
    <row r="13" spans="1:28" s="1" customFormat="1">
      <c r="A13" s="3">
        <v>44949</v>
      </c>
      <c r="B13" s="2" t="s">
        <v>12</v>
      </c>
      <c r="C13" s="1">
        <f>SUM(PL!E13:H13)</f>
        <v>0</v>
      </c>
      <c r="D13" s="1">
        <f>SUM(PL!I13:L13)</f>
        <v>0</v>
      </c>
      <c r="E13" s="1">
        <f>SUM(C13:D13)</f>
        <v>0</v>
      </c>
      <c r="F13" s="1">
        <f>IF(C13 + F12 &lt; 0, C13 + F12, 0)</f>
        <v>0</v>
      </c>
      <c r="G13" s="1">
        <f>IF(D13 + G12 &lt; 0, D13 + G12, 0)</f>
        <v>0</v>
      </c>
      <c r="H13" s="1">
        <f>IF(E13 + H12 &lt; 0, E13 + H12, 0)</f>
        <v>0</v>
      </c>
      <c r="I13" s="1">
        <f>IF(H13 &lt; 0, 1 + I12, 0)</f>
        <v>0</v>
      </c>
      <c r="J13" s="1">
        <f>C13-((ABS(SUM(PL!E13:H13)))*0.125)</f>
        <v>0</v>
      </c>
      <c r="K13" s="1">
        <f>D13-((ABS(SUM(PL!I13:L13)))*0.125)</f>
        <v>0</v>
      </c>
      <c r="L13" s="1">
        <f>J13 + K13</f>
        <v>0</v>
      </c>
      <c r="M13" s="1">
        <f>IF(J13 + M12 &lt; 0, J13 + M12, 0)</f>
        <v>0</v>
      </c>
      <c r="N13" s="1">
        <f>IF(K13 + N12 &lt; 0, K13 + N12, 0)</f>
        <v>0</v>
      </c>
      <c r="O13" s="1">
        <f>IF(L13 + O12 &lt; 0, L13 + O12, 0)</f>
        <v>0</v>
      </c>
      <c r="P13" s="1">
        <f>IF(O13 &lt; 0, 1 + P12, 0)</f>
        <v>0</v>
      </c>
      <c r="Q13" s="1">
        <f>IF(E13&lt;0,1,0)</f>
        <v>0</v>
      </c>
      <c r="R13" s="1">
        <f>IF(Q13=1,E13,0)</f>
        <v>0</v>
      </c>
      <c r="S13" s="1">
        <f>IF(E13&gt;0,1,0)</f>
        <v>0</v>
      </c>
      <c r="T13" s="1">
        <f>IF(S13=1,E13,0)</f>
        <v>0</v>
      </c>
      <c r="U13" s="1">
        <f>IF(R13&lt;-100000000/100,1,0)</f>
        <v>0</v>
      </c>
      <c r="V13" s="1">
        <f>IF(T13&gt;100000000/100,1,0)</f>
        <v>0</v>
      </c>
      <c r="W13" s="1">
        <f>IF(L13&lt;0,1,0)</f>
        <v>0</v>
      </c>
      <c r="X13" s="1">
        <f>IF(W13=1,L13,0)</f>
        <v>0</v>
      </c>
      <c r="Y13" s="1">
        <f>IF(L13&gt;0,1,0)</f>
        <v>0</v>
      </c>
      <c r="Z13" s="1">
        <f>IF(Y13=1,L13,0)</f>
        <v>0</v>
      </c>
      <c r="AA13" s="1">
        <f>IF(X13&lt;-100000000/100,1,0)</f>
        <v>0</v>
      </c>
      <c r="AB13" s="1">
        <f>IF(Z13&gt;100000000/100,1,0)</f>
        <v>0</v>
      </c>
    </row>
    <row r="14" spans="1:28" s="1" customFormat="1">
      <c r="A14" s="3">
        <v>44950</v>
      </c>
      <c r="B14" s="2" t="s">
        <v>13</v>
      </c>
      <c r="C14" s="1">
        <f>SUM(PL!E14:H14)</f>
        <v>0</v>
      </c>
      <c r="D14" s="1">
        <f>SUM(PL!I14:L14)</f>
        <v>0</v>
      </c>
      <c r="E14" s="1">
        <f>SUM(C14:D14)</f>
        <v>0</v>
      </c>
      <c r="F14" s="1">
        <f>IF(C14 + F13 &lt; 0, C14 + F13, 0)</f>
        <v>0</v>
      </c>
      <c r="G14" s="1">
        <f>IF(D14 + G13 &lt; 0, D14 + G13, 0)</f>
        <v>0</v>
      </c>
      <c r="H14" s="1">
        <f>IF(E14 + H13 &lt; 0, E14 + H13, 0)</f>
        <v>0</v>
      </c>
      <c r="I14" s="1">
        <f>IF(H14 &lt; 0, 1 + I13, 0)</f>
        <v>0</v>
      </c>
      <c r="J14" s="1">
        <f>C14-((ABS(SUM(PL!E14:H14)))*0.125)</f>
        <v>0</v>
      </c>
      <c r="K14" s="1">
        <f>D14-((ABS(SUM(PL!I14:L14)))*0.125)</f>
        <v>0</v>
      </c>
      <c r="L14" s="1">
        <f>J14 + K14</f>
        <v>0</v>
      </c>
      <c r="M14" s="1">
        <f>IF(J14 + M13 &lt; 0, J14 + M13, 0)</f>
        <v>0</v>
      </c>
      <c r="N14" s="1">
        <f>IF(K14 + N13 &lt; 0, K14 + N13, 0)</f>
        <v>0</v>
      </c>
      <c r="O14" s="1">
        <f>IF(L14 + O13 &lt; 0, L14 + O13, 0)</f>
        <v>0</v>
      </c>
      <c r="P14" s="1">
        <f>IF(O14 &lt; 0, 1 + P13, 0)</f>
        <v>0</v>
      </c>
      <c r="Q14" s="1">
        <f>IF(E14&lt;0,1,0)</f>
        <v>0</v>
      </c>
      <c r="R14" s="1">
        <f>IF(Q14=1,E14,0)</f>
        <v>0</v>
      </c>
      <c r="S14" s="1">
        <f>IF(E14&gt;0,1,0)</f>
        <v>0</v>
      </c>
      <c r="T14" s="1">
        <f>IF(S14=1,E14,0)</f>
        <v>0</v>
      </c>
      <c r="U14" s="1">
        <f>IF(R14&lt;-100000000/100,1,0)</f>
        <v>0</v>
      </c>
      <c r="V14" s="1">
        <f>IF(T14&gt;100000000/100,1,0)</f>
        <v>0</v>
      </c>
      <c r="W14" s="1">
        <f>IF(L14&lt;0,1,0)</f>
        <v>0</v>
      </c>
      <c r="X14" s="1">
        <f>IF(W14=1,L14,0)</f>
        <v>0</v>
      </c>
      <c r="Y14" s="1">
        <f>IF(L14&gt;0,1,0)</f>
        <v>0</v>
      </c>
      <c r="Z14" s="1">
        <f>IF(Y14=1,L14,0)</f>
        <v>0</v>
      </c>
      <c r="AA14" s="1">
        <f>IF(X14&lt;-100000000/100,1,0)</f>
        <v>0</v>
      </c>
      <c r="AB14" s="1">
        <f>IF(Z14&gt;100000000/100,1,0)</f>
        <v>0</v>
      </c>
    </row>
    <row r="15" spans="1:28" s="1" customFormat="1">
      <c r="A15" s="3">
        <v>44951</v>
      </c>
      <c r="B15" s="2" t="s">
        <v>14</v>
      </c>
      <c r="C15" s="1">
        <f>SUM(PL!E15:H15)</f>
        <v>0</v>
      </c>
      <c r="D15" s="1">
        <f>SUM(PL!I15:L15)</f>
        <v>0</v>
      </c>
      <c r="E15" s="1">
        <f>SUM(C15:D15)</f>
        <v>0</v>
      </c>
      <c r="F15" s="1">
        <f>IF(C15 + F14 &lt; 0, C15 + F14, 0)</f>
        <v>0</v>
      </c>
      <c r="G15" s="1">
        <f>IF(D15 + G14 &lt; 0, D15 + G14, 0)</f>
        <v>0</v>
      </c>
      <c r="H15" s="1">
        <f>IF(E15 + H14 &lt; 0, E15 + H14, 0)</f>
        <v>0</v>
      </c>
      <c r="I15" s="1">
        <f>IF(H15 &lt; 0, 1 + I14, 0)</f>
        <v>0</v>
      </c>
      <c r="J15" s="1">
        <f>C15-((ABS(SUM(PL!E15:H15)))*0.125)</f>
        <v>0</v>
      </c>
      <c r="K15" s="1">
        <f>D15-((ABS(SUM(PL!I15:L15)))*0.125)</f>
        <v>0</v>
      </c>
      <c r="L15" s="1">
        <f>J15 + K15</f>
        <v>0</v>
      </c>
      <c r="M15" s="1">
        <f>IF(J15 + M14 &lt; 0, J15 + M14, 0)</f>
        <v>0</v>
      </c>
      <c r="N15" s="1">
        <f>IF(K15 + N14 &lt; 0, K15 + N14, 0)</f>
        <v>0</v>
      </c>
      <c r="O15" s="1">
        <f>IF(L15 + O14 &lt; 0, L15 + O14, 0)</f>
        <v>0</v>
      </c>
      <c r="P15" s="1">
        <f>IF(O15 &lt; 0, 1 + P14, 0)</f>
        <v>0</v>
      </c>
      <c r="Q15" s="1">
        <f>IF(E15&lt;0,1,0)</f>
        <v>0</v>
      </c>
      <c r="R15" s="1">
        <f>IF(Q15=1,E15,0)</f>
        <v>0</v>
      </c>
      <c r="S15" s="1">
        <f>IF(E15&gt;0,1,0)</f>
        <v>0</v>
      </c>
      <c r="T15" s="1">
        <f>IF(S15=1,E15,0)</f>
        <v>0</v>
      </c>
      <c r="U15" s="1">
        <f>IF(R15&lt;-100000000/100,1,0)</f>
        <v>0</v>
      </c>
      <c r="V15" s="1">
        <f>IF(T15&gt;100000000/100,1,0)</f>
        <v>0</v>
      </c>
      <c r="W15" s="1">
        <f>IF(L15&lt;0,1,0)</f>
        <v>0</v>
      </c>
      <c r="X15" s="1">
        <f>IF(W15=1,L15,0)</f>
        <v>0</v>
      </c>
      <c r="Y15" s="1">
        <f>IF(L15&gt;0,1,0)</f>
        <v>0</v>
      </c>
      <c r="Z15" s="1">
        <f>IF(Y15=1,L15,0)</f>
        <v>0</v>
      </c>
      <c r="AA15" s="1">
        <f>IF(X15&lt;-100000000/100,1,0)</f>
        <v>0</v>
      </c>
      <c r="AB15" s="1">
        <f>IF(Z15&gt;100000000/100,1,0)</f>
        <v>0</v>
      </c>
    </row>
    <row r="16" spans="1:28" s="1" customFormat="1">
      <c r="A16" s="3">
        <v>44953</v>
      </c>
      <c r="B16" s="2" t="s">
        <v>15</v>
      </c>
      <c r="C16" s="1">
        <f>SUM(PL!E16:H16)</f>
        <v>0</v>
      </c>
      <c r="D16" s="1">
        <f>SUM(PL!I16:L16)</f>
        <v>0</v>
      </c>
      <c r="E16" s="1">
        <f>SUM(C16:D16)</f>
        <v>0</v>
      </c>
      <c r="F16" s="1">
        <f>IF(C16 + F15 &lt; 0, C16 + F15, 0)</f>
        <v>0</v>
      </c>
      <c r="G16" s="1">
        <f>IF(D16 + G15 &lt; 0, D16 + G15, 0)</f>
        <v>0</v>
      </c>
      <c r="H16" s="1">
        <f>IF(E16 + H15 &lt; 0, E16 + H15, 0)</f>
        <v>0</v>
      </c>
      <c r="I16" s="1">
        <f>IF(H16 &lt; 0, 1 + I15, 0)</f>
        <v>0</v>
      </c>
      <c r="J16" s="1">
        <f>C16-((ABS(SUM(PL!E16:H16)))*0.125)</f>
        <v>0</v>
      </c>
      <c r="K16" s="1">
        <f>D16-((ABS(SUM(PL!I16:L16)))*0.125)</f>
        <v>0</v>
      </c>
      <c r="L16" s="1">
        <f>J16 + K16</f>
        <v>0</v>
      </c>
      <c r="M16" s="1">
        <f>IF(J16 + M15 &lt; 0, J16 + M15, 0)</f>
        <v>0</v>
      </c>
      <c r="N16" s="1">
        <f>IF(K16 + N15 &lt; 0, K16 + N15, 0)</f>
        <v>0</v>
      </c>
      <c r="O16" s="1">
        <f>IF(L16 + O15 &lt; 0, L16 + O15, 0)</f>
        <v>0</v>
      </c>
      <c r="P16" s="1">
        <f>IF(O16 &lt; 0, 1 + P15, 0)</f>
        <v>0</v>
      </c>
      <c r="Q16" s="1">
        <f>IF(E16&lt;0,1,0)</f>
        <v>0</v>
      </c>
      <c r="R16" s="1">
        <f>IF(Q16=1,E16,0)</f>
        <v>0</v>
      </c>
      <c r="S16" s="1">
        <f>IF(E16&gt;0,1,0)</f>
        <v>0</v>
      </c>
      <c r="T16" s="1">
        <f>IF(S16=1,E16,0)</f>
        <v>0</v>
      </c>
      <c r="U16" s="1">
        <f>IF(R16&lt;-100000000/100,1,0)</f>
        <v>0</v>
      </c>
      <c r="V16" s="1">
        <f>IF(T16&gt;100000000/100,1,0)</f>
        <v>0</v>
      </c>
      <c r="W16" s="1">
        <f>IF(L16&lt;0,1,0)</f>
        <v>0</v>
      </c>
      <c r="X16" s="1">
        <f>IF(W16=1,L16,0)</f>
        <v>0</v>
      </c>
      <c r="Y16" s="1">
        <f>IF(L16&gt;0,1,0)</f>
        <v>0</v>
      </c>
      <c r="Z16" s="1">
        <f>IF(Y16=1,L16,0)</f>
        <v>0</v>
      </c>
      <c r="AA16" s="1">
        <f>IF(X16&lt;-100000000/100,1,0)</f>
        <v>0</v>
      </c>
      <c r="AB16" s="1">
        <f>IF(Z16&gt;100000000/100,1,0)</f>
        <v>0</v>
      </c>
    </row>
    <row r="17" spans="1:28" s="1" customFormat="1">
      <c r="A17" s="3">
        <v>44956</v>
      </c>
      <c r="B17" s="2" t="s">
        <v>12</v>
      </c>
      <c r="C17" s="1">
        <f>SUM(PL!E17:H17)</f>
        <v>0</v>
      </c>
      <c r="D17" s="1">
        <f>SUM(PL!I17:L17)</f>
        <v>0</v>
      </c>
      <c r="E17" s="1">
        <f>SUM(C17:D17)</f>
        <v>0</v>
      </c>
      <c r="F17" s="1">
        <f>IF(C17 + F16 &lt; 0, C17 + F16, 0)</f>
        <v>0</v>
      </c>
      <c r="G17" s="1">
        <f>IF(D17 + G16 &lt; 0, D17 + G16, 0)</f>
        <v>0</v>
      </c>
      <c r="H17" s="1">
        <f>IF(E17 + H16 &lt; 0, E17 + H16, 0)</f>
        <v>0</v>
      </c>
      <c r="I17" s="1">
        <f>IF(H17 &lt; 0, 1 + I16, 0)</f>
        <v>0</v>
      </c>
      <c r="J17" s="1">
        <f>C17-((ABS(SUM(PL!E17:H17)))*0.125)</f>
        <v>0</v>
      </c>
      <c r="K17" s="1">
        <f>D17-((ABS(SUM(PL!I17:L17)))*0.125)</f>
        <v>0</v>
      </c>
      <c r="L17" s="1">
        <f>J17 + K17</f>
        <v>0</v>
      </c>
      <c r="M17" s="1">
        <f>IF(J17 + M16 &lt; 0, J17 + M16, 0)</f>
        <v>0</v>
      </c>
      <c r="N17" s="1">
        <f>IF(K17 + N16 &lt; 0, K17 + N16, 0)</f>
        <v>0</v>
      </c>
      <c r="O17" s="1">
        <f>IF(L17 + O16 &lt; 0, L17 + O16, 0)</f>
        <v>0</v>
      </c>
      <c r="P17" s="1">
        <f>IF(O17 &lt; 0, 1 + P16, 0)</f>
        <v>0</v>
      </c>
      <c r="Q17" s="1">
        <f>IF(E17&lt;0,1,0)</f>
        <v>0</v>
      </c>
      <c r="R17" s="1">
        <f>IF(Q17=1,E17,0)</f>
        <v>0</v>
      </c>
      <c r="S17" s="1">
        <f>IF(E17&gt;0,1,0)</f>
        <v>0</v>
      </c>
      <c r="T17" s="1">
        <f>IF(S17=1,E17,0)</f>
        <v>0</v>
      </c>
      <c r="U17" s="1">
        <f>IF(R17&lt;-100000000/100,1,0)</f>
        <v>0</v>
      </c>
      <c r="V17" s="1">
        <f>IF(T17&gt;100000000/100,1,0)</f>
        <v>0</v>
      </c>
      <c r="W17" s="1">
        <f>IF(L17&lt;0,1,0)</f>
        <v>0</v>
      </c>
      <c r="X17" s="1">
        <f>IF(W17=1,L17,0)</f>
        <v>0</v>
      </c>
      <c r="Y17" s="1">
        <f>IF(L17&gt;0,1,0)</f>
        <v>0</v>
      </c>
      <c r="Z17" s="1">
        <f>IF(Y17=1,L17,0)</f>
        <v>0</v>
      </c>
      <c r="AA17" s="1">
        <f>IF(X17&lt;-100000000/100,1,0)</f>
        <v>0</v>
      </c>
      <c r="AB17" s="1">
        <f>IF(Z17&gt;100000000/100,1,0)</f>
        <v>0</v>
      </c>
    </row>
    <row r="18" spans="1:28" s="1" customFormat="1">
      <c r="A18" s="3">
        <v>44957</v>
      </c>
      <c r="B18" s="2" t="s">
        <v>13</v>
      </c>
      <c r="C18" s="1">
        <f>SUM(PL!E18:H18)</f>
        <v>0</v>
      </c>
      <c r="D18" s="1">
        <f>SUM(PL!I18:L18)</f>
        <v>0</v>
      </c>
      <c r="E18" s="1">
        <f>SUM(C18:D18)</f>
        <v>0</v>
      </c>
      <c r="F18" s="1">
        <f>IF(C18 + F17 &lt; 0, C18 + F17, 0)</f>
        <v>0</v>
      </c>
      <c r="G18" s="1">
        <f>IF(D18 + G17 &lt; 0, D18 + G17, 0)</f>
        <v>0</v>
      </c>
      <c r="H18" s="1">
        <f>IF(E18 + H17 &lt; 0, E18 + H17, 0)</f>
        <v>0</v>
      </c>
      <c r="I18" s="1">
        <f>IF(H18 &lt; 0, 1 + I17, 0)</f>
        <v>0</v>
      </c>
      <c r="J18" s="1">
        <f>C18-((ABS(SUM(PL!E18:H18)))*0.125)</f>
        <v>0</v>
      </c>
      <c r="K18" s="1">
        <f>D18-((ABS(SUM(PL!I18:L18)))*0.125)</f>
        <v>0</v>
      </c>
      <c r="L18" s="1">
        <f>J18 + K18</f>
        <v>0</v>
      </c>
      <c r="M18" s="1">
        <f>IF(J18 + M17 &lt; 0, J18 + M17, 0)</f>
        <v>0</v>
      </c>
      <c r="N18" s="1">
        <f>IF(K18 + N17 &lt; 0, K18 + N17, 0)</f>
        <v>0</v>
      </c>
      <c r="O18" s="1">
        <f>IF(L18 + O17 &lt; 0, L18 + O17, 0)</f>
        <v>0</v>
      </c>
      <c r="P18" s="1">
        <f>IF(O18 &lt; 0, 1 + P17, 0)</f>
        <v>0</v>
      </c>
      <c r="Q18" s="1">
        <f>IF(E18&lt;0,1,0)</f>
        <v>0</v>
      </c>
      <c r="R18" s="1">
        <f>IF(Q18=1,E18,0)</f>
        <v>0</v>
      </c>
      <c r="S18" s="1">
        <f>IF(E18&gt;0,1,0)</f>
        <v>0</v>
      </c>
      <c r="T18" s="1">
        <f>IF(S18=1,E18,0)</f>
        <v>0</v>
      </c>
      <c r="U18" s="1">
        <f>IF(R18&lt;-100000000/100,1,0)</f>
        <v>0</v>
      </c>
      <c r="V18" s="1">
        <f>IF(T18&gt;100000000/100,1,0)</f>
        <v>0</v>
      </c>
      <c r="W18" s="1">
        <f>IF(L18&lt;0,1,0)</f>
        <v>0</v>
      </c>
      <c r="X18" s="1">
        <f>IF(W18=1,L18,0)</f>
        <v>0</v>
      </c>
      <c r="Y18" s="1">
        <f>IF(L18&gt;0,1,0)</f>
        <v>0</v>
      </c>
      <c r="Z18" s="1">
        <f>IF(Y18=1,L18,0)</f>
        <v>0</v>
      </c>
      <c r="AA18" s="1">
        <f>IF(X18&lt;-100000000/100,1,0)</f>
        <v>0</v>
      </c>
      <c r="AB18" s="1">
        <f>IF(Z18&gt;100000000/100,1,0)</f>
        <v>0</v>
      </c>
    </row>
    <row r="19" spans="1:28" s="1" customFormat="1">
      <c r="A19" s="3">
        <v>44958</v>
      </c>
      <c r="B19" s="2" t="s">
        <v>14</v>
      </c>
      <c r="C19" s="1">
        <f>SUM(PL!E19:H19)</f>
        <v>0</v>
      </c>
      <c r="D19" s="1">
        <f>SUM(PL!I19:L19)</f>
        <v>0</v>
      </c>
      <c r="E19" s="1">
        <f>SUM(C19:D19)</f>
        <v>0</v>
      </c>
      <c r="F19" s="1">
        <f>IF(C19 + F18 &lt; 0, C19 + F18, 0)</f>
        <v>0</v>
      </c>
      <c r="G19" s="1">
        <f>IF(D19 + G18 &lt; 0, D19 + G18, 0)</f>
        <v>0</v>
      </c>
      <c r="H19" s="1">
        <f>IF(E19 + H18 &lt; 0, E19 + H18, 0)</f>
        <v>0</v>
      </c>
      <c r="I19" s="1">
        <f>IF(H19 &lt; 0, 1 + I18, 0)</f>
        <v>0</v>
      </c>
      <c r="J19" s="1">
        <f>C19-((ABS(SUM(PL!E19:H19)))*0.125)</f>
        <v>0</v>
      </c>
      <c r="K19" s="1">
        <f>D19-((ABS(SUM(PL!I19:L19)))*0.125)</f>
        <v>0</v>
      </c>
      <c r="L19" s="1">
        <f>J19 + K19</f>
        <v>0</v>
      </c>
      <c r="M19" s="1">
        <f>IF(J19 + M18 &lt; 0, J19 + M18, 0)</f>
        <v>0</v>
      </c>
      <c r="N19" s="1">
        <f>IF(K19 + N18 &lt; 0, K19 + N18, 0)</f>
        <v>0</v>
      </c>
      <c r="O19" s="1">
        <f>IF(L19 + O18 &lt; 0, L19 + O18, 0)</f>
        <v>0</v>
      </c>
      <c r="P19" s="1">
        <f>IF(O19 &lt; 0, 1 + P18, 0)</f>
        <v>0</v>
      </c>
      <c r="Q19" s="1">
        <f>IF(E19&lt;0,1,0)</f>
        <v>0</v>
      </c>
      <c r="R19" s="1">
        <f>IF(Q19=1,E19,0)</f>
        <v>0</v>
      </c>
      <c r="S19" s="1">
        <f>IF(E19&gt;0,1,0)</f>
        <v>0</v>
      </c>
      <c r="T19" s="1">
        <f>IF(S19=1,E19,0)</f>
        <v>0</v>
      </c>
      <c r="U19" s="1">
        <f>IF(R19&lt;-100000000/100,1,0)</f>
        <v>0</v>
      </c>
      <c r="V19" s="1">
        <f>IF(T19&gt;100000000/100,1,0)</f>
        <v>0</v>
      </c>
      <c r="W19" s="1">
        <f>IF(L19&lt;0,1,0)</f>
        <v>0</v>
      </c>
      <c r="X19" s="1">
        <f>IF(W19=1,L19,0)</f>
        <v>0</v>
      </c>
      <c r="Y19" s="1">
        <f>IF(L19&gt;0,1,0)</f>
        <v>0</v>
      </c>
      <c r="Z19" s="1">
        <f>IF(Y19=1,L19,0)</f>
        <v>0</v>
      </c>
      <c r="AA19" s="1">
        <f>IF(X19&lt;-100000000/100,1,0)</f>
        <v>0</v>
      </c>
      <c r="AB19" s="1">
        <f>IF(Z19&gt;100000000/100,1,0)</f>
        <v>0</v>
      </c>
    </row>
    <row r="20" spans="1:28" s="1" customFormat="1">
      <c r="A20" s="3">
        <v>44959</v>
      </c>
      <c r="B20" s="2" t="s">
        <v>16</v>
      </c>
      <c r="C20" s="1">
        <f>SUM(PL!E20:H20)</f>
        <v>0</v>
      </c>
      <c r="D20" s="1">
        <f>SUM(PL!I20:L20)</f>
        <v>0</v>
      </c>
      <c r="E20" s="1">
        <f>SUM(C20:D20)</f>
        <v>0</v>
      </c>
      <c r="F20" s="1">
        <f>IF(C20 + F19 &lt; 0, C20 + F19, 0)</f>
        <v>0</v>
      </c>
      <c r="G20" s="1">
        <f>IF(D20 + G19 &lt; 0, D20 + G19, 0)</f>
        <v>0</v>
      </c>
      <c r="H20" s="1">
        <f>IF(E20 + H19 &lt; 0, E20 + H19, 0)</f>
        <v>0</v>
      </c>
      <c r="I20" s="1">
        <f>IF(H20 &lt; 0, 1 + I19, 0)</f>
        <v>0</v>
      </c>
      <c r="J20" s="1">
        <f>C20-((ABS(SUM(PL!E20:H20)))*0.125)</f>
        <v>0</v>
      </c>
      <c r="K20" s="1">
        <f>D20-((ABS(SUM(PL!I20:L20)))*0.125)</f>
        <v>0</v>
      </c>
      <c r="L20" s="1">
        <f>J20 + K20</f>
        <v>0</v>
      </c>
      <c r="M20" s="1">
        <f>IF(J20 + M19 &lt; 0, J20 + M19, 0)</f>
        <v>0</v>
      </c>
      <c r="N20" s="1">
        <f>IF(K20 + N19 &lt; 0, K20 + N19, 0)</f>
        <v>0</v>
      </c>
      <c r="O20" s="1">
        <f>IF(L20 + O19 &lt; 0, L20 + O19, 0)</f>
        <v>0</v>
      </c>
      <c r="P20" s="1">
        <f>IF(O20 &lt; 0, 1 + P19, 0)</f>
        <v>0</v>
      </c>
      <c r="Q20" s="1">
        <f>IF(E20&lt;0,1,0)</f>
        <v>0</v>
      </c>
      <c r="R20" s="1">
        <f>IF(Q20=1,E20,0)</f>
        <v>0</v>
      </c>
      <c r="S20" s="1">
        <f>IF(E20&gt;0,1,0)</f>
        <v>0</v>
      </c>
      <c r="T20" s="1">
        <f>IF(S20=1,E20,0)</f>
        <v>0</v>
      </c>
      <c r="U20" s="1">
        <f>IF(R20&lt;-100000000/100,1,0)</f>
        <v>0</v>
      </c>
      <c r="V20" s="1">
        <f>IF(T20&gt;100000000/100,1,0)</f>
        <v>0</v>
      </c>
      <c r="W20" s="1">
        <f>IF(L20&lt;0,1,0)</f>
        <v>0</v>
      </c>
      <c r="X20" s="1">
        <f>IF(W20=1,L20,0)</f>
        <v>0</v>
      </c>
      <c r="Y20" s="1">
        <f>IF(L20&gt;0,1,0)</f>
        <v>0</v>
      </c>
      <c r="Z20" s="1">
        <f>IF(Y20=1,L20,0)</f>
        <v>0</v>
      </c>
      <c r="AA20" s="1">
        <f>IF(X20&lt;-100000000/100,1,0)</f>
        <v>0</v>
      </c>
      <c r="AB20" s="1">
        <f>IF(Z20&gt;100000000/100,1,0)</f>
        <v>0</v>
      </c>
    </row>
    <row r="21" spans="1:28" s="1" customFormat="1">
      <c r="A21" s="3">
        <v>44960</v>
      </c>
      <c r="B21" s="2" t="s">
        <v>15</v>
      </c>
      <c r="C21" s="1">
        <f>SUM(PL!E21:H21)</f>
        <v>0</v>
      </c>
      <c r="D21" s="1">
        <f>SUM(PL!I21:L21)</f>
        <v>0</v>
      </c>
      <c r="E21" s="1">
        <f>SUM(C21:D21)</f>
        <v>0</v>
      </c>
      <c r="F21" s="1">
        <f>IF(C21 + F20 &lt; 0, C21 + F20, 0)</f>
        <v>0</v>
      </c>
      <c r="G21" s="1">
        <f>IF(D21 + G20 &lt; 0, D21 + G20, 0)</f>
        <v>0</v>
      </c>
      <c r="H21" s="1">
        <f>IF(E21 + H20 &lt; 0, E21 + H20, 0)</f>
        <v>0</v>
      </c>
      <c r="I21" s="1">
        <f>IF(H21 &lt; 0, 1 + I20, 0)</f>
        <v>0</v>
      </c>
      <c r="J21" s="1">
        <f>C21-((ABS(SUM(PL!E21:H21)))*0.125)</f>
        <v>0</v>
      </c>
      <c r="K21" s="1">
        <f>D21-((ABS(SUM(PL!I21:L21)))*0.125)</f>
        <v>0</v>
      </c>
      <c r="L21" s="1">
        <f>J21 + K21</f>
        <v>0</v>
      </c>
      <c r="M21" s="1">
        <f>IF(J21 + M20 &lt; 0, J21 + M20, 0)</f>
        <v>0</v>
      </c>
      <c r="N21" s="1">
        <f>IF(K21 + N20 &lt; 0, K21 + N20, 0)</f>
        <v>0</v>
      </c>
      <c r="O21" s="1">
        <f>IF(L21 + O20 &lt; 0, L21 + O20, 0)</f>
        <v>0</v>
      </c>
      <c r="P21" s="1">
        <f>IF(O21 &lt; 0, 1 + P20, 0)</f>
        <v>0</v>
      </c>
      <c r="Q21" s="1">
        <f>IF(E21&lt;0,1,0)</f>
        <v>0</v>
      </c>
      <c r="R21" s="1">
        <f>IF(Q21=1,E21,0)</f>
        <v>0</v>
      </c>
      <c r="S21" s="1">
        <f>IF(E21&gt;0,1,0)</f>
        <v>0</v>
      </c>
      <c r="T21" s="1">
        <f>IF(S21=1,E21,0)</f>
        <v>0</v>
      </c>
      <c r="U21" s="1">
        <f>IF(R21&lt;-100000000/100,1,0)</f>
        <v>0</v>
      </c>
      <c r="V21" s="1">
        <f>IF(T21&gt;100000000/100,1,0)</f>
        <v>0</v>
      </c>
      <c r="W21" s="1">
        <f>IF(L21&lt;0,1,0)</f>
        <v>0</v>
      </c>
      <c r="X21" s="1">
        <f>IF(W21=1,L21,0)</f>
        <v>0</v>
      </c>
      <c r="Y21" s="1">
        <f>IF(L21&gt;0,1,0)</f>
        <v>0</v>
      </c>
      <c r="Z21" s="1">
        <f>IF(Y21=1,L21,0)</f>
        <v>0</v>
      </c>
      <c r="AA21" s="1">
        <f>IF(X21&lt;-100000000/100,1,0)</f>
        <v>0</v>
      </c>
      <c r="AB21" s="1">
        <f>IF(Z21&gt;100000000/100,1,0)</f>
        <v>0</v>
      </c>
    </row>
    <row r="22" spans="1:28" s="1" customFormat="1">
      <c r="A22" s="3">
        <v>44963</v>
      </c>
      <c r="B22" s="2" t="s">
        <v>12</v>
      </c>
      <c r="C22" s="1">
        <f>SUM(PL!E22:H22)</f>
        <v>0</v>
      </c>
      <c r="D22" s="1">
        <f>SUM(PL!I22:L22)</f>
        <v>0</v>
      </c>
      <c r="E22" s="1">
        <f>SUM(C22:D22)</f>
        <v>0</v>
      </c>
      <c r="F22" s="1">
        <f>IF(C22 + F21 &lt; 0, C22 + F21, 0)</f>
        <v>0</v>
      </c>
      <c r="G22" s="1">
        <f>IF(D22 + G21 &lt; 0, D22 + G21, 0)</f>
        <v>0</v>
      </c>
      <c r="H22" s="1">
        <f>IF(E22 + H21 &lt; 0, E22 + H21, 0)</f>
        <v>0</v>
      </c>
      <c r="I22" s="1">
        <f>IF(H22 &lt; 0, 1 + I21, 0)</f>
        <v>0</v>
      </c>
      <c r="J22" s="1">
        <f>C22-((ABS(SUM(PL!E22:H22)))*0.125)</f>
        <v>0</v>
      </c>
      <c r="K22" s="1">
        <f>D22-((ABS(SUM(PL!I22:L22)))*0.125)</f>
        <v>0</v>
      </c>
      <c r="L22" s="1">
        <f>J22 + K22</f>
        <v>0</v>
      </c>
      <c r="M22" s="1">
        <f>IF(J22 + M21 &lt; 0, J22 + M21, 0)</f>
        <v>0</v>
      </c>
      <c r="N22" s="1">
        <f>IF(K22 + N21 &lt; 0, K22 + N21, 0)</f>
        <v>0</v>
      </c>
      <c r="O22" s="1">
        <f>IF(L22 + O21 &lt; 0, L22 + O21, 0)</f>
        <v>0</v>
      </c>
      <c r="P22" s="1">
        <f>IF(O22 &lt; 0, 1 + P21, 0)</f>
        <v>0</v>
      </c>
      <c r="Q22" s="1">
        <f>IF(E22&lt;0,1,0)</f>
        <v>0</v>
      </c>
      <c r="R22" s="1">
        <f>IF(Q22=1,E22,0)</f>
        <v>0</v>
      </c>
      <c r="S22" s="1">
        <f>IF(E22&gt;0,1,0)</f>
        <v>0</v>
      </c>
      <c r="T22" s="1">
        <f>IF(S22=1,E22,0)</f>
        <v>0</v>
      </c>
      <c r="U22" s="1">
        <f>IF(R22&lt;-100000000/100,1,0)</f>
        <v>0</v>
      </c>
      <c r="V22" s="1">
        <f>IF(T22&gt;100000000/100,1,0)</f>
        <v>0</v>
      </c>
      <c r="W22" s="1">
        <f>IF(L22&lt;0,1,0)</f>
        <v>0</v>
      </c>
      <c r="X22" s="1">
        <f>IF(W22=1,L22,0)</f>
        <v>0</v>
      </c>
      <c r="Y22" s="1">
        <f>IF(L22&gt;0,1,0)</f>
        <v>0</v>
      </c>
      <c r="Z22" s="1">
        <f>IF(Y22=1,L22,0)</f>
        <v>0</v>
      </c>
      <c r="AA22" s="1">
        <f>IF(X22&lt;-100000000/100,1,0)</f>
        <v>0</v>
      </c>
      <c r="AB22" s="1">
        <f>IF(Z22&gt;100000000/100,1,0)</f>
        <v>0</v>
      </c>
    </row>
    <row r="23" spans="1:28" s="1" customFormat="1">
      <c r="A23" s="3">
        <v>44964</v>
      </c>
      <c r="B23" s="2" t="s">
        <v>13</v>
      </c>
      <c r="C23" s="1">
        <f>SUM(PL!E23:H23)</f>
        <v>0</v>
      </c>
      <c r="D23" s="1">
        <f>SUM(PL!I23:L23)</f>
        <v>0</v>
      </c>
      <c r="E23" s="1">
        <f>SUM(C23:D23)</f>
        <v>0</v>
      </c>
      <c r="F23" s="1">
        <f>IF(C23 + F22 &lt; 0, C23 + F22, 0)</f>
        <v>0</v>
      </c>
      <c r="G23" s="1">
        <f>IF(D23 + G22 &lt; 0, D23 + G22, 0)</f>
        <v>0</v>
      </c>
      <c r="H23" s="1">
        <f>IF(E23 + H22 &lt; 0, E23 + H22, 0)</f>
        <v>0</v>
      </c>
      <c r="I23" s="1">
        <f>IF(H23 &lt; 0, 1 + I22, 0)</f>
        <v>0</v>
      </c>
      <c r="J23" s="1">
        <f>C23-((ABS(SUM(PL!E23:H23)))*0.125)</f>
        <v>0</v>
      </c>
      <c r="K23" s="1">
        <f>D23-((ABS(SUM(PL!I23:L23)))*0.125)</f>
        <v>0</v>
      </c>
      <c r="L23" s="1">
        <f>J23 + K23</f>
        <v>0</v>
      </c>
      <c r="M23" s="1">
        <f>IF(J23 + M22 &lt; 0, J23 + M22, 0)</f>
        <v>0</v>
      </c>
      <c r="N23" s="1">
        <f>IF(K23 + N22 &lt; 0, K23 + N22, 0)</f>
        <v>0</v>
      </c>
      <c r="O23" s="1">
        <f>IF(L23 + O22 &lt; 0, L23 + O22, 0)</f>
        <v>0</v>
      </c>
      <c r="P23" s="1">
        <f>IF(O23 &lt; 0, 1 + P22, 0)</f>
        <v>0</v>
      </c>
      <c r="Q23" s="1">
        <f>IF(E23&lt;0,1,0)</f>
        <v>0</v>
      </c>
      <c r="R23" s="1">
        <f>IF(Q23=1,E23,0)</f>
        <v>0</v>
      </c>
      <c r="S23" s="1">
        <f>IF(E23&gt;0,1,0)</f>
        <v>0</v>
      </c>
      <c r="T23" s="1">
        <f>IF(S23=1,E23,0)</f>
        <v>0</v>
      </c>
      <c r="U23" s="1">
        <f>IF(R23&lt;-100000000/100,1,0)</f>
        <v>0</v>
      </c>
      <c r="V23" s="1">
        <f>IF(T23&gt;100000000/100,1,0)</f>
        <v>0</v>
      </c>
      <c r="W23" s="1">
        <f>IF(L23&lt;0,1,0)</f>
        <v>0</v>
      </c>
      <c r="X23" s="1">
        <f>IF(W23=1,L23,0)</f>
        <v>0</v>
      </c>
      <c r="Y23" s="1">
        <f>IF(L23&gt;0,1,0)</f>
        <v>0</v>
      </c>
      <c r="Z23" s="1">
        <f>IF(Y23=1,L23,0)</f>
        <v>0</v>
      </c>
      <c r="AA23" s="1">
        <f>IF(X23&lt;-100000000/100,1,0)</f>
        <v>0</v>
      </c>
      <c r="AB23" s="1">
        <f>IF(Z23&gt;100000000/100,1,0)</f>
        <v>0</v>
      </c>
    </row>
    <row r="24" spans="1:28" s="1" customFormat="1">
      <c r="A24" s="3">
        <v>44965</v>
      </c>
      <c r="B24" s="2" t="s">
        <v>14</v>
      </c>
      <c r="C24" s="1">
        <f>SUM(PL!E24:H24)</f>
        <v>0</v>
      </c>
      <c r="D24" s="1">
        <f>SUM(PL!I24:L24)</f>
        <v>0</v>
      </c>
      <c r="E24" s="1">
        <f>SUM(C24:D24)</f>
        <v>0</v>
      </c>
      <c r="F24" s="1">
        <f>IF(C24 + F23 &lt; 0, C24 + F23, 0)</f>
        <v>0</v>
      </c>
      <c r="G24" s="1">
        <f>IF(D24 + G23 &lt; 0, D24 + G23, 0)</f>
        <v>0</v>
      </c>
      <c r="H24" s="1">
        <f>IF(E24 + H23 &lt; 0, E24 + H23, 0)</f>
        <v>0</v>
      </c>
      <c r="I24" s="1">
        <f>IF(H24 &lt; 0, 1 + I23, 0)</f>
        <v>0</v>
      </c>
      <c r="J24" s="1">
        <f>C24-((ABS(SUM(PL!E24:H24)))*0.125)</f>
        <v>0</v>
      </c>
      <c r="K24" s="1">
        <f>D24-((ABS(SUM(PL!I24:L24)))*0.125)</f>
        <v>0</v>
      </c>
      <c r="L24" s="1">
        <f>J24 + K24</f>
        <v>0</v>
      </c>
      <c r="M24" s="1">
        <f>IF(J24 + M23 &lt; 0, J24 + M23, 0)</f>
        <v>0</v>
      </c>
      <c r="N24" s="1">
        <f>IF(K24 + N23 &lt; 0, K24 + N23, 0)</f>
        <v>0</v>
      </c>
      <c r="O24" s="1">
        <f>IF(L24 + O23 &lt; 0, L24 + O23, 0)</f>
        <v>0</v>
      </c>
      <c r="P24" s="1">
        <f>IF(O24 &lt; 0, 1 + P23, 0)</f>
        <v>0</v>
      </c>
      <c r="Q24" s="1">
        <f>IF(E24&lt;0,1,0)</f>
        <v>0</v>
      </c>
      <c r="R24" s="1">
        <f>IF(Q24=1,E24,0)</f>
        <v>0</v>
      </c>
      <c r="S24" s="1">
        <f>IF(E24&gt;0,1,0)</f>
        <v>0</v>
      </c>
      <c r="T24" s="1">
        <f>IF(S24=1,E24,0)</f>
        <v>0</v>
      </c>
      <c r="U24" s="1">
        <f>IF(R24&lt;-100000000/100,1,0)</f>
        <v>0</v>
      </c>
      <c r="V24" s="1">
        <f>IF(T24&gt;100000000/100,1,0)</f>
        <v>0</v>
      </c>
      <c r="W24" s="1">
        <f>IF(L24&lt;0,1,0)</f>
        <v>0</v>
      </c>
      <c r="X24" s="1">
        <f>IF(W24=1,L24,0)</f>
        <v>0</v>
      </c>
      <c r="Y24" s="1">
        <f>IF(L24&gt;0,1,0)</f>
        <v>0</v>
      </c>
      <c r="Z24" s="1">
        <f>IF(Y24=1,L24,0)</f>
        <v>0</v>
      </c>
      <c r="AA24" s="1">
        <f>IF(X24&lt;-100000000/100,1,0)</f>
        <v>0</v>
      </c>
      <c r="AB24" s="1">
        <f>IF(Z24&gt;100000000/100,1,0)</f>
        <v>0</v>
      </c>
    </row>
    <row r="25" spans="1:28" s="1" customFormat="1">
      <c r="A25" s="3">
        <v>44966</v>
      </c>
      <c r="B25" s="2" t="s">
        <v>16</v>
      </c>
      <c r="C25" s="1">
        <f>SUM(PL!E25:H25)</f>
        <v>0</v>
      </c>
      <c r="D25" s="1">
        <f>SUM(PL!I25:L25)</f>
        <v>0</v>
      </c>
      <c r="E25" s="1">
        <f>SUM(C25:D25)</f>
        <v>0</v>
      </c>
      <c r="F25" s="1">
        <f>IF(C25 + F24 &lt; 0, C25 + F24, 0)</f>
        <v>0</v>
      </c>
      <c r="G25" s="1">
        <f>IF(D25 + G24 &lt; 0, D25 + G24, 0)</f>
        <v>0</v>
      </c>
      <c r="H25" s="1">
        <f>IF(E25 + H24 &lt; 0, E25 + H24, 0)</f>
        <v>0</v>
      </c>
      <c r="I25" s="1">
        <f>IF(H25 &lt; 0, 1 + I24, 0)</f>
        <v>0</v>
      </c>
      <c r="J25" s="1">
        <f>C25-((ABS(SUM(PL!E25:H25)))*0.125)</f>
        <v>0</v>
      </c>
      <c r="K25" s="1">
        <f>D25-((ABS(SUM(PL!I25:L25)))*0.125)</f>
        <v>0</v>
      </c>
      <c r="L25" s="1">
        <f>J25 + K25</f>
        <v>0</v>
      </c>
      <c r="M25" s="1">
        <f>IF(J25 + M24 &lt; 0, J25 + M24, 0)</f>
        <v>0</v>
      </c>
      <c r="N25" s="1">
        <f>IF(K25 + N24 &lt; 0, K25 + N24, 0)</f>
        <v>0</v>
      </c>
      <c r="O25" s="1">
        <f>IF(L25 + O24 &lt; 0, L25 + O24, 0)</f>
        <v>0</v>
      </c>
      <c r="P25" s="1">
        <f>IF(O25 &lt; 0, 1 + P24, 0)</f>
        <v>0</v>
      </c>
      <c r="Q25" s="1">
        <f>IF(E25&lt;0,1,0)</f>
        <v>0</v>
      </c>
      <c r="R25" s="1">
        <f>IF(Q25=1,E25,0)</f>
        <v>0</v>
      </c>
      <c r="S25" s="1">
        <f>IF(E25&gt;0,1,0)</f>
        <v>0</v>
      </c>
      <c r="T25" s="1">
        <f>IF(S25=1,E25,0)</f>
        <v>0</v>
      </c>
      <c r="U25" s="1">
        <f>IF(R25&lt;-100000000/100,1,0)</f>
        <v>0</v>
      </c>
      <c r="V25" s="1">
        <f>IF(T25&gt;100000000/100,1,0)</f>
        <v>0</v>
      </c>
      <c r="W25" s="1">
        <f>IF(L25&lt;0,1,0)</f>
        <v>0</v>
      </c>
      <c r="X25" s="1">
        <f>IF(W25=1,L25,0)</f>
        <v>0</v>
      </c>
      <c r="Y25" s="1">
        <f>IF(L25&gt;0,1,0)</f>
        <v>0</v>
      </c>
      <c r="Z25" s="1">
        <f>IF(Y25=1,L25,0)</f>
        <v>0</v>
      </c>
      <c r="AA25" s="1">
        <f>IF(X25&lt;-100000000/100,1,0)</f>
        <v>0</v>
      </c>
      <c r="AB25" s="1">
        <f>IF(Z25&gt;100000000/100,1,0)</f>
        <v>0</v>
      </c>
    </row>
    <row r="26" spans="1:28" s="1" customFormat="1">
      <c r="A26" s="3">
        <v>44967</v>
      </c>
      <c r="B26" s="2" t="s">
        <v>15</v>
      </c>
      <c r="C26" s="1">
        <f>SUM(PL!E26:H26)</f>
        <v>0</v>
      </c>
      <c r="D26" s="1">
        <f>SUM(PL!I26:L26)</f>
        <v>0</v>
      </c>
      <c r="E26" s="1">
        <f>SUM(C26:D26)</f>
        <v>0</v>
      </c>
      <c r="F26" s="1">
        <f>IF(C26 + F25 &lt; 0, C26 + F25, 0)</f>
        <v>0</v>
      </c>
      <c r="G26" s="1">
        <f>IF(D26 + G25 &lt; 0, D26 + G25, 0)</f>
        <v>0</v>
      </c>
      <c r="H26" s="1">
        <f>IF(E26 + H25 &lt; 0, E26 + H25, 0)</f>
        <v>0</v>
      </c>
      <c r="I26" s="1">
        <f>IF(H26 &lt; 0, 1 + I25, 0)</f>
        <v>0</v>
      </c>
      <c r="J26" s="1">
        <f>C26-((ABS(SUM(PL!E26:H26)))*0.125)</f>
        <v>0</v>
      </c>
      <c r="K26" s="1">
        <f>D26-((ABS(SUM(PL!I26:L26)))*0.125)</f>
        <v>0</v>
      </c>
      <c r="L26" s="1">
        <f>J26 + K26</f>
        <v>0</v>
      </c>
      <c r="M26" s="1">
        <f>IF(J26 + M25 &lt; 0, J26 + M25, 0)</f>
        <v>0</v>
      </c>
      <c r="N26" s="1">
        <f>IF(K26 + N25 &lt; 0, K26 + N25, 0)</f>
        <v>0</v>
      </c>
      <c r="O26" s="1">
        <f>IF(L26 + O25 &lt; 0, L26 + O25, 0)</f>
        <v>0</v>
      </c>
      <c r="P26" s="1">
        <f>IF(O26 &lt; 0, 1 + P25, 0)</f>
        <v>0</v>
      </c>
      <c r="Q26" s="1">
        <f>IF(E26&lt;0,1,0)</f>
        <v>0</v>
      </c>
      <c r="R26" s="1">
        <f>IF(Q26=1,E26,0)</f>
        <v>0</v>
      </c>
      <c r="S26" s="1">
        <f>IF(E26&gt;0,1,0)</f>
        <v>0</v>
      </c>
      <c r="T26" s="1">
        <f>IF(S26=1,E26,0)</f>
        <v>0</v>
      </c>
      <c r="U26" s="1">
        <f>IF(R26&lt;-100000000/100,1,0)</f>
        <v>0</v>
      </c>
      <c r="V26" s="1">
        <f>IF(T26&gt;100000000/100,1,0)</f>
        <v>0</v>
      </c>
      <c r="W26" s="1">
        <f>IF(L26&lt;0,1,0)</f>
        <v>0</v>
      </c>
      <c r="X26" s="1">
        <f>IF(W26=1,L26,0)</f>
        <v>0</v>
      </c>
      <c r="Y26" s="1">
        <f>IF(L26&gt;0,1,0)</f>
        <v>0</v>
      </c>
      <c r="Z26" s="1">
        <f>IF(Y26=1,L26,0)</f>
        <v>0</v>
      </c>
      <c r="AA26" s="1">
        <f>IF(X26&lt;-100000000/100,1,0)</f>
        <v>0</v>
      </c>
      <c r="AB26" s="1">
        <f>IF(Z26&gt;100000000/100,1,0)</f>
        <v>0</v>
      </c>
    </row>
    <row r="27" spans="1:28" s="1" customFormat="1">
      <c r="A27" s="3">
        <v>44970</v>
      </c>
      <c r="B27" s="2" t="s">
        <v>12</v>
      </c>
      <c r="C27" s="1">
        <f>SUM(PL!E27:H27)</f>
        <v>0</v>
      </c>
      <c r="D27" s="1">
        <f>SUM(PL!I27:L27)</f>
        <v>0</v>
      </c>
      <c r="E27" s="1">
        <f>SUM(C27:D27)</f>
        <v>0</v>
      </c>
      <c r="F27" s="1">
        <f>IF(C27 + F26 &lt; 0, C27 + F26, 0)</f>
        <v>0</v>
      </c>
      <c r="G27" s="1">
        <f>IF(D27 + G26 &lt; 0, D27 + G26, 0)</f>
        <v>0</v>
      </c>
      <c r="H27" s="1">
        <f>IF(E27 + H26 &lt; 0, E27 + H26, 0)</f>
        <v>0</v>
      </c>
      <c r="I27" s="1">
        <f>IF(H27 &lt; 0, 1 + I26, 0)</f>
        <v>0</v>
      </c>
      <c r="J27" s="1">
        <f>C27-((ABS(SUM(PL!E27:H27)))*0.125)</f>
        <v>0</v>
      </c>
      <c r="K27" s="1">
        <f>D27-((ABS(SUM(PL!I27:L27)))*0.125)</f>
        <v>0</v>
      </c>
      <c r="L27" s="1">
        <f>J27 + K27</f>
        <v>0</v>
      </c>
      <c r="M27" s="1">
        <f>IF(J27 + M26 &lt; 0, J27 + M26, 0)</f>
        <v>0</v>
      </c>
      <c r="N27" s="1">
        <f>IF(K27 + N26 &lt; 0, K27 + N26, 0)</f>
        <v>0</v>
      </c>
      <c r="O27" s="1">
        <f>IF(L27 + O26 &lt; 0, L27 + O26, 0)</f>
        <v>0</v>
      </c>
      <c r="P27" s="1">
        <f>IF(O27 &lt; 0, 1 + P26, 0)</f>
        <v>0</v>
      </c>
      <c r="Q27" s="1">
        <f>IF(E27&lt;0,1,0)</f>
        <v>0</v>
      </c>
      <c r="R27" s="1">
        <f>IF(Q27=1,E27,0)</f>
        <v>0</v>
      </c>
      <c r="S27" s="1">
        <f>IF(E27&gt;0,1,0)</f>
        <v>0</v>
      </c>
      <c r="T27" s="1">
        <f>IF(S27=1,E27,0)</f>
        <v>0</v>
      </c>
      <c r="U27" s="1">
        <f>IF(R27&lt;-100000000/100,1,0)</f>
        <v>0</v>
      </c>
      <c r="V27" s="1">
        <f>IF(T27&gt;100000000/100,1,0)</f>
        <v>0</v>
      </c>
      <c r="W27" s="1">
        <f>IF(L27&lt;0,1,0)</f>
        <v>0</v>
      </c>
      <c r="X27" s="1">
        <f>IF(W27=1,L27,0)</f>
        <v>0</v>
      </c>
      <c r="Y27" s="1">
        <f>IF(L27&gt;0,1,0)</f>
        <v>0</v>
      </c>
      <c r="Z27" s="1">
        <f>IF(Y27=1,L27,0)</f>
        <v>0</v>
      </c>
      <c r="AA27" s="1">
        <f>IF(X27&lt;-100000000/100,1,0)</f>
        <v>0</v>
      </c>
      <c r="AB27" s="1">
        <f>IF(Z27&gt;100000000/100,1,0)</f>
        <v>0</v>
      </c>
    </row>
    <row r="28" spans="1:28" s="1" customFormat="1">
      <c r="A28" s="3">
        <v>44971</v>
      </c>
      <c r="B28" s="2" t="s">
        <v>13</v>
      </c>
      <c r="C28" s="1">
        <f>SUM(PL!E28:H28)</f>
        <v>0</v>
      </c>
      <c r="D28" s="1">
        <f>SUM(PL!I28:L28)</f>
        <v>0</v>
      </c>
      <c r="E28" s="1">
        <f>SUM(C28:D28)</f>
        <v>0</v>
      </c>
      <c r="F28" s="1">
        <f>IF(C28 + F27 &lt; 0, C28 + F27, 0)</f>
        <v>0</v>
      </c>
      <c r="G28" s="1">
        <f>IF(D28 + G27 &lt; 0, D28 + G27, 0)</f>
        <v>0</v>
      </c>
      <c r="H28" s="1">
        <f>IF(E28 + H27 &lt; 0, E28 + H27, 0)</f>
        <v>0</v>
      </c>
      <c r="I28" s="1">
        <f>IF(H28 &lt; 0, 1 + I27, 0)</f>
        <v>0</v>
      </c>
      <c r="J28" s="1">
        <f>C28-((ABS(SUM(PL!E28:H28)))*0.125)</f>
        <v>0</v>
      </c>
      <c r="K28" s="1">
        <f>D28-((ABS(SUM(PL!I28:L28)))*0.125)</f>
        <v>0</v>
      </c>
      <c r="L28" s="1">
        <f>J28 + K28</f>
        <v>0</v>
      </c>
      <c r="M28" s="1">
        <f>IF(J28 + M27 &lt; 0, J28 + M27, 0)</f>
        <v>0</v>
      </c>
      <c r="N28" s="1">
        <f>IF(K28 + N27 &lt; 0, K28 + N27, 0)</f>
        <v>0</v>
      </c>
      <c r="O28" s="1">
        <f>IF(L28 + O27 &lt; 0, L28 + O27, 0)</f>
        <v>0</v>
      </c>
      <c r="P28" s="1">
        <f>IF(O28 &lt; 0, 1 + P27, 0)</f>
        <v>0</v>
      </c>
      <c r="Q28" s="1">
        <f>IF(E28&lt;0,1,0)</f>
        <v>0</v>
      </c>
      <c r="R28" s="1">
        <f>IF(Q28=1,E28,0)</f>
        <v>0</v>
      </c>
      <c r="S28" s="1">
        <f>IF(E28&gt;0,1,0)</f>
        <v>0</v>
      </c>
      <c r="T28" s="1">
        <f>IF(S28=1,E28,0)</f>
        <v>0</v>
      </c>
      <c r="U28" s="1">
        <f>IF(R28&lt;-100000000/100,1,0)</f>
        <v>0</v>
      </c>
      <c r="V28" s="1">
        <f>IF(T28&gt;100000000/100,1,0)</f>
        <v>0</v>
      </c>
      <c r="W28" s="1">
        <f>IF(L28&lt;0,1,0)</f>
        <v>0</v>
      </c>
      <c r="X28" s="1">
        <f>IF(W28=1,L28,0)</f>
        <v>0</v>
      </c>
      <c r="Y28" s="1">
        <f>IF(L28&gt;0,1,0)</f>
        <v>0</v>
      </c>
      <c r="Z28" s="1">
        <f>IF(Y28=1,L28,0)</f>
        <v>0</v>
      </c>
      <c r="AA28" s="1">
        <f>IF(X28&lt;-100000000/100,1,0)</f>
        <v>0</v>
      </c>
      <c r="AB28" s="1">
        <f>IF(Z28&gt;100000000/100,1,0)</f>
        <v>0</v>
      </c>
    </row>
    <row r="29" spans="1:28" s="1" customFormat="1">
      <c r="A29" s="3">
        <v>44972</v>
      </c>
      <c r="B29" s="2" t="s">
        <v>14</v>
      </c>
      <c r="C29" s="1">
        <f>SUM(PL!E29:H29)</f>
        <v>0</v>
      </c>
      <c r="D29" s="1">
        <f>SUM(PL!I29:L29)</f>
        <v>0</v>
      </c>
      <c r="E29" s="1">
        <f>SUM(C29:D29)</f>
        <v>0</v>
      </c>
      <c r="F29" s="1">
        <f>IF(C29 + F28 &lt; 0, C29 + F28, 0)</f>
        <v>0</v>
      </c>
      <c r="G29" s="1">
        <f>IF(D29 + G28 &lt; 0, D29 + G28, 0)</f>
        <v>0</v>
      </c>
      <c r="H29" s="1">
        <f>IF(E29 + H28 &lt; 0, E29 + H28, 0)</f>
        <v>0</v>
      </c>
      <c r="I29" s="1">
        <f>IF(H29 &lt; 0, 1 + I28, 0)</f>
        <v>0</v>
      </c>
      <c r="J29" s="1">
        <f>C29-((ABS(SUM(PL!E29:H29)))*0.125)</f>
        <v>0</v>
      </c>
      <c r="K29" s="1">
        <f>D29-((ABS(SUM(PL!I29:L29)))*0.125)</f>
        <v>0</v>
      </c>
      <c r="L29" s="1">
        <f>J29 + K29</f>
        <v>0</v>
      </c>
      <c r="M29" s="1">
        <f>IF(J29 + M28 &lt; 0, J29 + M28, 0)</f>
        <v>0</v>
      </c>
      <c r="N29" s="1">
        <f>IF(K29 + N28 &lt; 0, K29 + N28, 0)</f>
        <v>0</v>
      </c>
      <c r="O29" s="1">
        <f>IF(L29 + O28 &lt; 0, L29 + O28, 0)</f>
        <v>0</v>
      </c>
      <c r="P29" s="1">
        <f>IF(O29 &lt; 0, 1 + P28, 0)</f>
        <v>0</v>
      </c>
      <c r="Q29" s="1">
        <f>IF(E29&lt;0,1,0)</f>
        <v>0</v>
      </c>
      <c r="R29" s="1">
        <f>IF(Q29=1,E29,0)</f>
        <v>0</v>
      </c>
      <c r="S29" s="1">
        <f>IF(E29&gt;0,1,0)</f>
        <v>0</v>
      </c>
      <c r="T29" s="1">
        <f>IF(S29=1,E29,0)</f>
        <v>0</v>
      </c>
      <c r="U29" s="1">
        <f>IF(R29&lt;-100000000/100,1,0)</f>
        <v>0</v>
      </c>
      <c r="V29" s="1">
        <f>IF(T29&gt;100000000/100,1,0)</f>
        <v>0</v>
      </c>
      <c r="W29" s="1">
        <f>IF(L29&lt;0,1,0)</f>
        <v>0</v>
      </c>
      <c r="X29" s="1">
        <f>IF(W29=1,L29,0)</f>
        <v>0</v>
      </c>
      <c r="Y29" s="1">
        <f>IF(L29&gt;0,1,0)</f>
        <v>0</v>
      </c>
      <c r="Z29" s="1">
        <f>IF(Y29=1,L29,0)</f>
        <v>0</v>
      </c>
      <c r="AA29" s="1">
        <f>IF(X29&lt;-100000000/100,1,0)</f>
        <v>0</v>
      </c>
      <c r="AB29" s="1">
        <f>IF(Z29&gt;100000000/100,1,0)</f>
        <v>0</v>
      </c>
    </row>
    <row r="30" spans="1:28" s="1" customFormat="1">
      <c r="A30" s="3">
        <v>44973</v>
      </c>
      <c r="B30" s="2" t="s">
        <v>16</v>
      </c>
      <c r="C30" s="1">
        <f>SUM(PL!E30:H30)</f>
        <v>0</v>
      </c>
      <c r="D30" s="1">
        <f>SUM(PL!I30:L30)</f>
        <v>0</v>
      </c>
      <c r="E30" s="1">
        <f>SUM(C30:D30)</f>
        <v>0</v>
      </c>
      <c r="F30" s="1">
        <f>IF(C30 + F29 &lt; 0, C30 + F29, 0)</f>
        <v>0</v>
      </c>
      <c r="G30" s="1">
        <f>IF(D30 + G29 &lt; 0, D30 + G29, 0)</f>
        <v>0</v>
      </c>
      <c r="H30" s="1">
        <f>IF(E30 + H29 &lt; 0, E30 + H29, 0)</f>
        <v>0</v>
      </c>
      <c r="I30" s="1">
        <f>IF(H30 &lt; 0, 1 + I29, 0)</f>
        <v>0</v>
      </c>
      <c r="J30" s="1">
        <f>C30-((ABS(SUM(PL!E30:H30)))*0.125)</f>
        <v>0</v>
      </c>
      <c r="K30" s="1">
        <f>D30-((ABS(SUM(PL!I30:L30)))*0.125)</f>
        <v>0</v>
      </c>
      <c r="L30" s="1">
        <f>J30 + K30</f>
        <v>0</v>
      </c>
      <c r="M30" s="1">
        <f>IF(J30 + M29 &lt; 0, J30 + M29, 0)</f>
        <v>0</v>
      </c>
      <c r="N30" s="1">
        <f>IF(K30 + N29 &lt; 0, K30 + N29, 0)</f>
        <v>0</v>
      </c>
      <c r="O30" s="1">
        <f>IF(L30 + O29 &lt; 0, L30 + O29, 0)</f>
        <v>0</v>
      </c>
      <c r="P30" s="1">
        <f>IF(O30 &lt; 0, 1 + P29, 0)</f>
        <v>0</v>
      </c>
      <c r="Q30" s="1">
        <f>IF(E30&lt;0,1,0)</f>
        <v>0</v>
      </c>
      <c r="R30" s="1">
        <f>IF(Q30=1,E30,0)</f>
        <v>0</v>
      </c>
      <c r="S30" s="1">
        <f>IF(E30&gt;0,1,0)</f>
        <v>0</v>
      </c>
      <c r="T30" s="1">
        <f>IF(S30=1,E30,0)</f>
        <v>0</v>
      </c>
      <c r="U30" s="1">
        <f>IF(R30&lt;-100000000/100,1,0)</f>
        <v>0</v>
      </c>
      <c r="V30" s="1">
        <f>IF(T30&gt;100000000/100,1,0)</f>
        <v>0</v>
      </c>
      <c r="W30" s="1">
        <f>IF(L30&lt;0,1,0)</f>
        <v>0</v>
      </c>
      <c r="X30" s="1">
        <f>IF(W30=1,L30,0)</f>
        <v>0</v>
      </c>
      <c r="Y30" s="1">
        <f>IF(L30&gt;0,1,0)</f>
        <v>0</v>
      </c>
      <c r="Z30" s="1">
        <f>IF(Y30=1,L30,0)</f>
        <v>0</v>
      </c>
      <c r="AA30" s="1">
        <f>IF(X30&lt;-100000000/100,1,0)</f>
        <v>0</v>
      </c>
      <c r="AB30" s="1">
        <f>IF(Z30&gt;100000000/100,1,0)</f>
        <v>0</v>
      </c>
    </row>
    <row r="31" spans="1:28" s="1" customFormat="1">
      <c r="A31" s="3">
        <v>44974</v>
      </c>
      <c r="B31" s="2" t="s">
        <v>15</v>
      </c>
      <c r="C31" s="1">
        <f>SUM(PL!E31:H31)</f>
        <v>0</v>
      </c>
      <c r="D31" s="1">
        <f>SUM(PL!I31:L31)</f>
        <v>0</v>
      </c>
      <c r="E31" s="1">
        <f>SUM(C31:D31)</f>
        <v>0</v>
      </c>
      <c r="F31" s="1">
        <f>IF(C31 + F30 &lt; 0, C31 + F30, 0)</f>
        <v>0</v>
      </c>
      <c r="G31" s="1">
        <f>IF(D31 + G30 &lt; 0, D31 + G30, 0)</f>
        <v>0</v>
      </c>
      <c r="H31" s="1">
        <f>IF(E31 + H30 &lt; 0, E31 + H30, 0)</f>
        <v>0</v>
      </c>
      <c r="I31" s="1">
        <f>IF(H31 &lt; 0, 1 + I30, 0)</f>
        <v>0</v>
      </c>
      <c r="J31" s="1">
        <f>C31-((ABS(SUM(PL!E31:H31)))*0.125)</f>
        <v>0</v>
      </c>
      <c r="K31" s="1">
        <f>D31-((ABS(SUM(PL!I31:L31)))*0.125)</f>
        <v>0</v>
      </c>
      <c r="L31" s="1">
        <f>J31 + K31</f>
        <v>0</v>
      </c>
      <c r="M31" s="1">
        <f>IF(J31 + M30 &lt; 0, J31 + M30, 0)</f>
        <v>0</v>
      </c>
      <c r="N31" s="1">
        <f>IF(K31 + N30 &lt; 0, K31 + N30, 0)</f>
        <v>0</v>
      </c>
      <c r="O31" s="1">
        <f>IF(L31 + O30 &lt; 0, L31 + O30, 0)</f>
        <v>0</v>
      </c>
      <c r="P31" s="1">
        <f>IF(O31 &lt; 0, 1 + P30, 0)</f>
        <v>0</v>
      </c>
      <c r="Q31" s="1">
        <f>IF(E31&lt;0,1,0)</f>
        <v>0</v>
      </c>
      <c r="R31" s="1">
        <f>IF(Q31=1,E31,0)</f>
        <v>0</v>
      </c>
      <c r="S31" s="1">
        <f>IF(E31&gt;0,1,0)</f>
        <v>0</v>
      </c>
      <c r="T31" s="1">
        <f>IF(S31=1,E31,0)</f>
        <v>0</v>
      </c>
      <c r="U31" s="1">
        <f>IF(R31&lt;-100000000/100,1,0)</f>
        <v>0</v>
      </c>
      <c r="V31" s="1">
        <f>IF(T31&gt;100000000/100,1,0)</f>
        <v>0</v>
      </c>
      <c r="W31" s="1">
        <f>IF(L31&lt;0,1,0)</f>
        <v>0</v>
      </c>
      <c r="X31" s="1">
        <f>IF(W31=1,L31,0)</f>
        <v>0</v>
      </c>
      <c r="Y31" s="1">
        <f>IF(L31&gt;0,1,0)</f>
        <v>0</v>
      </c>
      <c r="Z31" s="1">
        <f>IF(Y31=1,L31,0)</f>
        <v>0</v>
      </c>
      <c r="AA31" s="1">
        <f>IF(X31&lt;-100000000/100,1,0)</f>
        <v>0</v>
      </c>
      <c r="AB31" s="1">
        <f>IF(Z31&gt;100000000/100,1,0)</f>
        <v>0</v>
      </c>
    </row>
    <row r="32" spans="1:28" s="1" customFormat="1">
      <c r="A32" s="3">
        <v>44977</v>
      </c>
      <c r="B32" s="2" t="s">
        <v>12</v>
      </c>
      <c r="C32" s="1">
        <f>SUM(PL!E32:H32)</f>
        <v>0</v>
      </c>
      <c r="D32" s="1">
        <f>SUM(PL!I32:L32)</f>
        <v>0</v>
      </c>
      <c r="E32" s="1">
        <f>SUM(C32:D32)</f>
        <v>0</v>
      </c>
      <c r="F32" s="1">
        <f>IF(C32 + F31 &lt; 0, C32 + F31, 0)</f>
        <v>0</v>
      </c>
      <c r="G32" s="1">
        <f>IF(D32 + G31 &lt; 0, D32 + G31, 0)</f>
        <v>0</v>
      </c>
      <c r="H32" s="1">
        <f>IF(E32 + H31 &lt; 0, E32 + H31, 0)</f>
        <v>0</v>
      </c>
      <c r="I32" s="1">
        <f>IF(H32 &lt; 0, 1 + I31, 0)</f>
        <v>0</v>
      </c>
      <c r="J32" s="1">
        <f>C32-((ABS(SUM(PL!E32:H32)))*0.125)</f>
        <v>0</v>
      </c>
      <c r="K32" s="1">
        <f>D32-((ABS(SUM(PL!I32:L32)))*0.125)</f>
        <v>0</v>
      </c>
      <c r="L32" s="1">
        <f>J32 + K32</f>
        <v>0</v>
      </c>
      <c r="M32" s="1">
        <f>IF(J32 + M31 &lt; 0, J32 + M31, 0)</f>
        <v>0</v>
      </c>
      <c r="N32" s="1">
        <f>IF(K32 + N31 &lt; 0, K32 + N31, 0)</f>
        <v>0</v>
      </c>
      <c r="O32" s="1">
        <f>IF(L32 + O31 &lt; 0, L32 + O31, 0)</f>
        <v>0</v>
      </c>
      <c r="P32" s="1">
        <f>IF(O32 &lt; 0, 1 + P31, 0)</f>
        <v>0</v>
      </c>
      <c r="Q32" s="1">
        <f>IF(E32&lt;0,1,0)</f>
        <v>0</v>
      </c>
      <c r="R32" s="1">
        <f>IF(Q32=1,E32,0)</f>
        <v>0</v>
      </c>
      <c r="S32" s="1">
        <f>IF(E32&gt;0,1,0)</f>
        <v>0</v>
      </c>
      <c r="T32" s="1">
        <f>IF(S32=1,E32,0)</f>
        <v>0</v>
      </c>
      <c r="U32" s="1">
        <f>IF(R32&lt;-100000000/100,1,0)</f>
        <v>0</v>
      </c>
      <c r="V32" s="1">
        <f>IF(T32&gt;100000000/100,1,0)</f>
        <v>0</v>
      </c>
      <c r="W32" s="1">
        <f>IF(L32&lt;0,1,0)</f>
        <v>0</v>
      </c>
      <c r="X32" s="1">
        <f>IF(W32=1,L32,0)</f>
        <v>0</v>
      </c>
      <c r="Y32" s="1">
        <f>IF(L32&gt;0,1,0)</f>
        <v>0</v>
      </c>
      <c r="Z32" s="1">
        <f>IF(Y32=1,L32,0)</f>
        <v>0</v>
      </c>
      <c r="AA32" s="1">
        <f>IF(X32&lt;-100000000/100,1,0)</f>
        <v>0</v>
      </c>
      <c r="AB32" s="1">
        <f>IF(Z32&gt;100000000/100,1,0)</f>
        <v>0</v>
      </c>
    </row>
    <row r="33" spans="1:28" s="1" customFormat="1">
      <c r="A33" s="3">
        <v>44978</v>
      </c>
      <c r="B33" s="2" t="s">
        <v>13</v>
      </c>
      <c r="C33" s="1">
        <f>SUM(PL!E33:H33)</f>
        <v>0</v>
      </c>
      <c r="D33" s="1">
        <f>SUM(PL!I33:L33)</f>
        <v>0</v>
      </c>
      <c r="E33" s="1">
        <f>SUM(C33:D33)</f>
        <v>0</v>
      </c>
      <c r="F33" s="1">
        <f>IF(C33 + F32 &lt; 0, C33 + F32, 0)</f>
        <v>0</v>
      </c>
      <c r="G33" s="1">
        <f>IF(D33 + G32 &lt; 0, D33 + G32, 0)</f>
        <v>0</v>
      </c>
      <c r="H33" s="1">
        <f>IF(E33 + H32 &lt; 0, E33 + H32, 0)</f>
        <v>0</v>
      </c>
      <c r="I33" s="1">
        <f>IF(H33 &lt; 0, 1 + I32, 0)</f>
        <v>0</v>
      </c>
      <c r="J33" s="1">
        <f>C33-((ABS(SUM(PL!E33:H33)))*0.125)</f>
        <v>0</v>
      </c>
      <c r="K33" s="1">
        <f>D33-((ABS(SUM(PL!I33:L33)))*0.125)</f>
        <v>0</v>
      </c>
      <c r="L33" s="1">
        <f>J33 + K33</f>
        <v>0</v>
      </c>
      <c r="M33" s="1">
        <f>IF(J33 + M32 &lt; 0, J33 + M32, 0)</f>
        <v>0</v>
      </c>
      <c r="N33" s="1">
        <f>IF(K33 + N32 &lt; 0, K33 + N32, 0)</f>
        <v>0</v>
      </c>
      <c r="O33" s="1">
        <f>IF(L33 + O32 &lt; 0, L33 + O32, 0)</f>
        <v>0</v>
      </c>
      <c r="P33" s="1">
        <f>IF(O33 &lt; 0, 1 + P32, 0)</f>
        <v>0</v>
      </c>
      <c r="Q33" s="1">
        <f>IF(E33&lt;0,1,0)</f>
        <v>0</v>
      </c>
      <c r="R33" s="1">
        <f>IF(Q33=1,E33,0)</f>
        <v>0</v>
      </c>
      <c r="S33" s="1">
        <f>IF(E33&gt;0,1,0)</f>
        <v>0</v>
      </c>
      <c r="T33" s="1">
        <f>IF(S33=1,E33,0)</f>
        <v>0</v>
      </c>
      <c r="U33" s="1">
        <f>IF(R33&lt;-100000000/100,1,0)</f>
        <v>0</v>
      </c>
      <c r="V33" s="1">
        <f>IF(T33&gt;100000000/100,1,0)</f>
        <v>0</v>
      </c>
      <c r="W33" s="1">
        <f>IF(L33&lt;0,1,0)</f>
        <v>0</v>
      </c>
      <c r="X33" s="1">
        <f>IF(W33=1,L33,0)</f>
        <v>0</v>
      </c>
      <c r="Y33" s="1">
        <f>IF(L33&gt;0,1,0)</f>
        <v>0</v>
      </c>
      <c r="Z33" s="1">
        <f>IF(Y33=1,L33,0)</f>
        <v>0</v>
      </c>
      <c r="AA33" s="1">
        <f>IF(X33&lt;-100000000/100,1,0)</f>
        <v>0</v>
      </c>
      <c r="AB33" s="1">
        <f>IF(Z33&gt;100000000/100,1,0)</f>
        <v>0</v>
      </c>
    </row>
    <row r="34" spans="1:28" s="1" customFormat="1">
      <c r="A34" s="3">
        <v>44979</v>
      </c>
      <c r="B34" s="2" t="s">
        <v>14</v>
      </c>
      <c r="C34" s="1">
        <f>SUM(PL!E34:H34)</f>
        <v>0</v>
      </c>
      <c r="D34" s="1">
        <f>SUM(PL!I34:L34)</f>
        <v>0</v>
      </c>
      <c r="E34" s="1">
        <f>SUM(C34:D34)</f>
        <v>0</v>
      </c>
      <c r="F34" s="1">
        <f>IF(C34 + F33 &lt; 0, C34 + F33, 0)</f>
        <v>0</v>
      </c>
      <c r="G34" s="1">
        <f>IF(D34 + G33 &lt; 0, D34 + G33, 0)</f>
        <v>0</v>
      </c>
      <c r="H34" s="1">
        <f>IF(E34 + H33 &lt; 0, E34 + H33, 0)</f>
        <v>0</v>
      </c>
      <c r="I34" s="1">
        <f>IF(H34 &lt; 0, 1 + I33, 0)</f>
        <v>0</v>
      </c>
      <c r="J34" s="1">
        <f>C34-((ABS(SUM(PL!E34:H34)))*0.125)</f>
        <v>0</v>
      </c>
      <c r="K34" s="1">
        <f>D34-((ABS(SUM(PL!I34:L34)))*0.125)</f>
        <v>0</v>
      </c>
      <c r="L34" s="1">
        <f>J34 + K34</f>
        <v>0</v>
      </c>
      <c r="M34" s="1">
        <f>IF(J34 + M33 &lt; 0, J34 + M33, 0)</f>
        <v>0</v>
      </c>
      <c r="N34" s="1">
        <f>IF(K34 + N33 &lt; 0, K34 + N33, 0)</f>
        <v>0</v>
      </c>
      <c r="O34" s="1">
        <f>IF(L34 + O33 &lt; 0, L34 + O33, 0)</f>
        <v>0</v>
      </c>
      <c r="P34" s="1">
        <f>IF(O34 &lt; 0, 1 + P33, 0)</f>
        <v>0</v>
      </c>
      <c r="Q34" s="1">
        <f>IF(E34&lt;0,1,0)</f>
        <v>0</v>
      </c>
      <c r="R34" s="1">
        <f>IF(Q34=1,E34,0)</f>
        <v>0</v>
      </c>
      <c r="S34" s="1">
        <f>IF(E34&gt;0,1,0)</f>
        <v>0</v>
      </c>
      <c r="T34" s="1">
        <f>IF(S34=1,E34,0)</f>
        <v>0</v>
      </c>
      <c r="U34" s="1">
        <f>IF(R34&lt;-100000000/100,1,0)</f>
        <v>0</v>
      </c>
      <c r="V34" s="1">
        <f>IF(T34&gt;100000000/100,1,0)</f>
        <v>0</v>
      </c>
      <c r="W34" s="1">
        <f>IF(L34&lt;0,1,0)</f>
        <v>0</v>
      </c>
      <c r="X34" s="1">
        <f>IF(W34=1,L34,0)</f>
        <v>0</v>
      </c>
      <c r="Y34" s="1">
        <f>IF(L34&gt;0,1,0)</f>
        <v>0</v>
      </c>
      <c r="Z34" s="1">
        <f>IF(Y34=1,L34,0)</f>
        <v>0</v>
      </c>
      <c r="AA34" s="1">
        <f>IF(X34&lt;-100000000/100,1,0)</f>
        <v>0</v>
      </c>
      <c r="AB34" s="1">
        <f>IF(Z34&gt;100000000/100,1,0)</f>
        <v>0</v>
      </c>
    </row>
    <row r="35" spans="1:28" s="1" customFormat="1">
      <c r="A35" s="3">
        <v>44980</v>
      </c>
      <c r="B35" s="2" t="s">
        <v>16</v>
      </c>
      <c r="C35" s="1">
        <f>SUM(PL!E35:H35)</f>
        <v>0</v>
      </c>
      <c r="D35" s="1">
        <f>SUM(PL!I35:L35)</f>
        <v>0</v>
      </c>
      <c r="E35" s="1">
        <f>SUM(C35:D35)</f>
        <v>0</v>
      </c>
      <c r="F35" s="1">
        <f>IF(C35 + F34 &lt; 0, C35 + F34, 0)</f>
        <v>0</v>
      </c>
      <c r="G35" s="1">
        <f>IF(D35 + G34 &lt; 0, D35 + G34, 0)</f>
        <v>0</v>
      </c>
      <c r="H35" s="1">
        <f>IF(E35 + H34 &lt; 0, E35 + H34, 0)</f>
        <v>0</v>
      </c>
      <c r="I35" s="1">
        <f>IF(H35 &lt; 0, 1 + I34, 0)</f>
        <v>0</v>
      </c>
      <c r="J35" s="1">
        <f>C35-((ABS(SUM(PL!E35:H35)))*0.125)</f>
        <v>0</v>
      </c>
      <c r="K35" s="1">
        <f>D35-((ABS(SUM(PL!I35:L35)))*0.125)</f>
        <v>0</v>
      </c>
      <c r="L35" s="1">
        <f>J35 + K35</f>
        <v>0</v>
      </c>
      <c r="M35" s="1">
        <f>IF(J35 + M34 &lt; 0, J35 + M34, 0)</f>
        <v>0</v>
      </c>
      <c r="N35" s="1">
        <f>IF(K35 + N34 &lt; 0, K35 + N34, 0)</f>
        <v>0</v>
      </c>
      <c r="O35" s="1">
        <f>IF(L35 + O34 &lt; 0, L35 + O34, 0)</f>
        <v>0</v>
      </c>
      <c r="P35" s="1">
        <f>IF(O35 &lt; 0, 1 + P34, 0)</f>
        <v>0</v>
      </c>
      <c r="Q35" s="1">
        <f>IF(E35&lt;0,1,0)</f>
        <v>0</v>
      </c>
      <c r="R35" s="1">
        <f>IF(Q35=1,E35,0)</f>
        <v>0</v>
      </c>
      <c r="S35" s="1">
        <f>IF(E35&gt;0,1,0)</f>
        <v>0</v>
      </c>
      <c r="T35" s="1">
        <f>IF(S35=1,E35,0)</f>
        <v>0</v>
      </c>
      <c r="U35" s="1">
        <f>IF(R35&lt;-100000000/100,1,0)</f>
        <v>0</v>
      </c>
      <c r="V35" s="1">
        <f>IF(T35&gt;100000000/100,1,0)</f>
        <v>0</v>
      </c>
      <c r="W35" s="1">
        <f>IF(L35&lt;0,1,0)</f>
        <v>0</v>
      </c>
      <c r="X35" s="1">
        <f>IF(W35=1,L35,0)</f>
        <v>0</v>
      </c>
      <c r="Y35" s="1">
        <f>IF(L35&gt;0,1,0)</f>
        <v>0</v>
      </c>
      <c r="Z35" s="1">
        <f>IF(Y35=1,L35,0)</f>
        <v>0</v>
      </c>
      <c r="AA35" s="1">
        <f>IF(X35&lt;-100000000/100,1,0)</f>
        <v>0</v>
      </c>
      <c r="AB35" s="1">
        <f>IF(Z35&gt;100000000/100,1,0)</f>
        <v>0</v>
      </c>
    </row>
    <row r="36" spans="1:28" s="1" customFormat="1">
      <c r="A36" s="3">
        <v>44981</v>
      </c>
      <c r="B36" s="2" t="s">
        <v>15</v>
      </c>
      <c r="C36" s="1">
        <f>SUM(PL!E36:H36)</f>
        <v>0</v>
      </c>
      <c r="D36" s="1">
        <f>SUM(PL!I36:L36)</f>
        <v>0</v>
      </c>
      <c r="E36" s="1">
        <f>SUM(C36:D36)</f>
        <v>0</v>
      </c>
      <c r="F36" s="1">
        <f>IF(C36 + F35 &lt; 0, C36 + F35, 0)</f>
        <v>0</v>
      </c>
      <c r="G36" s="1">
        <f>IF(D36 + G35 &lt; 0, D36 + G35, 0)</f>
        <v>0</v>
      </c>
      <c r="H36" s="1">
        <f>IF(E36 + H35 &lt; 0, E36 + H35, 0)</f>
        <v>0</v>
      </c>
      <c r="I36" s="1">
        <f>IF(H36 &lt; 0, 1 + I35, 0)</f>
        <v>0</v>
      </c>
      <c r="J36" s="1">
        <f>C36-((ABS(SUM(PL!E36:H36)))*0.125)</f>
        <v>0</v>
      </c>
      <c r="K36" s="1">
        <f>D36-((ABS(SUM(PL!I36:L36)))*0.125)</f>
        <v>0</v>
      </c>
      <c r="L36" s="1">
        <f>J36 + K36</f>
        <v>0</v>
      </c>
      <c r="M36" s="1">
        <f>IF(J36 + M35 &lt; 0, J36 + M35, 0)</f>
        <v>0</v>
      </c>
      <c r="N36" s="1">
        <f>IF(K36 + N35 &lt; 0, K36 + N35, 0)</f>
        <v>0</v>
      </c>
      <c r="O36" s="1">
        <f>IF(L36 + O35 &lt; 0, L36 + O35, 0)</f>
        <v>0</v>
      </c>
      <c r="P36" s="1">
        <f>IF(O36 &lt; 0, 1 + P35, 0)</f>
        <v>0</v>
      </c>
      <c r="Q36" s="1">
        <f>IF(E36&lt;0,1,0)</f>
        <v>0</v>
      </c>
      <c r="R36" s="1">
        <f>IF(Q36=1,E36,0)</f>
        <v>0</v>
      </c>
      <c r="S36" s="1">
        <f>IF(E36&gt;0,1,0)</f>
        <v>0</v>
      </c>
      <c r="T36" s="1">
        <f>IF(S36=1,E36,0)</f>
        <v>0</v>
      </c>
      <c r="U36" s="1">
        <f>IF(R36&lt;-100000000/100,1,0)</f>
        <v>0</v>
      </c>
      <c r="V36" s="1">
        <f>IF(T36&gt;100000000/100,1,0)</f>
        <v>0</v>
      </c>
      <c r="W36" s="1">
        <f>IF(L36&lt;0,1,0)</f>
        <v>0</v>
      </c>
      <c r="X36" s="1">
        <f>IF(W36=1,L36,0)</f>
        <v>0</v>
      </c>
      <c r="Y36" s="1">
        <f>IF(L36&gt;0,1,0)</f>
        <v>0</v>
      </c>
      <c r="Z36" s="1">
        <f>IF(Y36=1,L36,0)</f>
        <v>0</v>
      </c>
      <c r="AA36" s="1">
        <f>IF(X36&lt;-100000000/100,1,0)</f>
        <v>0</v>
      </c>
      <c r="AB36" s="1">
        <f>IF(Z36&gt;100000000/100,1,0)</f>
        <v>0</v>
      </c>
    </row>
    <row r="37" spans="1:28" s="1" customFormat="1">
      <c r="A37" s="3">
        <v>44984</v>
      </c>
      <c r="B37" s="2" t="s">
        <v>12</v>
      </c>
      <c r="C37" s="1">
        <f>SUM(PL!E37:H37)</f>
        <v>0</v>
      </c>
      <c r="D37" s="1">
        <f>SUM(PL!I37:L37)</f>
        <v>0</v>
      </c>
      <c r="E37" s="1">
        <f>SUM(C37:D37)</f>
        <v>0</v>
      </c>
      <c r="F37" s="1">
        <f>IF(C37 + F36 &lt; 0, C37 + F36, 0)</f>
        <v>0</v>
      </c>
      <c r="G37" s="1">
        <f>IF(D37 + G36 &lt; 0, D37 + G36, 0)</f>
        <v>0</v>
      </c>
      <c r="H37" s="1">
        <f>IF(E37 + H36 &lt; 0, E37 + H36, 0)</f>
        <v>0</v>
      </c>
      <c r="I37" s="1">
        <f>IF(H37 &lt; 0, 1 + I36, 0)</f>
        <v>0</v>
      </c>
      <c r="J37" s="1">
        <f>C37-((ABS(SUM(PL!E37:H37)))*0.125)</f>
        <v>0</v>
      </c>
      <c r="K37" s="1">
        <f>D37-((ABS(SUM(PL!I37:L37)))*0.125)</f>
        <v>0</v>
      </c>
      <c r="L37" s="1">
        <f>J37 + K37</f>
        <v>0</v>
      </c>
      <c r="M37" s="1">
        <f>IF(J37 + M36 &lt; 0, J37 + M36, 0)</f>
        <v>0</v>
      </c>
      <c r="N37" s="1">
        <f>IF(K37 + N36 &lt; 0, K37 + N36, 0)</f>
        <v>0</v>
      </c>
      <c r="O37" s="1">
        <f>IF(L37 + O36 &lt; 0, L37 + O36, 0)</f>
        <v>0</v>
      </c>
      <c r="P37" s="1">
        <f>IF(O37 &lt; 0, 1 + P36, 0)</f>
        <v>0</v>
      </c>
      <c r="Q37" s="1">
        <f>IF(E37&lt;0,1,0)</f>
        <v>0</v>
      </c>
      <c r="R37" s="1">
        <f>IF(Q37=1,E37,0)</f>
        <v>0</v>
      </c>
      <c r="S37" s="1">
        <f>IF(E37&gt;0,1,0)</f>
        <v>0</v>
      </c>
      <c r="T37" s="1">
        <f>IF(S37=1,E37,0)</f>
        <v>0</v>
      </c>
      <c r="U37" s="1">
        <f>IF(R37&lt;-100000000/100,1,0)</f>
        <v>0</v>
      </c>
      <c r="V37" s="1">
        <f>IF(T37&gt;100000000/100,1,0)</f>
        <v>0</v>
      </c>
      <c r="W37" s="1">
        <f>IF(L37&lt;0,1,0)</f>
        <v>0</v>
      </c>
      <c r="X37" s="1">
        <f>IF(W37=1,L37,0)</f>
        <v>0</v>
      </c>
      <c r="Y37" s="1">
        <f>IF(L37&gt;0,1,0)</f>
        <v>0</v>
      </c>
      <c r="Z37" s="1">
        <f>IF(Y37=1,L37,0)</f>
        <v>0</v>
      </c>
      <c r="AA37" s="1">
        <f>IF(X37&lt;-100000000/100,1,0)</f>
        <v>0</v>
      </c>
      <c r="AB37" s="1">
        <f>IF(Z37&gt;100000000/100,1,0)</f>
        <v>0</v>
      </c>
    </row>
    <row r="38" spans="1:28" s="1" customFormat="1">
      <c r="A38" s="3">
        <v>44985</v>
      </c>
      <c r="B38" s="2" t="s">
        <v>13</v>
      </c>
      <c r="C38" s="1">
        <f>SUM(PL!E38:H38)</f>
        <v>0</v>
      </c>
      <c r="D38" s="1">
        <f>SUM(PL!I38:L38)</f>
        <v>0</v>
      </c>
      <c r="E38" s="1">
        <f>SUM(C38:D38)</f>
        <v>0</v>
      </c>
      <c r="F38" s="1">
        <f>IF(C38 + F37 &lt; 0, C38 + F37, 0)</f>
        <v>0</v>
      </c>
      <c r="G38" s="1">
        <f>IF(D38 + G37 &lt; 0, D38 + G37, 0)</f>
        <v>0</v>
      </c>
      <c r="H38" s="1">
        <f>IF(E38 + H37 &lt; 0, E38 + H37, 0)</f>
        <v>0</v>
      </c>
      <c r="I38" s="1">
        <f>IF(H38 &lt; 0, 1 + I37, 0)</f>
        <v>0</v>
      </c>
      <c r="J38" s="1">
        <f>C38-((ABS(SUM(PL!E38:H38)))*0.125)</f>
        <v>0</v>
      </c>
      <c r="K38" s="1">
        <f>D38-((ABS(SUM(PL!I38:L38)))*0.125)</f>
        <v>0</v>
      </c>
      <c r="L38" s="1">
        <f>J38 + K38</f>
        <v>0</v>
      </c>
      <c r="M38" s="1">
        <f>IF(J38 + M37 &lt; 0, J38 + M37, 0)</f>
        <v>0</v>
      </c>
      <c r="N38" s="1">
        <f>IF(K38 + N37 &lt; 0, K38 + N37, 0)</f>
        <v>0</v>
      </c>
      <c r="O38" s="1">
        <f>IF(L38 + O37 &lt; 0, L38 + O37, 0)</f>
        <v>0</v>
      </c>
      <c r="P38" s="1">
        <f>IF(O38 &lt; 0, 1 + P37, 0)</f>
        <v>0</v>
      </c>
      <c r="Q38" s="1">
        <f>IF(E38&lt;0,1,0)</f>
        <v>0</v>
      </c>
      <c r="R38" s="1">
        <f>IF(Q38=1,E38,0)</f>
        <v>0</v>
      </c>
      <c r="S38" s="1">
        <f>IF(E38&gt;0,1,0)</f>
        <v>0</v>
      </c>
      <c r="T38" s="1">
        <f>IF(S38=1,E38,0)</f>
        <v>0</v>
      </c>
      <c r="U38" s="1">
        <f>IF(R38&lt;-100000000/100,1,0)</f>
        <v>0</v>
      </c>
      <c r="V38" s="1">
        <f>IF(T38&gt;100000000/100,1,0)</f>
        <v>0</v>
      </c>
      <c r="W38" s="1">
        <f>IF(L38&lt;0,1,0)</f>
        <v>0</v>
      </c>
      <c r="X38" s="1">
        <f>IF(W38=1,L38,0)</f>
        <v>0</v>
      </c>
      <c r="Y38" s="1">
        <f>IF(L38&gt;0,1,0)</f>
        <v>0</v>
      </c>
      <c r="Z38" s="1">
        <f>IF(Y38=1,L38,0)</f>
        <v>0</v>
      </c>
      <c r="AA38" s="1">
        <f>IF(X38&lt;-100000000/100,1,0)</f>
        <v>0</v>
      </c>
      <c r="AB38" s="1">
        <f>IF(Z38&gt;100000000/100,1,0)</f>
        <v>0</v>
      </c>
    </row>
    <row r="39" spans="1:28" s="1" customFormat="1">
      <c r="A39" s="3">
        <v>44986</v>
      </c>
      <c r="B39" s="2" t="s">
        <v>14</v>
      </c>
      <c r="C39" s="1">
        <f>SUM(PL!E39:H39)</f>
        <v>0</v>
      </c>
      <c r="D39" s="1">
        <f>SUM(PL!I39:L39)</f>
        <v>0</v>
      </c>
      <c r="E39" s="1">
        <f>SUM(C39:D39)</f>
        <v>0</v>
      </c>
      <c r="F39" s="1">
        <f>IF(C39 + F38 &lt; 0, C39 + F38, 0)</f>
        <v>0</v>
      </c>
      <c r="G39" s="1">
        <f>IF(D39 + G38 &lt; 0, D39 + G38, 0)</f>
        <v>0</v>
      </c>
      <c r="H39" s="1">
        <f>IF(E39 + H38 &lt; 0, E39 + H38, 0)</f>
        <v>0</v>
      </c>
      <c r="I39" s="1">
        <f>IF(H39 &lt; 0, 1 + I38, 0)</f>
        <v>0</v>
      </c>
      <c r="J39" s="1">
        <f>C39-((ABS(SUM(PL!E39:H39)))*0.125)</f>
        <v>0</v>
      </c>
      <c r="K39" s="1">
        <f>D39-((ABS(SUM(PL!I39:L39)))*0.125)</f>
        <v>0</v>
      </c>
      <c r="L39" s="1">
        <f>J39 + K39</f>
        <v>0</v>
      </c>
      <c r="M39" s="1">
        <f>IF(J39 + M38 &lt; 0, J39 + M38, 0)</f>
        <v>0</v>
      </c>
      <c r="N39" s="1">
        <f>IF(K39 + N38 &lt; 0, K39 + N38, 0)</f>
        <v>0</v>
      </c>
      <c r="O39" s="1">
        <f>IF(L39 + O38 &lt; 0, L39 + O38, 0)</f>
        <v>0</v>
      </c>
      <c r="P39" s="1">
        <f>IF(O39 &lt; 0, 1 + P38, 0)</f>
        <v>0</v>
      </c>
      <c r="Q39" s="1">
        <f>IF(E39&lt;0,1,0)</f>
        <v>0</v>
      </c>
      <c r="R39" s="1">
        <f>IF(Q39=1,E39,0)</f>
        <v>0</v>
      </c>
      <c r="S39" s="1">
        <f>IF(E39&gt;0,1,0)</f>
        <v>0</v>
      </c>
      <c r="T39" s="1">
        <f>IF(S39=1,E39,0)</f>
        <v>0</v>
      </c>
      <c r="U39" s="1">
        <f>IF(R39&lt;-100000000/100,1,0)</f>
        <v>0</v>
      </c>
      <c r="V39" s="1">
        <f>IF(T39&gt;100000000/100,1,0)</f>
        <v>0</v>
      </c>
      <c r="W39" s="1">
        <f>IF(L39&lt;0,1,0)</f>
        <v>0</v>
      </c>
      <c r="X39" s="1">
        <f>IF(W39=1,L39,0)</f>
        <v>0</v>
      </c>
      <c r="Y39" s="1">
        <f>IF(L39&gt;0,1,0)</f>
        <v>0</v>
      </c>
      <c r="Z39" s="1">
        <f>IF(Y39=1,L39,0)</f>
        <v>0</v>
      </c>
      <c r="AA39" s="1">
        <f>IF(X39&lt;-100000000/100,1,0)</f>
        <v>0</v>
      </c>
      <c r="AB39" s="1">
        <f>IF(Z39&gt;100000000/100,1,0)</f>
        <v>0</v>
      </c>
    </row>
    <row r="40" spans="1:28" s="1" customFormat="1">
      <c r="A40" s="3">
        <v>44987</v>
      </c>
      <c r="B40" s="2" t="s">
        <v>16</v>
      </c>
      <c r="C40" s="1">
        <f>SUM(PL!E40:H40)</f>
        <v>0</v>
      </c>
      <c r="D40" s="1">
        <f>SUM(PL!I40:L40)</f>
        <v>0</v>
      </c>
      <c r="E40" s="1">
        <f>SUM(C40:D40)</f>
        <v>0</v>
      </c>
      <c r="F40" s="1">
        <f>IF(C40 + F39 &lt; 0, C40 + F39, 0)</f>
        <v>0</v>
      </c>
      <c r="G40" s="1">
        <f>IF(D40 + G39 &lt; 0, D40 + G39, 0)</f>
        <v>0</v>
      </c>
      <c r="H40" s="1">
        <f>IF(E40 + H39 &lt; 0, E40 + H39, 0)</f>
        <v>0</v>
      </c>
      <c r="I40" s="1">
        <f>IF(H40 &lt; 0, 1 + I39, 0)</f>
        <v>0</v>
      </c>
      <c r="J40" s="1">
        <f>C40-((ABS(SUM(PL!E40:H40)))*0.125)</f>
        <v>0</v>
      </c>
      <c r="K40" s="1">
        <f>D40-((ABS(SUM(PL!I40:L40)))*0.125)</f>
        <v>0</v>
      </c>
      <c r="L40" s="1">
        <f>J40 + K40</f>
        <v>0</v>
      </c>
      <c r="M40" s="1">
        <f>IF(J40 + M39 &lt; 0, J40 + M39, 0)</f>
        <v>0</v>
      </c>
      <c r="N40" s="1">
        <f>IF(K40 + N39 &lt; 0, K40 + N39, 0)</f>
        <v>0</v>
      </c>
      <c r="O40" s="1">
        <f>IF(L40 + O39 &lt; 0, L40 + O39, 0)</f>
        <v>0</v>
      </c>
      <c r="P40" s="1">
        <f>IF(O40 &lt; 0, 1 + P39, 0)</f>
        <v>0</v>
      </c>
      <c r="Q40" s="1">
        <f>IF(E40&lt;0,1,0)</f>
        <v>0</v>
      </c>
      <c r="R40" s="1">
        <f>IF(Q40=1,E40,0)</f>
        <v>0</v>
      </c>
      <c r="S40" s="1">
        <f>IF(E40&gt;0,1,0)</f>
        <v>0</v>
      </c>
      <c r="T40" s="1">
        <f>IF(S40=1,E40,0)</f>
        <v>0</v>
      </c>
      <c r="U40" s="1">
        <f>IF(R40&lt;-100000000/100,1,0)</f>
        <v>0</v>
      </c>
      <c r="V40" s="1">
        <f>IF(T40&gt;100000000/100,1,0)</f>
        <v>0</v>
      </c>
      <c r="W40" s="1">
        <f>IF(L40&lt;0,1,0)</f>
        <v>0</v>
      </c>
      <c r="X40" s="1">
        <f>IF(W40=1,L40,0)</f>
        <v>0</v>
      </c>
      <c r="Y40" s="1">
        <f>IF(L40&gt;0,1,0)</f>
        <v>0</v>
      </c>
      <c r="Z40" s="1">
        <f>IF(Y40=1,L40,0)</f>
        <v>0</v>
      </c>
      <c r="AA40" s="1">
        <f>IF(X40&lt;-100000000/100,1,0)</f>
        <v>0</v>
      </c>
      <c r="AB40" s="1">
        <f>IF(Z40&gt;100000000/100,1,0)</f>
        <v>0</v>
      </c>
    </row>
    <row r="41" spans="1:28" s="1" customFormat="1">
      <c r="A41" s="3">
        <v>44991</v>
      </c>
      <c r="B41" s="2" t="s">
        <v>12</v>
      </c>
      <c r="C41" s="1">
        <f>SUM(PL!E41:H41)</f>
        <v>0</v>
      </c>
      <c r="D41" s="1">
        <f>SUM(PL!I41:L41)</f>
        <v>0</v>
      </c>
      <c r="E41" s="1">
        <f>SUM(C41:D41)</f>
        <v>0</v>
      </c>
      <c r="F41" s="1">
        <f>IF(C41 + F40 &lt; 0, C41 + F40, 0)</f>
        <v>0</v>
      </c>
      <c r="G41" s="1">
        <f>IF(D41 + G40 &lt; 0, D41 + G40, 0)</f>
        <v>0</v>
      </c>
      <c r="H41" s="1">
        <f>IF(E41 + H40 &lt; 0, E41 + H40, 0)</f>
        <v>0</v>
      </c>
      <c r="I41" s="1">
        <f>IF(H41 &lt; 0, 1 + I40, 0)</f>
        <v>0</v>
      </c>
      <c r="J41" s="1">
        <f>C41-((ABS(SUM(PL!E41:H41)))*0.125)</f>
        <v>0</v>
      </c>
      <c r="K41" s="1">
        <f>D41-((ABS(SUM(PL!I41:L41)))*0.125)</f>
        <v>0</v>
      </c>
      <c r="L41" s="1">
        <f>J41 + K41</f>
        <v>0</v>
      </c>
      <c r="M41" s="1">
        <f>IF(J41 + M40 &lt; 0, J41 + M40, 0)</f>
        <v>0</v>
      </c>
      <c r="N41" s="1">
        <f>IF(K41 + N40 &lt; 0, K41 + N40, 0)</f>
        <v>0</v>
      </c>
      <c r="O41" s="1">
        <f>IF(L41 + O40 &lt; 0, L41 + O40, 0)</f>
        <v>0</v>
      </c>
      <c r="P41" s="1">
        <f>IF(O41 &lt; 0, 1 + P40, 0)</f>
        <v>0</v>
      </c>
      <c r="Q41" s="1">
        <f>IF(E41&lt;0,1,0)</f>
        <v>0</v>
      </c>
      <c r="R41" s="1">
        <f>IF(Q41=1,E41,0)</f>
        <v>0</v>
      </c>
      <c r="S41" s="1">
        <f>IF(E41&gt;0,1,0)</f>
        <v>0</v>
      </c>
      <c r="T41" s="1">
        <f>IF(S41=1,E41,0)</f>
        <v>0</v>
      </c>
      <c r="U41" s="1">
        <f>IF(R41&lt;-100000000/100,1,0)</f>
        <v>0</v>
      </c>
      <c r="V41" s="1">
        <f>IF(T41&gt;100000000/100,1,0)</f>
        <v>0</v>
      </c>
      <c r="W41" s="1">
        <f>IF(L41&lt;0,1,0)</f>
        <v>0</v>
      </c>
      <c r="X41" s="1">
        <f>IF(W41=1,L41,0)</f>
        <v>0</v>
      </c>
      <c r="Y41" s="1">
        <f>IF(L41&gt;0,1,0)</f>
        <v>0</v>
      </c>
      <c r="Z41" s="1">
        <f>IF(Y41=1,L41,0)</f>
        <v>0</v>
      </c>
      <c r="AA41" s="1">
        <f>IF(X41&lt;-100000000/100,1,0)</f>
        <v>0</v>
      </c>
      <c r="AB41" s="1">
        <f>IF(Z41&gt;100000000/100,1,0)</f>
        <v>0</v>
      </c>
    </row>
    <row r="42" spans="1:28" s="1" customFormat="1">
      <c r="A42" s="3">
        <v>44992</v>
      </c>
      <c r="B42" s="2" t="s">
        <v>13</v>
      </c>
      <c r="C42" s="1">
        <f>SUM(PL!E42:H42)</f>
        <v>0</v>
      </c>
      <c r="D42" s="1">
        <f>SUM(PL!I42:L42)</f>
        <v>0</v>
      </c>
      <c r="E42" s="1">
        <f>SUM(C42:D42)</f>
        <v>0</v>
      </c>
      <c r="F42" s="1">
        <f>IF(C42 + F41 &lt; 0, C42 + F41, 0)</f>
        <v>0</v>
      </c>
      <c r="G42" s="1">
        <f>IF(D42 + G41 &lt; 0, D42 + G41, 0)</f>
        <v>0</v>
      </c>
      <c r="H42" s="1">
        <f>IF(E42 + H41 &lt; 0, E42 + H41, 0)</f>
        <v>0</v>
      </c>
      <c r="I42" s="1">
        <f>IF(H42 &lt; 0, 1 + I41, 0)</f>
        <v>0</v>
      </c>
      <c r="J42" s="1">
        <f>C42-((ABS(SUM(PL!E42:H42)))*0.125)</f>
        <v>0</v>
      </c>
      <c r="K42" s="1">
        <f>D42-((ABS(SUM(PL!I42:L42)))*0.125)</f>
        <v>0</v>
      </c>
      <c r="L42" s="1">
        <f>J42 + K42</f>
        <v>0</v>
      </c>
      <c r="M42" s="1">
        <f>IF(J42 + M41 &lt; 0, J42 + M41, 0)</f>
        <v>0</v>
      </c>
      <c r="N42" s="1">
        <f>IF(K42 + N41 &lt; 0, K42 + N41, 0)</f>
        <v>0</v>
      </c>
      <c r="O42" s="1">
        <f>IF(L42 + O41 &lt; 0, L42 + O41, 0)</f>
        <v>0</v>
      </c>
      <c r="P42" s="1">
        <f>IF(O42 &lt; 0, 1 + P41, 0)</f>
        <v>0</v>
      </c>
      <c r="Q42" s="1">
        <f>IF(E42&lt;0,1,0)</f>
        <v>0</v>
      </c>
      <c r="R42" s="1">
        <f>IF(Q42=1,E42,0)</f>
        <v>0</v>
      </c>
      <c r="S42" s="1">
        <f>IF(E42&gt;0,1,0)</f>
        <v>0</v>
      </c>
      <c r="T42" s="1">
        <f>IF(S42=1,E42,0)</f>
        <v>0</v>
      </c>
      <c r="U42" s="1">
        <f>IF(R42&lt;-100000000/100,1,0)</f>
        <v>0</v>
      </c>
      <c r="V42" s="1">
        <f>IF(T42&gt;100000000/100,1,0)</f>
        <v>0</v>
      </c>
      <c r="W42" s="1">
        <f>IF(L42&lt;0,1,0)</f>
        <v>0</v>
      </c>
      <c r="X42" s="1">
        <f>IF(W42=1,L42,0)</f>
        <v>0</v>
      </c>
      <c r="Y42" s="1">
        <f>IF(L42&gt;0,1,0)</f>
        <v>0</v>
      </c>
      <c r="Z42" s="1">
        <f>IF(Y42=1,L42,0)</f>
        <v>0</v>
      </c>
      <c r="AA42" s="1">
        <f>IF(X42&lt;-100000000/100,1,0)</f>
        <v>0</v>
      </c>
      <c r="AB42" s="1">
        <f>IF(Z42&gt;100000000/100,1,0)</f>
        <v>0</v>
      </c>
    </row>
    <row r="43" spans="1:28" s="1" customFormat="1">
      <c r="A43" s="3">
        <v>44993</v>
      </c>
      <c r="B43" s="2" t="s">
        <v>14</v>
      </c>
      <c r="C43" s="1">
        <f>SUM(PL!E43:H43)</f>
        <v>0</v>
      </c>
      <c r="D43" s="1">
        <f>SUM(PL!I43:L43)</f>
        <v>0</v>
      </c>
      <c r="E43" s="1">
        <f>SUM(C43:D43)</f>
        <v>0</v>
      </c>
      <c r="F43" s="1">
        <f>IF(C43 + F42 &lt; 0, C43 + F42, 0)</f>
        <v>0</v>
      </c>
      <c r="G43" s="1">
        <f>IF(D43 + G42 &lt; 0, D43 + G42, 0)</f>
        <v>0</v>
      </c>
      <c r="H43" s="1">
        <f>IF(E43 + H42 &lt; 0, E43 + H42, 0)</f>
        <v>0</v>
      </c>
      <c r="I43" s="1">
        <f>IF(H43 &lt; 0, 1 + I42, 0)</f>
        <v>0</v>
      </c>
      <c r="J43" s="1">
        <f>C43-((ABS(SUM(PL!E43:H43)))*0.125)</f>
        <v>0</v>
      </c>
      <c r="K43" s="1">
        <f>D43-((ABS(SUM(PL!I43:L43)))*0.125)</f>
        <v>0</v>
      </c>
      <c r="L43" s="1">
        <f>J43 + K43</f>
        <v>0</v>
      </c>
      <c r="M43" s="1">
        <f>IF(J43 + M42 &lt; 0, J43 + M42, 0)</f>
        <v>0</v>
      </c>
      <c r="N43" s="1">
        <f>IF(K43 + N42 &lt; 0, K43 + N42, 0)</f>
        <v>0</v>
      </c>
      <c r="O43" s="1">
        <f>IF(L43 + O42 &lt; 0, L43 + O42, 0)</f>
        <v>0</v>
      </c>
      <c r="P43" s="1">
        <f>IF(O43 &lt; 0, 1 + P42, 0)</f>
        <v>0</v>
      </c>
      <c r="Q43" s="1">
        <f>IF(E43&lt;0,1,0)</f>
        <v>0</v>
      </c>
      <c r="R43" s="1">
        <f>IF(Q43=1,E43,0)</f>
        <v>0</v>
      </c>
      <c r="S43" s="1">
        <f>IF(E43&gt;0,1,0)</f>
        <v>0</v>
      </c>
      <c r="T43" s="1">
        <f>IF(S43=1,E43,0)</f>
        <v>0</v>
      </c>
      <c r="U43" s="1">
        <f>IF(R43&lt;-100000000/100,1,0)</f>
        <v>0</v>
      </c>
      <c r="V43" s="1">
        <f>IF(T43&gt;100000000/100,1,0)</f>
        <v>0</v>
      </c>
      <c r="W43" s="1">
        <f>IF(L43&lt;0,1,0)</f>
        <v>0</v>
      </c>
      <c r="X43" s="1">
        <f>IF(W43=1,L43,0)</f>
        <v>0</v>
      </c>
      <c r="Y43" s="1">
        <f>IF(L43&gt;0,1,0)</f>
        <v>0</v>
      </c>
      <c r="Z43" s="1">
        <f>IF(Y43=1,L43,0)</f>
        <v>0</v>
      </c>
      <c r="AA43" s="1">
        <f>IF(X43&lt;-100000000/100,1,0)</f>
        <v>0</v>
      </c>
      <c r="AB43" s="1">
        <f>IF(Z43&gt;100000000/100,1,0)</f>
        <v>0</v>
      </c>
    </row>
    <row r="44" spans="1:28" s="1" customFormat="1">
      <c r="A44" s="3">
        <v>44994</v>
      </c>
      <c r="B44" s="2" t="s">
        <v>16</v>
      </c>
      <c r="C44" s="1">
        <f>SUM(PL!E44:H44)</f>
        <v>0</v>
      </c>
      <c r="D44" s="1">
        <f>SUM(PL!I44:L44)</f>
        <v>0</v>
      </c>
      <c r="E44" s="1">
        <f>SUM(C44:D44)</f>
        <v>0</v>
      </c>
      <c r="F44" s="1">
        <f>IF(C44 + F43 &lt; 0, C44 + F43, 0)</f>
        <v>0</v>
      </c>
      <c r="G44" s="1">
        <f>IF(D44 + G43 &lt; 0, D44 + G43, 0)</f>
        <v>0</v>
      </c>
      <c r="H44" s="1">
        <f>IF(E44 + H43 &lt; 0, E44 + H43, 0)</f>
        <v>0</v>
      </c>
      <c r="I44" s="1">
        <f>IF(H44 &lt; 0, 1 + I43, 0)</f>
        <v>0</v>
      </c>
      <c r="J44" s="1">
        <f>C44-((ABS(SUM(PL!E44:H44)))*0.125)</f>
        <v>0</v>
      </c>
      <c r="K44" s="1">
        <f>D44-((ABS(SUM(PL!I44:L44)))*0.125)</f>
        <v>0</v>
      </c>
      <c r="L44" s="1">
        <f>J44 + K44</f>
        <v>0</v>
      </c>
      <c r="M44" s="1">
        <f>IF(J44 + M43 &lt; 0, J44 + M43, 0)</f>
        <v>0</v>
      </c>
      <c r="N44" s="1">
        <f>IF(K44 + N43 &lt; 0, K44 + N43, 0)</f>
        <v>0</v>
      </c>
      <c r="O44" s="1">
        <f>IF(L44 + O43 &lt; 0, L44 + O43, 0)</f>
        <v>0</v>
      </c>
      <c r="P44" s="1">
        <f>IF(O44 &lt; 0, 1 + P43, 0)</f>
        <v>0</v>
      </c>
      <c r="Q44" s="1">
        <f>IF(E44&lt;0,1,0)</f>
        <v>0</v>
      </c>
      <c r="R44" s="1">
        <f>IF(Q44=1,E44,0)</f>
        <v>0</v>
      </c>
      <c r="S44" s="1">
        <f>IF(E44&gt;0,1,0)</f>
        <v>0</v>
      </c>
      <c r="T44" s="1">
        <f>IF(S44=1,E44,0)</f>
        <v>0</v>
      </c>
      <c r="U44" s="1">
        <f>IF(R44&lt;-100000000/100,1,0)</f>
        <v>0</v>
      </c>
      <c r="V44" s="1">
        <f>IF(T44&gt;100000000/100,1,0)</f>
        <v>0</v>
      </c>
      <c r="W44" s="1">
        <f>IF(L44&lt;0,1,0)</f>
        <v>0</v>
      </c>
      <c r="X44" s="1">
        <f>IF(W44=1,L44,0)</f>
        <v>0</v>
      </c>
      <c r="Y44" s="1">
        <f>IF(L44&gt;0,1,0)</f>
        <v>0</v>
      </c>
      <c r="Z44" s="1">
        <f>IF(Y44=1,L44,0)</f>
        <v>0</v>
      </c>
      <c r="AA44" s="1">
        <f>IF(X44&lt;-100000000/100,1,0)</f>
        <v>0</v>
      </c>
      <c r="AB44" s="1">
        <f>IF(Z44&gt;100000000/100,1,0)</f>
        <v>0</v>
      </c>
    </row>
    <row r="45" spans="1:28" s="1" customFormat="1">
      <c r="A45" s="3">
        <v>44995</v>
      </c>
      <c r="B45" s="2" t="s">
        <v>15</v>
      </c>
      <c r="C45" s="1">
        <f>SUM(PL!E45:H45)</f>
        <v>0</v>
      </c>
      <c r="D45" s="1">
        <f>SUM(PL!I45:L45)</f>
        <v>0</v>
      </c>
      <c r="E45" s="1">
        <f>SUM(C45:D45)</f>
        <v>0</v>
      </c>
      <c r="F45" s="1">
        <f>IF(C45 + F44 &lt; 0, C45 + F44, 0)</f>
        <v>0</v>
      </c>
      <c r="G45" s="1">
        <f>IF(D45 + G44 &lt; 0, D45 + G44, 0)</f>
        <v>0</v>
      </c>
      <c r="H45" s="1">
        <f>IF(E45 + H44 &lt; 0, E45 + H44, 0)</f>
        <v>0</v>
      </c>
      <c r="I45" s="1">
        <f>IF(H45 &lt; 0, 1 + I44, 0)</f>
        <v>0</v>
      </c>
      <c r="J45" s="1">
        <f>C45-((ABS(SUM(PL!E45:H45)))*0.125)</f>
        <v>0</v>
      </c>
      <c r="K45" s="1">
        <f>D45-((ABS(SUM(PL!I45:L45)))*0.125)</f>
        <v>0</v>
      </c>
      <c r="L45" s="1">
        <f>J45 + K45</f>
        <v>0</v>
      </c>
      <c r="M45" s="1">
        <f>IF(J45 + M44 &lt; 0, J45 + M44, 0)</f>
        <v>0</v>
      </c>
      <c r="N45" s="1">
        <f>IF(K45 + N44 &lt; 0, K45 + N44, 0)</f>
        <v>0</v>
      </c>
      <c r="O45" s="1">
        <f>IF(L45 + O44 &lt; 0, L45 + O44, 0)</f>
        <v>0</v>
      </c>
      <c r="P45" s="1">
        <f>IF(O45 &lt; 0, 1 + P44, 0)</f>
        <v>0</v>
      </c>
      <c r="Q45" s="1">
        <f>IF(E45&lt;0,1,0)</f>
        <v>0</v>
      </c>
      <c r="R45" s="1">
        <f>IF(Q45=1,E45,0)</f>
        <v>0</v>
      </c>
      <c r="S45" s="1">
        <f>IF(E45&gt;0,1,0)</f>
        <v>0</v>
      </c>
      <c r="T45" s="1">
        <f>IF(S45=1,E45,0)</f>
        <v>0</v>
      </c>
      <c r="U45" s="1">
        <f>IF(R45&lt;-100000000/100,1,0)</f>
        <v>0</v>
      </c>
      <c r="V45" s="1">
        <f>IF(T45&gt;100000000/100,1,0)</f>
        <v>0</v>
      </c>
      <c r="W45" s="1">
        <f>IF(L45&lt;0,1,0)</f>
        <v>0</v>
      </c>
      <c r="X45" s="1">
        <f>IF(W45=1,L45,0)</f>
        <v>0</v>
      </c>
      <c r="Y45" s="1">
        <f>IF(L45&gt;0,1,0)</f>
        <v>0</v>
      </c>
      <c r="Z45" s="1">
        <f>IF(Y45=1,L45,0)</f>
        <v>0</v>
      </c>
      <c r="AA45" s="1">
        <f>IF(X45&lt;-100000000/100,1,0)</f>
        <v>0</v>
      </c>
      <c r="AB45" s="1">
        <f>IF(Z45&gt;100000000/100,1,0)</f>
        <v>0</v>
      </c>
    </row>
    <row r="46" spans="1:28" s="1" customFormat="1">
      <c r="A46" s="3">
        <v>44998</v>
      </c>
      <c r="B46" s="2" t="s">
        <v>12</v>
      </c>
      <c r="C46" s="1">
        <f>SUM(PL!E46:H46)</f>
        <v>0</v>
      </c>
      <c r="D46" s="1">
        <f>SUM(PL!I46:L46)</f>
        <v>0</v>
      </c>
      <c r="E46" s="1">
        <f>SUM(C46:D46)</f>
        <v>0</v>
      </c>
      <c r="F46" s="1">
        <f>IF(C46 + F45 &lt; 0, C46 + F45, 0)</f>
        <v>0</v>
      </c>
      <c r="G46" s="1">
        <f>IF(D46 + G45 &lt; 0, D46 + G45, 0)</f>
        <v>0</v>
      </c>
      <c r="H46" s="1">
        <f>IF(E46 + H45 &lt; 0, E46 + H45, 0)</f>
        <v>0</v>
      </c>
      <c r="I46" s="1">
        <f>IF(H46 &lt; 0, 1 + I45, 0)</f>
        <v>0</v>
      </c>
      <c r="J46" s="1">
        <f>C46-((ABS(SUM(PL!E46:H46)))*0.125)</f>
        <v>0</v>
      </c>
      <c r="K46" s="1">
        <f>D46-((ABS(SUM(PL!I46:L46)))*0.125)</f>
        <v>0</v>
      </c>
      <c r="L46" s="1">
        <f>J46 + K46</f>
        <v>0</v>
      </c>
      <c r="M46" s="1">
        <f>IF(J46 + M45 &lt; 0, J46 + M45, 0)</f>
        <v>0</v>
      </c>
      <c r="N46" s="1">
        <f>IF(K46 + N45 &lt; 0, K46 + N45, 0)</f>
        <v>0</v>
      </c>
      <c r="O46" s="1">
        <f>IF(L46 + O45 &lt; 0, L46 + O45, 0)</f>
        <v>0</v>
      </c>
      <c r="P46" s="1">
        <f>IF(O46 &lt; 0, 1 + P45, 0)</f>
        <v>0</v>
      </c>
      <c r="Q46" s="1">
        <f>IF(E46&lt;0,1,0)</f>
        <v>0</v>
      </c>
      <c r="R46" s="1">
        <f>IF(Q46=1,E46,0)</f>
        <v>0</v>
      </c>
      <c r="S46" s="1">
        <f>IF(E46&gt;0,1,0)</f>
        <v>0</v>
      </c>
      <c r="T46" s="1">
        <f>IF(S46=1,E46,0)</f>
        <v>0</v>
      </c>
      <c r="U46" s="1">
        <f>IF(R46&lt;-100000000/100,1,0)</f>
        <v>0</v>
      </c>
      <c r="V46" s="1">
        <f>IF(T46&gt;100000000/100,1,0)</f>
        <v>0</v>
      </c>
      <c r="W46" s="1">
        <f>IF(L46&lt;0,1,0)</f>
        <v>0</v>
      </c>
      <c r="X46" s="1">
        <f>IF(W46=1,L46,0)</f>
        <v>0</v>
      </c>
      <c r="Y46" s="1">
        <f>IF(L46&gt;0,1,0)</f>
        <v>0</v>
      </c>
      <c r="Z46" s="1">
        <f>IF(Y46=1,L46,0)</f>
        <v>0</v>
      </c>
      <c r="AA46" s="1">
        <f>IF(X46&lt;-100000000/100,1,0)</f>
        <v>0</v>
      </c>
      <c r="AB46" s="1">
        <f>IF(Z46&gt;100000000/100,1,0)</f>
        <v>0</v>
      </c>
    </row>
    <row r="47" spans="1:28" s="1" customFormat="1">
      <c r="A47" s="3">
        <v>44999</v>
      </c>
      <c r="B47" s="2" t="s">
        <v>13</v>
      </c>
      <c r="C47" s="1">
        <f>SUM(PL!E47:H47)</f>
        <v>0</v>
      </c>
      <c r="D47" s="1">
        <f>SUM(PL!I47:L47)</f>
        <v>0</v>
      </c>
      <c r="E47" s="1">
        <f>SUM(C47:D47)</f>
        <v>0</v>
      </c>
      <c r="F47" s="1">
        <f>IF(C47 + F46 &lt; 0, C47 + F46, 0)</f>
        <v>0</v>
      </c>
      <c r="G47" s="1">
        <f>IF(D47 + G46 &lt; 0, D47 + G46, 0)</f>
        <v>0</v>
      </c>
      <c r="H47" s="1">
        <f>IF(E47 + H46 &lt; 0, E47 + H46, 0)</f>
        <v>0</v>
      </c>
      <c r="I47" s="1">
        <f>IF(H47 &lt; 0, 1 + I46, 0)</f>
        <v>0</v>
      </c>
      <c r="J47" s="1">
        <f>C47-((ABS(SUM(PL!E47:H47)))*0.125)</f>
        <v>0</v>
      </c>
      <c r="K47" s="1">
        <f>D47-((ABS(SUM(PL!I47:L47)))*0.125)</f>
        <v>0</v>
      </c>
      <c r="L47" s="1">
        <f>J47 + K47</f>
        <v>0</v>
      </c>
      <c r="M47" s="1">
        <f>IF(J47 + M46 &lt; 0, J47 + M46, 0)</f>
        <v>0</v>
      </c>
      <c r="N47" s="1">
        <f>IF(K47 + N46 &lt; 0, K47 + N46, 0)</f>
        <v>0</v>
      </c>
      <c r="O47" s="1">
        <f>IF(L47 + O46 &lt; 0, L47 + O46, 0)</f>
        <v>0</v>
      </c>
      <c r="P47" s="1">
        <f>IF(O47 &lt; 0, 1 + P46, 0)</f>
        <v>0</v>
      </c>
      <c r="Q47" s="1">
        <f>IF(E47&lt;0,1,0)</f>
        <v>0</v>
      </c>
      <c r="R47" s="1">
        <f>IF(Q47=1,E47,0)</f>
        <v>0</v>
      </c>
      <c r="S47" s="1">
        <f>IF(E47&gt;0,1,0)</f>
        <v>0</v>
      </c>
      <c r="T47" s="1">
        <f>IF(S47=1,E47,0)</f>
        <v>0</v>
      </c>
      <c r="U47" s="1">
        <f>IF(R47&lt;-100000000/100,1,0)</f>
        <v>0</v>
      </c>
      <c r="V47" s="1">
        <f>IF(T47&gt;100000000/100,1,0)</f>
        <v>0</v>
      </c>
      <c r="W47" s="1">
        <f>IF(L47&lt;0,1,0)</f>
        <v>0</v>
      </c>
      <c r="X47" s="1">
        <f>IF(W47=1,L47,0)</f>
        <v>0</v>
      </c>
      <c r="Y47" s="1">
        <f>IF(L47&gt;0,1,0)</f>
        <v>0</v>
      </c>
      <c r="Z47" s="1">
        <f>IF(Y47=1,L47,0)</f>
        <v>0</v>
      </c>
      <c r="AA47" s="1">
        <f>IF(X47&lt;-100000000/100,1,0)</f>
        <v>0</v>
      </c>
      <c r="AB47" s="1">
        <f>IF(Z47&gt;100000000/100,1,0)</f>
        <v>0</v>
      </c>
    </row>
    <row r="48" spans="1:28" s="1" customFormat="1">
      <c r="A48" s="3">
        <v>45000</v>
      </c>
      <c r="B48" s="2" t="s">
        <v>14</v>
      </c>
      <c r="C48" s="1">
        <f>SUM(PL!E48:H48)</f>
        <v>0</v>
      </c>
      <c r="D48" s="1">
        <f>SUM(PL!I48:L48)</f>
        <v>0</v>
      </c>
      <c r="E48" s="1">
        <f>SUM(C48:D48)</f>
        <v>0</v>
      </c>
      <c r="F48" s="1">
        <f>IF(C48 + F47 &lt; 0, C48 + F47, 0)</f>
        <v>0</v>
      </c>
      <c r="G48" s="1">
        <f>IF(D48 + G47 &lt; 0, D48 + G47, 0)</f>
        <v>0</v>
      </c>
      <c r="H48" s="1">
        <f>IF(E48 + H47 &lt; 0, E48 + H47, 0)</f>
        <v>0</v>
      </c>
      <c r="I48" s="1">
        <f>IF(H48 &lt; 0, 1 + I47, 0)</f>
        <v>0</v>
      </c>
      <c r="J48" s="1">
        <f>C48-((ABS(SUM(PL!E48:H48)))*0.125)</f>
        <v>0</v>
      </c>
      <c r="K48" s="1">
        <f>D48-((ABS(SUM(PL!I48:L48)))*0.125)</f>
        <v>0</v>
      </c>
      <c r="L48" s="1">
        <f>J48 + K48</f>
        <v>0</v>
      </c>
      <c r="M48" s="1">
        <f>IF(J48 + M47 &lt; 0, J48 + M47, 0)</f>
        <v>0</v>
      </c>
      <c r="N48" s="1">
        <f>IF(K48 + N47 &lt; 0, K48 + N47, 0)</f>
        <v>0</v>
      </c>
      <c r="O48" s="1">
        <f>IF(L48 + O47 &lt; 0, L48 + O47, 0)</f>
        <v>0</v>
      </c>
      <c r="P48" s="1">
        <f>IF(O48 &lt; 0, 1 + P47, 0)</f>
        <v>0</v>
      </c>
      <c r="Q48" s="1">
        <f>IF(E48&lt;0,1,0)</f>
        <v>0</v>
      </c>
      <c r="R48" s="1">
        <f>IF(Q48=1,E48,0)</f>
        <v>0</v>
      </c>
      <c r="S48" s="1">
        <f>IF(E48&gt;0,1,0)</f>
        <v>0</v>
      </c>
      <c r="T48" s="1">
        <f>IF(S48=1,E48,0)</f>
        <v>0</v>
      </c>
      <c r="U48" s="1">
        <f>IF(R48&lt;-100000000/100,1,0)</f>
        <v>0</v>
      </c>
      <c r="V48" s="1">
        <f>IF(T48&gt;100000000/100,1,0)</f>
        <v>0</v>
      </c>
      <c r="W48" s="1">
        <f>IF(L48&lt;0,1,0)</f>
        <v>0</v>
      </c>
      <c r="X48" s="1">
        <f>IF(W48=1,L48,0)</f>
        <v>0</v>
      </c>
      <c r="Y48" s="1">
        <f>IF(L48&gt;0,1,0)</f>
        <v>0</v>
      </c>
      <c r="Z48" s="1">
        <f>IF(Y48=1,L48,0)</f>
        <v>0</v>
      </c>
      <c r="AA48" s="1">
        <f>IF(X48&lt;-100000000/100,1,0)</f>
        <v>0</v>
      </c>
      <c r="AB48" s="1">
        <f>IF(Z48&gt;100000000/100,1,0)</f>
        <v>0</v>
      </c>
    </row>
    <row r="49" spans="1:28" s="1" customFormat="1">
      <c r="A49" s="3">
        <v>45001</v>
      </c>
      <c r="B49" s="2" t="s">
        <v>16</v>
      </c>
      <c r="C49" s="1">
        <f>SUM(PL!E49:H49)</f>
        <v>0</v>
      </c>
      <c r="D49" s="1">
        <f>SUM(PL!I49:L49)</f>
        <v>0</v>
      </c>
      <c r="E49" s="1">
        <f>SUM(C49:D49)</f>
        <v>0</v>
      </c>
      <c r="F49" s="1">
        <f>IF(C49 + F48 &lt; 0, C49 + F48, 0)</f>
        <v>0</v>
      </c>
      <c r="G49" s="1">
        <f>IF(D49 + G48 &lt; 0, D49 + G48, 0)</f>
        <v>0</v>
      </c>
      <c r="H49" s="1">
        <f>IF(E49 + H48 &lt; 0, E49 + H48, 0)</f>
        <v>0</v>
      </c>
      <c r="I49" s="1">
        <f>IF(H49 &lt; 0, 1 + I48, 0)</f>
        <v>0</v>
      </c>
      <c r="J49" s="1">
        <f>C49-((ABS(SUM(PL!E49:H49)))*0.125)</f>
        <v>0</v>
      </c>
      <c r="K49" s="1">
        <f>D49-((ABS(SUM(PL!I49:L49)))*0.125)</f>
        <v>0</v>
      </c>
      <c r="L49" s="1">
        <f>J49 + K49</f>
        <v>0</v>
      </c>
      <c r="M49" s="1">
        <f>IF(J49 + M48 &lt; 0, J49 + M48, 0)</f>
        <v>0</v>
      </c>
      <c r="N49" s="1">
        <f>IF(K49 + N48 &lt; 0, K49 + N48, 0)</f>
        <v>0</v>
      </c>
      <c r="O49" s="1">
        <f>IF(L49 + O48 &lt; 0, L49 + O48, 0)</f>
        <v>0</v>
      </c>
      <c r="P49" s="1">
        <f>IF(O49 &lt; 0, 1 + P48, 0)</f>
        <v>0</v>
      </c>
      <c r="Q49" s="1">
        <f>IF(E49&lt;0,1,0)</f>
        <v>0</v>
      </c>
      <c r="R49" s="1">
        <f>IF(Q49=1,E49,0)</f>
        <v>0</v>
      </c>
      <c r="S49" s="1">
        <f>IF(E49&gt;0,1,0)</f>
        <v>0</v>
      </c>
      <c r="T49" s="1">
        <f>IF(S49=1,E49,0)</f>
        <v>0</v>
      </c>
      <c r="U49" s="1">
        <f>IF(R49&lt;-100000000/100,1,0)</f>
        <v>0</v>
      </c>
      <c r="V49" s="1">
        <f>IF(T49&gt;100000000/100,1,0)</f>
        <v>0</v>
      </c>
      <c r="W49" s="1">
        <f>IF(L49&lt;0,1,0)</f>
        <v>0</v>
      </c>
      <c r="X49" s="1">
        <f>IF(W49=1,L49,0)</f>
        <v>0</v>
      </c>
      <c r="Y49" s="1">
        <f>IF(L49&gt;0,1,0)</f>
        <v>0</v>
      </c>
      <c r="Z49" s="1">
        <f>IF(Y49=1,L49,0)</f>
        <v>0</v>
      </c>
      <c r="AA49" s="1">
        <f>IF(X49&lt;-100000000/100,1,0)</f>
        <v>0</v>
      </c>
      <c r="AB49" s="1">
        <f>IF(Z49&gt;100000000/100,1,0)</f>
        <v>0</v>
      </c>
    </row>
    <row r="50" spans="1:28" s="1" customFormat="1">
      <c r="A50" s="3">
        <v>45002</v>
      </c>
      <c r="B50" s="2" t="s">
        <v>15</v>
      </c>
      <c r="C50" s="1">
        <f>SUM(PL!E50:H50)</f>
        <v>0</v>
      </c>
      <c r="D50" s="1">
        <f>SUM(PL!I50:L50)</f>
        <v>0</v>
      </c>
      <c r="E50" s="1">
        <f>SUM(C50:D50)</f>
        <v>0</v>
      </c>
      <c r="F50" s="1">
        <f>IF(C50 + F49 &lt; 0, C50 + F49, 0)</f>
        <v>0</v>
      </c>
      <c r="G50" s="1">
        <f>IF(D50 + G49 &lt; 0, D50 + G49, 0)</f>
        <v>0</v>
      </c>
      <c r="H50" s="1">
        <f>IF(E50 + H49 &lt; 0, E50 + H49, 0)</f>
        <v>0</v>
      </c>
      <c r="I50" s="1">
        <f>IF(H50 &lt; 0, 1 + I49, 0)</f>
        <v>0</v>
      </c>
      <c r="J50" s="1">
        <f>C50-((ABS(SUM(PL!E50:H50)))*0.125)</f>
        <v>0</v>
      </c>
      <c r="K50" s="1">
        <f>D50-((ABS(SUM(PL!I50:L50)))*0.125)</f>
        <v>0</v>
      </c>
      <c r="L50" s="1">
        <f>J50 + K50</f>
        <v>0</v>
      </c>
      <c r="M50" s="1">
        <f>IF(J50 + M49 &lt; 0, J50 + M49, 0)</f>
        <v>0</v>
      </c>
      <c r="N50" s="1">
        <f>IF(K50 + N49 &lt; 0, K50 + N49, 0)</f>
        <v>0</v>
      </c>
      <c r="O50" s="1">
        <f>IF(L50 + O49 &lt; 0, L50 + O49, 0)</f>
        <v>0</v>
      </c>
      <c r="P50" s="1">
        <f>IF(O50 &lt; 0, 1 + P49, 0)</f>
        <v>0</v>
      </c>
      <c r="Q50" s="1">
        <f>IF(E50&lt;0,1,0)</f>
        <v>0</v>
      </c>
      <c r="R50" s="1">
        <f>IF(Q50=1,E50,0)</f>
        <v>0</v>
      </c>
      <c r="S50" s="1">
        <f>IF(E50&gt;0,1,0)</f>
        <v>0</v>
      </c>
      <c r="T50" s="1">
        <f>IF(S50=1,E50,0)</f>
        <v>0</v>
      </c>
      <c r="U50" s="1">
        <f>IF(R50&lt;-100000000/100,1,0)</f>
        <v>0</v>
      </c>
      <c r="V50" s="1">
        <f>IF(T50&gt;100000000/100,1,0)</f>
        <v>0</v>
      </c>
      <c r="W50" s="1">
        <f>IF(L50&lt;0,1,0)</f>
        <v>0</v>
      </c>
      <c r="X50" s="1">
        <f>IF(W50=1,L50,0)</f>
        <v>0</v>
      </c>
      <c r="Y50" s="1">
        <f>IF(L50&gt;0,1,0)</f>
        <v>0</v>
      </c>
      <c r="Z50" s="1">
        <f>IF(Y50=1,L50,0)</f>
        <v>0</v>
      </c>
      <c r="AA50" s="1">
        <f>IF(X50&lt;-100000000/100,1,0)</f>
        <v>0</v>
      </c>
      <c r="AB50" s="1">
        <f>IF(Z50&gt;100000000/100,1,0)</f>
        <v>0</v>
      </c>
    </row>
    <row r="51" spans="1:28" s="1" customFormat="1">
      <c r="A51" s="3">
        <v>45005</v>
      </c>
      <c r="B51" s="2" t="s">
        <v>12</v>
      </c>
      <c r="C51" s="1">
        <f>SUM(PL!E51:H51)</f>
        <v>0</v>
      </c>
      <c r="D51" s="1">
        <f>SUM(PL!I51:L51)</f>
        <v>0</v>
      </c>
      <c r="E51" s="1">
        <f>SUM(C51:D51)</f>
        <v>0</v>
      </c>
      <c r="F51" s="1">
        <f>IF(C51 + F50 &lt; 0, C51 + F50, 0)</f>
        <v>0</v>
      </c>
      <c r="G51" s="1">
        <f>IF(D51 + G50 &lt; 0, D51 + G50, 0)</f>
        <v>0</v>
      </c>
      <c r="H51" s="1">
        <f>IF(E51 + H50 &lt; 0, E51 + H50, 0)</f>
        <v>0</v>
      </c>
      <c r="I51" s="1">
        <f>IF(H51 &lt; 0, 1 + I50, 0)</f>
        <v>0</v>
      </c>
      <c r="J51" s="1">
        <f>C51-((ABS(SUM(PL!E51:H51)))*0.125)</f>
        <v>0</v>
      </c>
      <c r="K51" s="1">
        <f>D51-((ABS(SUM(PL!I51:L51)))*0.125)</f>
        <v>0</v>
      </c>
      <c r="L51" s="1">
        <f>J51 + K51</f>
        <v>0</v>
      </c>
      <c r="M51" s="1">
        <f>IF(J51 + M50 &lt; 0, J51 + M50, 0)</f>
        <v>0</v>
      </c>
      <c r="N51" s="1">
        <f>IF(K51 + N50 &lt; 0, K51 + N50, 0)</f>
        <v>0</v>
      </c>
      <c r="O51" s="1">
        <f>IF(L51 + O50 &lt; 0, L51 + O50, 0)</f>
        <v>0</v>
      </c>
      <c r="P51" s="1">
        <f>IF(O51 &lt; 0, 1 + P50, 0)</f>
        <v>0</v>
      </c>
      <c r="Q51" s="1">
        <f>IF(E51&lt;0,1,0)</f>
        <v>0</v>
      </c>
      <c r="R51" s="1">
        <f>IF(Q51=1,E51,0)</f>
        <v>0</v>
      </c>
      <c r="S51" s="1">
        <f>IF(E51&gt;0,1,0)</f>
        <v>0</v>
      </c>
      <c r="T51" s="1">
        <f>IF(S51=1,E51,0)</f>
        <v>0</v>
      </c>
      <c r="U51" s="1">
        <f>IF(R51&lt;-100000000/100,1,0)</f>
        <v>0</v>
      </c>
      <c r="V51" s="1">
        <f>IF(T51&gt;100000000/100,1,0)</f>
        <v>0</v>
      </c>
      <c r="W51" s="1">
        <f>IF(L51&lt;0,1,0)</f>
        <v>0</v>
      </c>
      <c r="X51" s="1">
        <f>IF(W51=1,L51,0)</f>
        <v>0</v>
      </c>
      <c r="Y51" s="1">
        <f>IF(L51&gt;0,1,0)</f>
        <v>0</v>
      </c>
      <c r="Z51" s="1">
        <f>IF(Y51=1,L51,0)</f>
        <v>0</v>
      </c>
      <c r="AA51" s="1">
        <f>IF(X51&lt;-100000000/100,1,0)</f>
        <v>0</v>
      </c>
      <c r="AB51" s="1">
        <f>IF(Z51&gt;100000000/100,1,0)</f>
        <v>0</v>
      </c>
    </row>
    <row r="52" spans="1:28" s="1" customFormat="1">
      <c r="A52" s="3">
        <v>45006</v>
      </c>
      <c r="B52" s="2" t="s">
        <v>13</v>
      </c>
      <c r="C52" s="1">
        <f>SUM(PL!E52:H52)</f>
        <v>0</v>
      </c>
      <c r="D52" s="1">
        <f>SUM(PL!I52:L52)</f>
        <v>0</v>
      </c>
      <c r="E52" s="1">
        <f>SUM(C52:D52)</f>
        <v>0</v>
      </c>
      <c r="F52" s="1">
        <f>IF(C52 + F51 &lt; 0, C52 + F51, 0)</f>
        <v>0</v>
      </c>
      <c r="G52" s="1">
        <f>IF(D52 + G51 &lt; 0, D52 + G51, 0)</f>
        <v>0</v>
      </c>
      <c r="H52" s="1">
        <f>IF(E52 + H51 &lt; 0, E52 + H51, 0)</f>
        <v>0</v>
      </c>
      <c r="I52" s="1">
        <f>IF(H52 &lt; 0, 1 + I51, 0)</f>
        <v>0</v>
      </c>
      <c r="J52" s="1">
        <f>C52-((ABS(SUM(PL!E52:H52)))*0.125)</f>
        <v>0</v>
      </c>
      <c r="K52" s="1">
        <f>D52-((ABS(SUM(PL!I52:L52)))*0.125)</f>
        <v>0</v>
      </c>
      <c r="L52" s="1">
        <f>J52 + K52</f>
        <v>0</v>
      </c>
      <c r="M52" s="1">
        <f>IF(J52 + M51 &lt; 0, J52 + M51, 0)</f>
        <v>0</v>
      </c>
      <c r="N52" s="1">
        <f>IF(K52 + N51 &lt; 0, K52 + N51, 0)</f>
        <v>0</v>
      </c>
      <c r="O52" s="1">
        <f>IF(L52 + O51 &lt; 0, L52 + O51, 0)</f>
        <v>0</v>
      </c>
      <c r="P52" s="1">
        <f>IF(O52 &lt; 0, 1 + P51, 0)</f>
        <v>0</v>
      </c>
      <c r="Q52" s="1">
        <f>IF(E52&lt;0,1,0)</f>
        <v>0</v>
      </c>
      <c r="R52" s="1">
        <f>IF(Q52=1,E52,0)</f>
        <v>0</v>
      </c>
      <c r="S52" s="1">
        <f>IF(E52&gt;0,1,0)</f>
        <v>0</v>
      </c>
      <c r="T52" s="1">
        <f>IF(S52=1,E52,0)</f>
        <v>0</v>
      </c>
      <c r="U52" s="1">
        <f>IF(R52&lt;-100000000/100,1,0)</f>
        <v>0</v>
      </c>
      <c r="V52" s="1">
        <f>IF(T52&gt;100000000/100,1,0)</f>
        <v>0</v>
      </c>
      <c r="W52" s="1">
        <f>IF(L52&lt;0,1,0)</f>
        <v>0</v>
      </c>
      <c r="X52" s="1">
        <f>IF(W52=1,L52,0)</f>
        <v>0</v>
      </c>
      <c r="Y52" s="1">
        <f>IF(L52&gt;0,1,0)</f>
        <v>0</v>
      </c>
      <c r="Z52" s="1">
        <f>IF(Y52=1,L52,0)</f>
        <v>0</v>
      </c>
      <c r="AA52" s="1">
        <f>IF(X52&lt;-100000000/100,1,0)</f>
        <v>0</v>
      </c>
      <c r="AB52" s="1">
        <f>IF(Z52&gt;100000000/100,1,0)</f>
        <v>0</v>
      </c>
    </row>
    <row r="53" spans="1:28" s="1" customFormat="1">
      <c r="A53" s="3">
        <v>45007</v>
      </c>
      <c r="B53" s="2" t="s">
        <v>14</v>
      </c>
      <c r="C53" s="1">
        <f>SUM(PL!E53:H53)</f>
        <v>0</v>
      </c>
      <c r="D53" s="1">
        <f>SUM(PL!I53:L53)</f>
        <v>0</v>
      </c>
      <c r="E53" s="1">
        <f>SUM(C53:D53)</f>
        <v>0</v>
      </c>
      <c r="F53" s="1">
        <f>IF(C53 + F52 &lt; 0, C53 + F52, 0)</f>
        <v>0</v>
      </c>
      <c r="G53" s="1">
        <f>IF(D53 + G52 &lt; 0, D53 + G52, 0)</f>
        <v>0</v>
      </c>
      <c r="H53" s="1">
        <f>IF(E53 + H52 &lt; 0, E53 + H52, 0)</f>
        <v>0</v>
      </c>
      <c r="I53" s="1">
        <f>IF(H53 &lt; 0, 1 + I52, 0)</f>
        <v>0</v>
      </c>
      <c r="J53" s="1">
        <f>C53-((ABS(SUM(PL!E53:H53)))*0.125)</f>
        <v>0</v>
      </c>
      <c r="K53" s="1">
        <f>D53-((ABS(SUM(PL!I53:L53)))*0.125)</f>
        <v>0</v>
      </c>
      <c r="L53" s="1">
        <f>J53 + K53</f>
        <v>0</v>
      </c>
      <c r="M53" s="1">
        <f>IF(J53 + M52 &lt; 0, J53 + M52, 0)</f>
        <v>0</v>
      </c>
      <c r="N53" s="1">
        <f>IF(K53 + N52 &lt; 0, K53 + N52, 0)</f>
        <v>0</v>
      </c>
      <c r="O53" s="1">
        <f>IF(L53 + O52 &lt; 0, L53 + O52, 0)</f>
        <v>0</v>
      </c>
      <c r="P53" s="1">
        <f>IF(O53 &lt; 0, 1 + P52, 0)</f>
        <v>0</v>
      </c>
      <c r="Q53" s="1">
        <f>IF(E53&lt;0,1,0)</f>
        <v>0</v>
      </c>
      <c r="R53" s="1">
        <f>IF(Q53=1,E53,0)</f>
        <v>0</v>
      </c>
      <c r="S53" s="1">
        <f>IF(E53&gt;0,1,0)</f>
        <v>0</v>
      </c>
      <c r="T53" s="1">
        <f>IF(S53=1,E53,0)</f>
        <v>0</v>
      </c>
      <c r="U53" s="1">
        <f>IF(R53&lt;-100000000/100,1,0)</f>
        <v>0</v>
      </c>
      <c r="V53" s="1">
        <f>IF(T53&gt;100000000/100,1,0)</f>
        <v>0</v>
      </c>
      <c r="W53" s="1">
        <f>IF(L53&lt;0,1,0)</f>
        <v>0</v>
      </c>
      <c r="X53" s="1">
        <f>IF(W53=1,L53,0)</f>
        <v>0</v>
      </c>
      <c r="Y53" s="1">
        <f>IF(L53&gt;0,1,0)</f>
        <v>0</v>
      </c>
      <c r="Z53" s="1">
        <f>IF(Y53=1,L53,0)</f>
        <v>0</v>
      </c>
      <c r="AA53" s="1">
        <f>IF(X53&lt;-100000000/100,1,0)</f>
        <v>0</v>
      </c>
      <c r="AB53" s="1">
        <f>IF(Z53&gt;100000000/100,1,0)</f>
        <v>0</v>
      </c>
    </row>
    <row r="54" spans="1:28" s="1" customFormat="1">
      <c r="A54" s="3">
        <v>45008</v>
      </c>
      <c r="B54" s="2" t="s">
        <v>16</v>
      </c>
      <c r="C54" s="1">
        <f>SUM(PL!E54:H54)</f>
        <v>0</v>
      </c>
      <c r="D54" s="1">
        <f>SUM(PL!I54:L54)</f>
        <v>0</v>
      </c>
      <c r="E54" s="1">
        <f>SUM(C54:D54)</f>
        <v>0</v>
      </c>
      <c r="F54" s="1">
        <f>IF(C54 + F53 &lt; 0, C54 + F53, 0)</f>
        <v>0</v>
      </c>
      <c r="G54" s="1">
        <f>IF(D54 + G53 &lt; 0, D54 + G53, 0)</f>
        <v>0</v>
      </c>
      <c r="H54" s="1">
        <f>IF(E54 + H53 &lt; 0, E54 + H53, 0)</f>
        <v>0</v>
      </c>
      <c r="I54" s="1">
        <f>IF(H54 &lt; 0, 1 + I53, 0)</f>
        <v>0</v>
      </c>
      <c r="J54" s="1">
        <f>C54-((ABS(SUM(PL!E54:H54)))*0.125)</f>
        <v>0</v>
      </c>
      <c r="K54" s="1">
        <f>D54-((ABS(SUM(PL!I54:L54)))*0.125)</f>
        <v>0</v>
      </c>
      <c r="L54" s="1">
        <f>J54 + K54</f>
        <v>0</v>
      </c>
      <c r="M54" s="1">
        <f>IF(J54 + M53 &lt; 0, J54 + M53, 0)</f>
        <v>0</v>
      </c>
      <c r="N54" s="1">
        <f>IF(K54 + N53 &lt; 0, K54 + N53, 0)</f>
        <v>0</v>
      </c>
      <c r="O54" s="1">
        <f>IF(L54 + O53 &lt; 0, L54 + O53, 0)</f>
        <v>0</v>
      </c>
      <c r="P54" s="1">
        <f>IF(O54 &lt; 0, 1 + P53, 0)</f>
        <v>0</v>
      </c>
      <c r="Q54" s="1">
        <f>IF(E54&lt;0,1,0)</f>
        <v>0</v>
      </c>
      <c r="R54" s="1">
        <f>IF(Q54=1,E54,0)</f>
        <v>0</v>
      </c>
      <c r="S54" s="1">
        <f>IF(E54&gt;0,1,0)</f>
        <v>0</v>
      </c>
      <c r="T54" s="1">
        <f>IF(S54=1,E54,0)</f>
        <v>0</v>
      </c>
      <c r="U54" s="1">
        <f>IF(R54&lt;-100000000/100,1,0)</f>
        <v>0</v>
      </c>
      <c r="V54" s="1">
        <f>IF(T54&gt;100000000/100,1,0)</f>
        <v>0</v>
      </c>
      <c r="W54" s="1">
        <f>IF(L54&lt;0,1,0)</f>
        <v>0</v>
      </c>
      <c r="X54" s="1">
        <f>IF(W54=1,L54,0)</f>
        <v>0</v>
      </c>
      <c r="Y54" s="1">
        <f>IF(L54&gt;0,1,0)</f>
        <v>0</v>
      </c>
      <c r="Z54" s="1">
        <f>IF(Y54=1,L54,0)</f>
        <v>0</v>
      </c>
      <c r="AA54" s="1">
        <f>IF(X54&lt;-100000000/100,1,0)</f>
        <v>0</v>
      </c>
      <c r="AB54" s="1">
        <f>IF(Z54&gt;100000000/100,1,0)</f>
        <v>0</v>
      </c>
    </row>
    <row r="55" spans="1:28" s="1" customFormat="1">
      <c r="A55" s="3">
        <v>45009</v>
      </c>
      <c r="B55" s="2" t="s">
        <v>15</v>
      </c>
      <c r="C55" s="1">
        <f>SUM(PL!E55:H55)</f>
        <v>0</v>
      </c>
      <c r="D55" s="1">
        <f>SUM(PL!I55:L55)</f>
        <v>0</v>
      </c>
      <c r="E55" s="1">
        <f>SUM(C55:D55)</f>
        <v>0</v>
      </c>
      <c r="F55" s="1">
        <f>IF(C55 + F54 &lt; 0, C55 + F54, 0)</f>
        <v>0</v>
      </c>
      <c r="G55" s="1">
        <f>IF(D55 + G54 &lt; 0, D55 + G54, 0)</f>
        <v>0</v>
      </c>
      <c r="H55" s="1">
        <f>IF(E55 + H54 &lt; 0, E55 + H54, 0)</f>
        <v>0</v>
      </c>
      <c r="I55" s="1">
        <f>IF(H55 &lt; 0, 1 + I54, 0)</f>
        <v>0</v>
      </c>
      <c r="J55" s="1">
        <f>C55-((ABS(SUM(PL!E55:H55)))*0.125)</f>
        <v>0</v>
      </c>
      <c r="K55" s="1">
        <f>D55-((ABS(SUM(PL!I55:L55)))*0.125)</f>
        <v>0</v>
      </c>
      <c r="L55" s="1">
        <f>J55 + K55</f>
        <v>0</v>
      </c>
      <c r="M55" s="1">
        <f>IF(J55 + M54 &lt; 0, J55 + M54, 0)</f>
        <v>0</v>
      </c>
      <c r="N55" s="1">
        <f>IF(K55 + N54 &lt; 0, K55 + N54, 0)</f>
        <v>0</v>
      </c>
      <c r="O55" s="1">
        <f>IF(L55 + O54 &lt; 0, L55 + O54, 0)</f>
        <v>0</v>
      </c>
      <c r="P55" s="1">
        <f>IF(O55 &lt; 0, 1 + P54, 0)</f>
        <v>0</v>
      </c>
      <c r="Q55" s="1">
        <f>IF(E55&lt;0,1,0)</f>
        <v>0</v>
      </c>
      <c r="R55" s="1">
        <f>IF(Q55=1,E55,0)</f>
        <v>0</v>
      </c>
      <c r="S55" s="1">
        <f>IF(E55&gt;0,1,0)</f>
        <v>0</v>
      </c>
      <c r="T55" s="1">
        <f>IF(S55=1,E55,0)</f>
        <v>0</v>
      </c>
      <c r="U55" s="1">
        <f>IF(R55&lt;-100000000/100,1,0)</f>
        <v>0</v>
      </c>
      <c r="V55" s="1">
        <f>IF(T55&gt;100000000/100,1,0)</f>
        <v>0</v>
      </c>
      <c r="W55" s="1">
        <f>IF(L55&lt;0,1,0)</f>
        <v>0</v>
      </c>
      <c r="X55" s="1">
        <f>IF(W55=1,L55,0)</f>
        <v>0</v>
      </c>
      <c r="Y55" s="1">
        <f>IF(L55&gt;0,1,0)</f>
        <v>0</v>
      </c>
      <c r="Z55" s="1">
        <f>IF(Y55=1,L55,0)</f>
        <v>0</v>
      </c>
      <c r="AA55" s="1">
        <f>IF(X55&lt;-100000000/100,1,0)</f>
        <v>0</v>
      </c>
      <c r="AB55" s="1">
        <f>IF(Z55&gt;100000000/100,1,0)</f>
        <v>0</v>
      </c>
    </row>
    <row r="56" spans="1:28" s="1" customFormat="1">
      <c r="A56" s="3">
        <v>45012</v>
      </c>
      <c r="B56" s="2" t="s">
        <v>12</v>
      </c>
      <c r="C56" s="1">
        <f>SUM(PL!E56:H56)</f>
        <v>0</v>
      </c>
      <c r="D56" s="1">
        <f>SUM(PL!I56:L56)</f>
        <v>0</v>
      </c>
      <c r="E56" s="1">
        <f>SUM(C56:D56)</f>
        <v>0</v>
      </c>
      <c r="F56" s="1">
        <f>IF(C56 + F55 &lt; 0, C56 + F55, 0)</f>
        <v>0</v>
      </c>
      <c r="G56" s="1">
        <f>IF(D56 + G55 &lt; 0, D56 + G55, 0)</f>
        <v>0</v>
      </c>
      <c r="H56" s="1">
        <f>IF(E56 + H55 &lt; 0, E56 + H55, 0)</f>
        <v>0</v>
      </c>
      <c r="I56" s="1">
        <f>IF(H56 &lt; 0, 1 + I55, 0)</f>
        <v>0</v>
      </c>
      <c r="J56" s="1">
        <f>C56-((ABS(SUM(PL!E56:H56)))*0.125)</f>
        <v>0</v>
      </c>
      <c r="K56" s="1">
        <f>D56-((ABS(SUM(PL!I56:L56)))*0.125)</f>
        <v>0</v>
      </c>
      <c r="L56" s="1">
        <f>J56 + K56</f>
        <v>0</v>
      </c>
      <c r="M56" s="1">
        <f>IF(J56 + M55 &lt; 0, J56 + M55, 0)</f>
        <v>0</v>
      </c>
      <c r="N56" s="1">
        <f>IF(K56 + N55 &lt; 0, K56 + N55, 0)</f>
        <v>0</v>
      </c>
      <c r="O56" s="1">
        <f>IF(L56 + O55 &lt; 0, L56 + O55, 0)</f>
        <v>0</v>
      </c>
      <c r="P56" s="1">
        <f>IF(O56 &lt; 0, 1 + P55, 0)</f>
        <v>0</v>
      </c>
      <c r="Q56" s="1">
        <f>IF(E56&lt;0,1,0)</f>
        <v>0</v>
      </c>
      <c r="R56" s="1">
        <f>IF(Q56=1,E56,0)</f>
        <v>0</v>
      </c>
      <c r="S56" s="1">
        <f>IF(E56&gt;0,1,0)</f>
        <v>0</v>
      </c>
      <c r="T56" s="1">
        <f>IF(S56=1,E56,0)</f>
        <v>0</v>
      </c>
      <c r="U56" s="1">
        <f>IF(R56&lt;-100000000/100,1,0)</f>
        <v>0</v>
      </c>
      <c r="V56" s="1">
        <f>IF(T56&gt;100000000/100,1,0)</f>
        <v>0</v>
      </c>
      <c r="W56" s="1">
        <f>IF(L56&lt;0,1,0)</f>
        <v>0</v>
      </c>
      <c r="X56" s="1">
        <f>IF(W56=1,L56,0)</f>
        <v>0</v>
      </c>
      <c r="Y56" s="1">
        <f>IF(L56&gt;0,1,0)</f>
        <v>0</v>
      </c>
      <c r="Z56" s="1">
        <f>IF(Y56=1,L56,0)</f>
        <v>0</v>
      </c>
      <c r="AA56" s="1">
        <f>IF(X56&lt;-100000000/100,1,0)</f>
        <v>0</v>
      </c>
      <c r="AB56" s="1">
        <f>IF(Z56&gt;100000000/100,1,0)</f>
        <v>0</v>
      </c>
    </row>
    <row r="57" spans="1:28" s="1" customFormat="1">
      <c r="A57" s="3">
        <v>45013</v>
      </c>
      <c r="B57" s="2" t="s">
        <v>13</v>
      </c>
      <c r="C57" s="1">
        <f>SUM(PL!E57:H57)</f>
        <v>0</v>
      </c>
      <c r="D57" s="1">
        <f>SUM(PL!I57:L57)</f>
        <v>0</v>
      </c>
      <c r="E57" s="1">
        <f>SUM(C57:D57)</f>
        <v>0</v>
      </c>
      <c r="F57" s="1">
        <f>IF(C57 + F56 &lt; 0, C57 + F56, 0)</f>
        <v>0</v>
      </c>
      <c r="G57" s="1">
        <f>IF(D57 + G56 &lt; 0, D57 + G56, 0)</f>
        <v>0</v>
      </c>
      <c r="H57" s="1">
        <f>IF(E57 + H56 &lt; 0, E57 + H56, 0)</f>
        <v>0</v>
      </c>
      <c r="I57" s="1">
        <f>IF(H57 &lt; 0, 1 + I56, 0)</f>
        <v>0</v>
      </c>
      <c r="J57" s="1">
        <f>C57-((ABS(SUM(PL!E57:H57)))*0.125)</f>
        <v>0</v>
      </c>
      <c r="K57" s="1">
        <f>D57-((ABS(SUM(PL!I57:L57)))*0.125)</f>
        <v>0</v>
      </c>
      <c r="L57" s="1">
        <f>J57 + K57</f>
        <v>0</v>
      </c>
      <c r="M57" s="1">
        <f>IF(J57 + M56 &lt; 0, J57 + M56, 0)</f>
        <v>0</v>
      </c>
      <c r="N57" s="1">
        <f>IF(K57 + N56 &lt; 0, K57 + N56, 0)</f>
        <v>0</v>
      </c>
      <c r="O57" s="1">
        <f>IF(L57 + O56 &lt; 0, L57 + O56, 0)</f>
        <v>0</v>
      </c>
      <c r="P57" s="1">
        <f>IF(O57 &lt; 0, 1 + P56, 0)</f>
        <v>0</v>
      </c>
      <c r="Q57" s="1">
        <f>IF(E57&lt;0,1,0)</f>
        <v>0</v>
      </c>
      <c r="R57" s="1">
        <f>IF(Q57=1,E57,0)</f>
        <v>0</v>
      </c>
      <c r="S57" s="1">
        <f>IF(E57&gt;0,1,0)</f>
        <v>0</v>
      </c>
      <c r="T57" s="1">
        <f>IF(S57=1,E57,0)</f>
        <v>0</v>
      </c>
      <c r="U57" s="1">
        <f>IF(R57&lt;-100000000/100,1,0)</f>
        <v>0</v>
      </c>
      <c r="V57" s="1">
        <f>IF(T57&gt;100000000/100,1,0)</f>
        <v>0</v>
      </c>
      <c r="W57" s="1">
        <f>IF(L57&lt;0,1,0)</f>
        <v>0</v>
      </c>
      <c r="X57" s="1">
        <f>IF(W57=1,L57,0)</f>
        <v>0</v>
      </c>
      <c r="Y57" s="1">
        <f>IF(L57&gt;0,1,0)</f>
        <v>0</v>
      </c>
      <c r="Z57" s="1">
        <f>IF(Y57=1,L57,0)</f>
        <v>0</v>
      </c>
      <c r="AA57" s="1">
        <f>IF(X57&lt;-100000000/100,1,0)</f>
        <v>0</v>
      </c>
      <c r="AB57" s="1">
        <f>IF(Z57&gt;100000000/100,1,0)</f>
        <v>0</v>
      </c>
    </row>
    <row r="58" spans="1:28" s="1" customFormat="1">
      <c r="A58" s="3">
        <v>45014</v>
      </c>
      <c r="B58" s="2" t="s">
        <v>14</v>
      </c>
      <c r="C58" s="1">
        <f>SUM(PL!E58:H58)</f>
        <v>0</v>
      </c>
      <c r="D58" s="1">
        <f>SUM(PL!I58:L58)</f>
        <v>0</v>
      </c>
      <c r="E58" s="1">
        <f>SUM(C58:D58)</f>
        <v>0</v>
      </c>
      <c r="F58" s="1">
        <f>IF(C58 + F57 &lt; 0, C58 + F57, 0)</f>
        <v>0</v>
      </c>
      <c r="G58" s="1">
        <f>IF(D58 + G57 &lt; 0, D58 + G57, 0)</f>
        <v>0</v>
      </c>
      <c r="H58" s="1">
        <f>IF(E58 + H57 &lt; 0, E58 + H57, 0)</f>
        <v>0</v>
      </c>
      <c r="I58" s="1">
        <f>IF(H58 &lt; 0, 1 + I57, 0)</f>
        <v>0</v>
      </c>
      <c r="J58" s="1">
        <f>C58-((ABS(SUM(PL!E58:H58)))*0.125)</f>
        <v>0</v>
      </c>
      <c r="K58" s="1">
        <f>D58-((ABS(SUM(PL!I58:L58)))*0.125)</f>
        <v>0</v>
      </c>
      <c r="L58" s="1">
        <f>J58 + K58</f>
        <v>0</v>
      </c>
      <c r="M58" s="1">
        <f>IF(J58 + M57 &lt; 0, J58 + M57, 0)</f>
        <v>0</v>
      </c>
      <c r="N58" s="1">
        <f>IF(K58 + N57 &lt; 0, K58 + N57, 0)</f>
        <v>0</v>
      </c>
      <c r="O58" s="1">
        <f>IF(L58 + O57 &lt; 0, L58 + O57, 0)</f>
        <v>0</v>
      </c>
      <c r="P58" s="1">
        <f>IF(O58 &lt; 0, 1 + P57, 0)</f>
        <v>0</v>
      </c>
      <c r="Q58" s="1">
        <f>IF(E58&lt;0,1,0)</f>
        <v>0</v>
      </c>
      <c r="R58" s="1">
        <f>IF(Q58=1,E58,0)</f>
        <v>0</v>
      </c>
      <c r="S58" s="1">
        <f>IF(E58&gt;0,1,0)</f>
        <v>0</v>
      </c>
      <c r="T58" s="1">
        <f>IF(S58=1,E58,0)</f>
        <v>0</v>
      </c>
      <c r="U58" s="1">
        <f>IF(R58&lt;-100000000/100,1,0)</f>
        <v>0</v>
      </c>
      <c r="V58" s="1">
        <f>IF(T58&gt;100000000/100,1,0)</f>
        <v>0</v>
      </c>
      <c r="W58" s="1">
        <f>IF(L58&lt;0,1,0)</f>
        <v>0</v>
      </c>
      <c r="X58" s="1">
        <f>IF(W58=1,L58,0)</f>
        <v>0</v>
      </c>
      <c r="Y58" s="1">
        <f>IF(L58&gt;0,1,0)</f>
        <v>0</v>
      </c>
      <c r="Z58" s="1">
        <f>IF(Y58=1,L58,0)</f>
        <v>0</v>
      </c>
      <c r="AA58" s="1">
        <f>IF(X58&lt;-100000000/100,1,0)</f>
        <v>0</v>
      </c>
      <c r="AB58" s="1">
        <f>IF(Z58&gt;100000000/100,1,0)</f>
        <v>0</v>
      </c>
    </row>
    <row r="59" spans="1:28" s="1" customFormat="1">
      <c r="A59" s="3">
        <v>45015</v>
      </c>
      <c r="B59" s="2" t="s">
        <v>16</v>
      </c>
      <c r="C59" s="1">
        <f>SUM(PL!E59:H59)</f>
        <v>0</v>
      </c>
      <c r="D59" s="1">
        <f>SUM(PL!I59:L59)</f>
        <v>0</v>
      </c>
      <c r="E59" s="1">
        <f>SUM(C59:D59)</f>
        <v>0</v>
      </c>
      <c r="F59" s="1">
        <f>IF(C59 + F58 &lt; 0, C59 + F58, 0)</f>
        <v>0</v>
      </c>
      <c r="G59" s="1">
        <f>IF(D59 + G58 &lt; 0, D59 + G58, 0)</f>
        <v>0</v>
      </c>
      <c r="H59" s="1">
        <f>IF(E59 + H58 &lt; 0, E59 + H58, 0)</f>
        <v>0</v>
      </c>
      <c r="I59" s="1">
        <f>IF(H59 &lt; 0, 1 + I58, 0)</f>
        <v>0</v>
      </c>
      <c r="J59" s="1">
        <f>C59-((ABS(SUM(PL!E59:H59)))*0.125)</f>
        <v>0</v>
      </c>
      <c r="K59" s="1">
        <f>D59-((ABS(SUM(PL!I59:L59)))*0.125)</f>
        <v>0</v>
      </c>
      <c r="L59" s="1">
        <f>J59 + K59</f>
        <v>0</v>
      </c>
      <c r="M59" s="1">
        <f>IF(J59 + M58 &lt; 0, J59 + M58, 0)</f>
        <v>0</v>
      </c>
      <c r="N59" s="1">
        <f>IF(K59 + N58 &lt; 0, K59 + N58, 0)</f>
        <v>0</v>
      </c>
      <c r="O59" s="1">
        <f>IF(L59 + O58 &lt; 0, L59 + O58, 0)</f>
        <v>0</v>
      </c>
      <c r="P59" s="1">
        <f>IF(O59 &lt; 0, 1 + P58, 0)</f>
        <v>0</v>
      </c>
      <c r="Q59" s="1">
        <f>IF(E59&lt;0,1,0)</f>
        <v>0</v>
      </c>
      <c r="R59" s="1">
        <f>IF(Q59=1,E59,0)</f>
        <v>0</v>
      </c>
      <c r="S59" s="1">
        <f>IF(E59&gt;0,1,0)</f>
        <v>0</v>
      </c>
      <c r="T59" s="1">
        <f>IF(S59=1,E59,0)</f>
        <v>0</v>
      </c>
      <c r="U59" s="1">
        <f>IF(R59&lt;-100000000/100,1,0)</f>
        <v>0</v>
      </c>
      <c r="V59" s="1">
        <f>IF(T59&gt;100000000/100,1,0)</f>
        <v>0</v>
      </c>
      <c r="W59" s="1">
        <f>IF(L59&lt;0,1,0)</f>
        <v>0</v>
      </c>
      <c r="X59" s="1">
        <f>IF(W59=1,L59,0)</f>
        <v>0</v>
      </c>
      <c r="Y59" s="1">
        <f>IF(L59&gt;0,1,0)</f>
        <v>0</v>
      </c>
      <c r="Z59" s="1">
        <f>IF(Y59=1,L59,0)</f>
        <v>0</v>
      </c>
      <c r="AA59" s="1">
        <f>IF(X59&lt;-100000000/100,1,0)</f>
        <v>0</v>
      </c>
      <c r="AB59" s="1">
        <f>IF(Z59&gt;100000000/100,1,0)</f>
        <v>0</v>
      </c>
    </row>
    <row r="60" spans="1:28" s="1" customFormat="1">
      <c r="A60" s="3">
        <v>45016</v>
      </c>
      <c r="B60" s="2" t="s">
        <v>15</v>
      </c>
      <c r="C60" s="1">
        <f>SUM(PL!E60:H60)</f>
        <v>0</v>
      </c>
      <c r="D60" s="1">
        <f>SUM(PL!I60:L60)</f>
        <v>0</v>
      </c>
      <c r="E60" s="1">
        <f>SUM(C60:D60)</f>
        <v>0</v>
      </c>
      <c r="F60" s="1">
        <f>IF(C60 + F59 &lt; 0, C60 + F59, 0)</f>
        <v>0</v>
      </c>
      <c r="G60" s="1">
        <f>IF(D60 + G59 &lt; 0, D60 + G59, 0)</f>
        <v>0</v>
      </c>
      <c r="H60" s="1">
        <f>IF(E60 + H59 &lt; 0, E60 + H59, 0)</f>
        <v>0</v>
      </c>
      <c r="I60" s="1">
        <f>IF(H60 &lt; 0, 1 + I59, 0)</f>
        <v>0</v>
      </c>
      <c r="J60" s="1">
        <f>C60-((ABS(SUM(PL!E60:H60)))*0.125)</f>
        <v>0</v>
      </c>
      <c r="K60" s="1">
        <f>D60-((ABS(SUM(PL!I60:L60)))*0.125)</f>
        <v>0</v>
      </c>
      <c r="L60" s="1">
        <f>J60 + K60</f>
        <v>0</v>
      </c>
      <c r="M60" s="1">
        <f>IF(J60 + M59 &lt; 0, J60 + M59, 0)</f>
        <v>0</v>
      </c>
      <c r="N60" s="1">
        <f>IF(K60 + N59 &lt; 0, K60 + N59, 0)</f>
        <v>0</v>
      </c>
      <c r="O60" s="1">
        <f>IF(L60 + O59 &lt; 0, L60 + O59, 0)</f>
        <v>0</v>
      </c>
      <c r="P60" s="1">
        <f>IF(O60 &lt; 0, 1 + P59, 0)</f>
        <v>0</v>
      </c>
      <c r="Q60" s="1">
        <f>IF(E60&lt;0,1,0)</f>
        <v>0</v>
      </c>
      <c r="R60" s="1">
        <f>IF(Q60=1,E60,0)</f>
        <v>0</v>
      </c>
      <c r="S60" s="1">
        <f>IF(E60&gt;0,1,0)</f>
        <v>0</v>
      </c>
      <c r="T60" s="1">
        <f>IF(S60=1,E60,0)</f>
        <v>0</v>
      </c>
      <c r="U60" s="1">
        <f>IF(R60&lt;-100000000/100,1,0)</f>
        <v>0</v>
      </c>
      <c r="V60" s="1">
        <f>IF(T60&gt;100000000/100,1,0)</f>
        <v>0</v>
      </c>
      <c r="W60" s="1">
        <f>IF(L60&lt;0,1,0)</f>
        <v>0</v>
      </c>
      <c r="X60" s="1">
        <f>IF(W60=1,L60,0)</f>
        <v>0</v>
      </c>
      <c r="Y60" s="1">
        <f>IF(L60&gt;0,1,0)</f>
        <v>0</v>
      </c>
      <c r="Z60" s="1">
        <f>IF(Y60=1,L60,0)</f>
        <v>0</v>
      </c>
      <c r="AA60" s="1">
        <f>IF(X60&lt;-100000000/100,1,0)</f>
        <v>0</v>
      </c>
      <c r="AB60" s="1">
        <f>IF(Z60&gt;100000000/100,1,0)</f>
        <v>0</v>
      </c>
    </row>
    <row r="61" spans="1:28" s="1" customFormat="1">
      <c r="A61" s="3">
        <v>45019</v>
      </c>
      <c r="B61" s="2" t="s">
        <v>12</v>
      </c>
      <c r="C61" s="1">
        <f>SUM(PL!E61:H61)</f>
        <v>0</v>
      </c>
      <c r="D61" s="1">
        <f>SUM(PL!I61:L61)</f>
        <v>0</v>
      </c>
      <c r="E61" s="1">
        <f>SUM(C61:D61)</f>
        <v>0</v>
      </c>
      <c r="F61" s="1">
        <f>IF(C61 + F60 &lt; 0, C61 + F60, 0)</f>
        <v>0</v>
      </c>
      <c r="G61" s="1">
        <f>IF(D61 + G60 &lt; 0, D61 + G60, 0)</f>
        <v>0</v>
      </c>
      <c r="H61" s="1">
        <f>IF(E61 + H60 &lt; 0, E61 + H60, 0)</f>
        <v>0</v>
      </c>
      <c r="I61" s="1">
        <f>IF(H61 &lt; 0, 1 + I60, 0)</f>
        <v>0</v>
      </c>
      <c r="J61" s="1">
        <f>C61-((ABS(SUM(PL!E61:H61)))*0.125)</f>
        <v>0</v>
      </c>
      <c r="K61" s="1">
        <f>D61-((ABS(SUM(PL!I61:L61)))*0.125)</f>
        <v>0</v>
      </c>
      <c r="L61" s="1">
        <f>J61 + K61</f>
        <v>0</v>
      </c>
      <c r="M61" s="1">
        <f>IF(J61 + M60 &lt; 0, J61 + M60, 0)</f>
        <v>0</v>
      </c>
      <c r="N61" s="1">
        <f>IF(K61 + N60 &lt; 0, K61 + N60, 0)</f>
        <v>0</v>
      </c>
      <c r="O61" s="1">
        <f>IF(L61 + O60 &lt; 0, L61 + O60, 0)</f>
        <v>0</v>
      </c>
      <c r="P61" s="1">
        <f>IF(O61 &lt; 0, 1 + P60, 0)</f>
        <v>0</v>
      </c>
      <c r="Q61" s="1">
        <f>IF(E61&lt;0,1,0)</f>
        <v>0</v>
      </c>
      <c r="R61" s="1">
        <f>IF(Q61=1,E61,0)</f>
        <v>0</v>
      </c>
      <c r="S61" s="1">
        <f>IF(E61&gt;0,1,0)</f>
        <v>0</v>
      </c>
      <c r="T61" s="1">
        <f>IF(S61=1,E61,0)</f>
        <v>0</v>
      </c>
      <c r="U61" s="1">
        <f>IF(R61&lt;-100000000/100,1,0)</f>
        <v>0</v>
      </c>
      <c r="V61" s="1">
        <f>IF(T61&gt;100000000/100,1,0)</f>
        <v>0</v>
      </c>
      <c r="W61" s="1">
        <f>IF(L61&lt;0,1,0)</f>
        <v>0</v>
      </c>
      <c r="X61" s="1">
        <f>IF(W61=1,L61,0)</f>
        <v>0</v>
      </c>
      <c r="Y61" s="1">
        <f>IF(L61&gt;0,1,0)</f>
        <v>0</v>
      </c>
      <c r="Z61" s="1">
        <f>IF(Y61=1,L61,0)</f>
        <v>0</v>
      </c>
      <c r="AA61" s="1">
        <f>IF(X61&lt;-100000000/100,1,0)</f>
        <v>0</v>
      </c>
      <c r="AB61" s="1">
        <f>IF(Z61&gt;100000000/100,1,0)</f>
        <v>0</v>
      </c>
    </row>
    <row r="62" spans="1:28" s="1" customFormat="1">
      <c r="A62" s="3">
        <v>45020</v>
      </c>
      <c r="B62" s="2" t="s">
        <v>13</v>
      </c>
      <c r="C62" s="1">
        <f>SUM(PL!E62:H62)</f>
        <v>0</v>
      </c>
      <c r="D62" s="1">
        <f>SUM(PL!I62:L62)</f>
        <v>0</v>
      </c>
      <c r="E62" s="1">
        <f>SUM(C62:D62)</f>
        <v>0</v>
      </c>
      <c r="F62" s="1">
        <f>IF(C62 + F61 &lt; 0, C62 + F61, 0)</f>
        <v>0</v>
      </c>
      <c r="G62" s="1">
        <f>IF(D62 + G61 &lt; 0, D62 + G61, 0)</f>
        <v>0</v>
      </c>
      <c r="H62" s="1">
        <f>IF(E62 + H61 &lt; 0, E62 + H61, 0)</f>
        <v>0</v>
      </c>
      <c r="I62" s="1">
        <f>IF(H62 &lt; 0, 1 + I61, 0)</f>
        <v>0</v>
      </c>
      <c r="J62" s="1">
        <f>C62-((ABS(SUM(PL!E62:H62)))*0.125)</f>
        <v>0</v>
      </c>
      <c r="K62" s="1">
        <f>D62-((ABS(SUM(PL!I62:L62)))*0.125)</f>
        <v>0</v>
      </c>
      <c r="L62" s="1">
        <f>J62 + K62</f>
        <v>0</v>
      </c>
      <c r="M62" s="1">
        <f>IF(J62 + M61 &lt; 0, J62 + M61, 0)</f>
        <v>0</v>
      </c>
      <c r="N62" s="1">
        <f>IF(K62 + N61 &lt; 0, K62 + N61, 0)</f>
        <v>0</v>
      </c>
      <c r="O62" s="1">
        <f>IF(L62 + O61 &lt; 0, L62 + O61, 0)</f>
        <v>0</v>
      </c>
      <c r="P62" s="1">
        <f>IF(O62 &lt; 0, 1 + P61, 0)</f>
        <v>0</v>
      </c>
      <c r="Q62" s="1">
        <f>IF(E62&lt;0,1,0)</f>
        <v>0</v>
      </c>
      <c r="R62" s="1">
        <f>IF(Q62=1,E62,0)</f>
        <v>0</v>
      </c>
      <c r="S62" s="1">
        <f>IF(E62&gt;0,1,0)</f>
        <v>0</v>
      </c>
      <c r="T62" s="1">
        <f>IF(S62=1,E62,0)</f>
        <v>0</v>
      </c>
      <c r="U62" s="1">
        <f>IF(R62&lt;-100000000/100,1,0)</f>
        <v>0</v>
      </c>
      <c r="V62" s="1">
        <f>IF(T62&gt;100000000/100,1,0)</f>
        <v>0</v>
      </c>
      <c r="W62" s="1">
        <f>IF(L62&lt;0,1,0)</f>
        <v>0</v>
      </c>
      <c r="X62" s="1">
        <f>IF(W62=1,L62,0)</f>
        <v>0</v>
      </c>
      <c r="Y62" s="1">
        <f>IF(L62&gt;0,1,0)</f>
        <v>0</v>
      </c>
      <c r="Z62" s="1">
        <f>IF(Y62=1,L62,0)</f>
        <v>0</v>
      </c>
      <c r="AA62" s="1">
        <f>IF(X62&lt;-100000000/100,1,0)</f>
        <v>0</v>
      </c>
      <c r="AB62" s="1">
        <f>IF(Z62&gt;100000000/100,1,0)</f>
        <v>0</v>
      </c>
    </row>
    <row r="63" spans="1:28" s="1" customFormat="1">
      <c r="A63" s="3">
        <v>45021</v>
      </c>
      <c r="B63" s="2" t="s">
        <v>14</v>
      </c>
      <c r="C63" s="1">
        <f>SUM(PL!E63:H63)</f>
        <v>0</v>
      </c>
      <c r="D63" s="1">
        <f>SUM(PL!I63:L63)</f>
        <v>0</v>
      </c>
      <c r="E63" s="1">
        <f>SUM(C63:D63)</f>
        <v>0</v>
      </c>
      <c r="F63" s="1">
        <f>IF(C63 + F62 &lt; 0, C63 + F62, 0)</f>
        <v>0</v>
      </c>
      <c r="G63" s="1">
        <f>IF(D63 + G62 &lt; 0, D63 + G62, 0)</f>
        <v>0</v>
      </c>
      <c r="H63" s="1">
        <f>IF(E63 + H62 &lt; 0, E63 + H62, 0)</f>
        <v>0</v>
      </c>
      <c r="I63" s="1">
        <f>IF(H63 &lt; 0, 1 + I62, 0)</f>
        <v>0</v>
      </c>
      <c r="J63" s="1">
        <f>C63-((ABS(SUM(PL!E63:H63)))*0.125)</f>
        <v>0</v>
      </c>
      <c r="K63" s="1">
        <f>D63-((ABS(SUM(PL!I63:L63)))*0.125)</f>
        <v>0</v>
      </c>
      <c r="L63" s="1">
        <f>J63 + K63</f>
        <v>0</v>
      </c>
      <c r="M63" s="1">
        <f>IF(J63 + M62 &lt; 0, J63 + M62, 0)</f>
        <v>0</v>
      </c>
      <c r="N63" s="1">
        <f>IF(K63 + N62 &lt; 0, K63 + N62, 0)</f>
        <v>0</v>
      </c>
      <c r="O63" s="1">
        <f>IF(L63 + O62 &lt; 0, L63 + O62, 0)</f>
        <v>0</v>
      </c>
      <c r="P63" s="1">
        <f>IF(O63 &lt; 0, 1 + P62, 0)</f>
        <v>0</v>
      </c>
      <c r="Q63" s="1">
        <f>IF(E63&lt;0,1,0)</f>
        <v>0</v>
      </c>
      <c r="R63" s="1">
        <f>IF(Q63=1,E63,0)</f>
        <v>0</v>
      </c>
      <c r="S63" s="1">
        <f>IF(E63&gt;0,1,0)</f>
        <v>0</v>
      </c>
      <c r="T63" s="1">
        <f>IF(S63=1,E63,0)</f>
        <v>0</v>
      </c>
      <c r="U63" s="1">
        <f>IF(R63&lt;-100000000/100,1,0)</f>
        <v>0</v>
      </c>
      <c r="V63" s="1">
        <f>IF(T63&gt;100000000/100,1,0)</f>
        <v>0</v>
      </c>
      <c r="W63" s="1">
        <f>IF(L63&lt;0,1,0)</f>
        <v>0</v>
      </c>
      <c r="X63" s="1">
        <f>IF(W63=1,L63,0)</f>
        <v>0</v>
      </c>
      <c r="Y63" s="1">
        <f>IF(L63&gt;0,1,0)</f>
        <v>0</v>
      </c>
      <c r="Z63" s="1">
        <f>IF(Y63=1,L63,0)</f>
        <v>0</v>
      </c>
      <c r="AA63" s="1">
        <f>IF(X63&lt;-100000000/100,1,0)</f>
        <v>0</v>
      </c>
      <c r="AB63" s="1">
        <f>IF(Z63&gt;100000000/100,1,0)</f>
        <v>0</v>
      </c>
    </row>
    <row r="64" spans="1:28" s="1" customFormat="1">
      <c r="A64" s="3">
        <v>45022</v>
      </c>
      <c r="B64" s="2" t="s">
        <v>16</v>
      </c>
      <c r="C64" s="1">
        <f>SUM(PL!E64:H64)</f>
        <v>0</v>
      </c>
      <c r="D64" s="1">
        <f>SUM(PL!I64:L64)</f>
        <v>0</v>
      </c>
      <c r="E64" s="1">
        <f>SUM(C64:D64)</f>
        <v>0</v>
      </c>
      <c r="F64" s="1">
        <f>IF(C64 + F63 &lt; 0, C64 + F63, 0)</f>
        <v>0</v>
      </c>
      <c r="G64" s="1">
        <f>IF(D64 + G63 &lt; 0, D64 + G63, 0)</f>
        <v>0</v>
      </c>
      <c r="H64" s="1">
        <f>IF(E64 + H63 &lt; 0, E64 + H63, 0)</f>
        <v>0</v>
      </c>
      <c r="I64" s="1">
        <f>IF(H64 &lt; 0, 1 + I63, 0)</f>
        <v>0</v>
      </c>
      <c r="J64" s="1">
        <f>C64-((ABS(SUM(PL!E64:H64)))*0.125)</f>
        <v>0</v>
      </c>
      <c r="K64" s="1">
        <f>D64-((ABS(SUM(PL!I64:L64)))*0.125)</f>
        <v>0</v>
      </c>
      <c r="L64" s="1">
        <f>J64 + K64</f>
        <v>0</v>
      </c>
      <c r="M64" s="1">
        <f>IF(J64 + M63 &lt; 0, J64 + M63, 0)</f>
        <v>0</v>
      </c>
      <c r="N64" s="1">
        <f>IF(K64 + N63 &lt; 0, K64 + N63, 0)</f>
        <v>0</v>
      </c>
      <c r="O64" s="1">
        <f>IF(L64 + O63 &lt; 0, L64 + O63, 0)</f>
        <v>0</v>
      </c>
      <c r="P64" s="1">
        <f>IF(O64 &lt; 0, 1 + P63, 0)</f>
        <v>0</v>
      </c>
      <c r="Q64" s="1">
        <f>IF(E64&lt;0,1,0)</f>
        <v>0</v>
      </c>
      <c r="R64" s="1">
        <f>IF(Q64=1,E64,0)</f>
        <v>0</v>
      </c>
      <c r="S64" s="1">
        <f>IF(E64&gt;0,1,0)</f>
        <v>0</v>
      </c>
      <c r="T64" s="1">
        <f>IF(S64=1,E64,0)</f>
        <v>0</v>
      </c>
      <c r="U64" s="1">
        <f>IF(R64&lt;-100000000/100,1,0)</f>
        <v>0</v>
      </c>
      <c r="V64" s="1">
        <f>IF(T64&gt;100000000/100,1,0)</f>
        <v>0</v>
      </c>
      <c r="W64" s="1">
        <f>IF(L64&lt;0,1,0)</f>
        <v>0</v>
      </c>
      <c r="X64" s="1">
        <f>IF(W64=1,L64,0)</f>
        <v>0</v>
      </c>
      <c r="Y64" s="1">
        <f>IF(L64&gt;0,1,0)</f>
        <v>0</v>
      </c>
      <c r="Z64" s="1">
        <f>IF(Y64=1,L64,0)</f>
        <v>0</v>
      </c>
      <c r="AA64" s="1">
        <f>IF(X64&lt;-100000000/100,1,0)</f>
        <v>0</v>
      </c>
      <c r="AB64" s="1">
        <f>IF(Z64&gt;100000000/100,1,0)</f>
        <v>0</v>
      </c>
    </row>
    <row r="65" spans="1:28" s="1" customFormat="1">
      <c r="A65" s="3">
        <v>45026</v>
      </c>
      <c r="B65" s="2" t="s">
        <v>12</v>
      </c>
      <c r="C65" s="1">
        <f>SUM(PL!E65:H65)</f>
        <v>0</v>
      </c>
      <c r="D65" s="1">
        <f>SUM(PL!I65:L65)</f>
        <v>0</v>
      </c>
      <c r="E65" s="1">
        <f>SUM(C65:D65)</f>
        <v>0</v>
      </c>
      <c r="F65" s="1">
        <f>IF(C65 + F64 &lt; 0, C65 + F64, 0)</f>
        <v>0</v>
      </c>
      <c r="G65" s="1">
        <f>IF(D65 + G64 &lt; 0, D65 + G64, 0)</f>
        <v>0</v>
      </c>
      <c r="H65" s="1">
        <f>IF(E65 + H64 &lt; 0, E65 + H64, 0)</f>
        <v>0</v>
      </c>
      <c r="I65" s="1">
        <f>IF(H65 &lt; 0, 1 + I64, 0)</f>
        <v>0</v>
      </c>
      <c r="J65" s="1">
        <f>C65-((ABS(SUM(PL!E65:H65)))*0.125)</f>
        <v>0</v>
      </c>
      <c r="K65" s="1">
        <f>D65-((ABS(SUM(PL!I65:L65)))*0.125)</f>
        <v>0</v>
      </c>
      <c r="L65" s="1">
        <f>J65 + K65</f>
        <v>0</v>
      </c>
      <c r="M65" s="1">
        <f>IF(J65 + M64 &lt; 0, J65 + M64, 0)</f>
        <v>0</v>
      </c>
      <c r="N65" s="1">
        <f>IF(K65 + N64 &lt; 0, K65 + N64, 0)</f>
        <v>0</v>
      </c>
      <c r="O65" s="1">
        <f>IF(L65 + O64 &lt; 0, L65 + O64, 0)</f>
        <v>0</v>
      </c>
      <c r="P65" s="1">
        <f>IF(O65 &lt; 0, 1 + P64, 0)</f>
        <v>0</v>
      </c>
      <c r="Q65" s="1">
        <f>IF(E65&lt;0,1,0)</f>
        <v>0</v>
      </c>
      <c r="R65" s="1">
        <f>IF(Q65=1,E65,0)</f>
        <v>0</v>
      </c>
      <c r="S65" s="1">
        <f>IF(E65&gt;0,1,0)</f>
        <v>0</v>
      </c>
      <c r="T65" s="1">
        <f>IF(S65=1,E65,0)</f>
        <v>0</v>
      </c>
      <c r="U65" s="1">
        <f>IF(R65&lt;-100000000/100,1,0)</f>
        <v>0</v>
      </c>
      <c r="V65" s="1">
        <f>IF(T65&gt;100000000/100,1,0)</f>
        <v>0</v>
      </c>
      <c r="W65" s="1">
        <f>IF(L65&lt;0,1,0)</f>
        <v>0</v>
      </c>
      <c r="X65" s="1">
        <f>IF(W65=1,L65,0)</f>
        <v>0</v>
      </c>
      <c r="Y65" s="1">
        <f>IF(L65&gt;0,1,0)</f>
        <v>0</v>
      </c>
      <c r="Z65" s="1">
        <f>IF(Y65=1,L65,0)</f>
        <v>0</v>
      </c>
      <c r="AA65" s="1">
        <f>IF(X65&lt;-100000000/100,1,0)</f>
        <v>0</v>
      </c>
      <c r="AB65" s="1">
        <f>IF(Z65&gt;100000000/100,1,0)</f>
        <v>0</v>
      </c>
    </row>
    <row r="66" spans="1:28" s="1" customFormat="1">
      <c r="A66" s="3">
        <v>45027</v>
      </c>
      <c r="B66" s="2" t="s">
        <v>13</v>
      </c>
      <c r="C66" s="1">
        <f>SUM(PL!E66:H66)</f>
        <v>0</v>
      </c>
      <c r="D66" s="1">
        <f>SUM(PL!I66:L66)</f>
        <v>0</v>
      </c>
      <c r="E66" s="1">
        <f>SUM(C66:D66)</f>
        <v>0</v>
      </c>
      <c r="F66" s="1">
        <f>IF(C66 + F65 &lt; 0, C66 + F65, 0)</f>
        <v>0</v>
      </c>
      <c r="G66" s="1">
        <f>IF(D66 + G65 &lt; 0, D66 + G65, 0)</f>
        <v>0</v>
      </c>
      <c r="H66" s="1">
        <f>IF(E66 + H65 &lt; 0, E66 + H65, 0)</f>
        <v>0</v>
      </c>
      <c r="I66" s="1">
        <f>IF(H66 &lt; 0, 1 + I65, 0)</f>
        <v>0</v>
      </c>
      <c r="J66" s="1">
        <f>C66-((ABS(SUM(PL!E66:H66)))*0.125)</f>
        <v>0</v>
      </c>
      <c r="K66" s="1">
        <f>D66-((ABS(SUM(PL!I66:L66)))*0.125)</f>
        <v>0</v>
      </c>
      <c r="L66" s="1">
        <f>J66 + K66</f>
        <v>0</v>
      </c>
      <c r="M66" s="1">
        <f>IF(J66 + M65 &lt; 0, J66 + M65, 0)</f>
        <v>0</v>
      </c>
      <c r="N66" s="1">
        <f>IF(K66 + N65 &lt; 0, K66 + N65, 0)</f>
        <v>0</v>
      </c>
      <c r="O66" s="1">
        <f>IF(L66 + O65 &lt; 0, L66 + O65, 0)</f>
        <v>0</v>
      </c>
      <c r="P66" s="1">
        <f>IF(O66 &lt; 0, 1 + P65, 0)</f>
        <v>0</v>
      </c>
      <c r="Q66" s="1">
        <f>IF(E66&lt;0,1,0)</f>
        <v>0</v>
      </c>
      <c r="R66" s="1">
        <f>IF(Q66=1,E66,0)</f>
        <v>0</v>
      </c>
      <c r="S66" s="1">
        <f>IF(E66&gt;0,1,0)</f>
        <v>0</v>
      </c>
      <c r="T66" s="1">
        <f>IF(S66=1,E66,0)</f>
        <v>0</v>
      </c>
      <c r="U66" s="1">
        <f>IF(R66&lt;-100000000/100,1,0)</f>
        <v>0</v>
      </c>
      <c r="V66" s="1">
        <f>IF(T66&gt;100000000/100,1,0)</f>
        <v>0</v>
      </c>
      <c r="W66" s="1">
        <f>IF(L66&lt;0,1,0)</f>
        <v>0</v>
      </c>
      <c r="X66" s="1">
        <f>IF(W66=1,L66,0)</f>
        <v>0</v>
      </c>
      <c r="Y66" s="1">
        <f>IF(L66&gt;0,1,0)</f>
        <v>0</v>
      </c>
      <c r="Z66" s="1">
        <f>IF(Y66=1,L66,0)</f>
        <v>0</v>
      </c>
      <c r="AA66" s="1">
        <f>IF(X66&lt;-100000000/100,1,0)</f>
        <v>0</v>
      </c>
      <c r="AB66" s="1">
        <f>IF(Z66&gt;100000000/100,1,0)</f>
        <v>0</v>
      </c>
    </row>
    <row r="67" spans="1:28" s="1" customFormat="1">
      <c r="A67" s="3">
        <v>45028</v>
      </c>
      <c r="B67" s="2" t="s">
        <v>14</v>
      </c>
      <c r="C67" s="1">
        <f>SUM(PL!E67:H67)</f>
        <v>0</v>
      </c>
      <c r="D67" s="1">
        <f>SUM(PL!I67:L67)</f>
        <v>0</v>
      </c>
      <c r="E67" s="1">
        <f>SUM(C67:D67)</f>
        <v>0</v>
      </c>
      <c r="F67" s="1">
        <f>IF(C67 + F66 &lt; 0, C67 + F66, 0)</f>
        <v>0</v>
      </c>
      <c r="G67" s="1">
        <f>IF(D67 + G66 &lt; 0, D67 + G66, 0)</f>
        <v>0</v>
      </c>
      <c r="H67" s="1">
        <f>IF(E67 + H66 &lt; 0, E67 + H66, 0)</f>
        <v>0</v>
      </c>
      <c r="I67" s="1">
        <f>IF(H67 &lt; 0, 1 + I66, 0)</f>
        <v>0</v>
      </c>
      <c r="J67" s="1">
        <f>C67-((ABS(SUM(PL!E67:H67)))*0.125)</f>
        <v>0</v>
      </c>
      <c r="K67" s="1">
        <f>D67-((ABS(SUM(PL!I67:L67)))*0.125)</f>
        <v>0</v>
      </c>
      <c r="L67" s="1">
        <f>J67 + K67</f>
        <v>0</v>
      </c>
      <c r="M67" s="1">
        <f>IF(J67 + M66 &lt; 0, J67 + M66, 0)</f>
        <v>0</v>
      </c>
      <c r="N67" s="1">
        <f>IF(K67 + N66 &lt; 0, K67 + N66, 0)</f>
        <v>0</v>
      </c>
      <c r="O67" s="1">
        <f>IF(L67 + O66 &lt; 0, L67 + O66, 0)</f>
        <v>0</v>
      </c>
      <c r="P67" s="1">
        <f>IF(O67 &lt; 0, 1 + P66, 0)</f>
        <v>0</v>
      </c>
      <c r="Q67" s="1">
        <f>IF(E67&lt;0,1,0)</f>
        <v>0</v>
      </c>
      <c r="R67" s="1">
        <f>IF(Q67=1,E67,0)</f>
        <v>0</v>
      </c>
      <c r="S67" s="1">
        <f>IF(E67&gt;0,1,0)</f>
        <v>0</v>
      </c>
      <c r="T67" s="1">
        <f>IF(S67=1,E67,0)</f>
        <v>0</v>
      </c>
      <c r="U67" s="1">
        <f>IF(R67&lt;-100000000/100,1,0)</f>
        <v>0</v>
      </c>
      <c r="V67" s="1">
        <f>IF(T67&gt;100000000/100,1,0)</f>
        <v>0</v>
      </c>
      <c r="W67" s="1">
        <f>IF(L67&lt;0,1,0)</f>
        <v>0</v>
      </c>
      <c r="X67" s="1">
        <f>IF(W67=1,L67,0)</f>
        <v>0</v>
      </c>
      <c r="Y67" s="1">
        <f>IF(L67&gt;0,1,0)</f>
        <v>0</v>
      </c>
      <c r="Z67" s="1">
        <f>IF(Y67=1,L67,0)</f>
        <v>0</v>
      </c>
      <c r="AA67" s="1">
        <f>IF(X67&lt;-100000000/100,1,0)</f>
        <v>0</v>
      </c>
      <c r="AB67" s="1">
        <f>IF(Z67&gt;100000000/100,1,0)</f>
        <v>0</v>
      </c>
    </row>
    <row r="68" spans="1:28" s="1" customFormat="1">
      <c r="A68" s="3">
        <v>45029</v>
      </c>
      <c r="B68" s="2" t="s">
        <v>16</v>
      </c>
      <c r="C68" s="1">
        <f>SUM(PL!E68:H68)</f>
        <v>0</v>
      </c>
      <c r="D68" s="1">
        <f>SUM(PL!I68:L68)</f>
        <v>0</v>
      </c>
      <c r="E68" s="1">
        <f>SUM(C68:D68)</f>
        <v>0</v>
      </c>
      <c r="F68" s="1">
        <f>IF(C68 + F67 &lt; 0, C68 + F67, 0)</f>
        <v>0</v>
      </c>
      <c r="G68" s="1">
        <f>IF(D68 + G67 &lt; 0, D68 + G67, 0)</f>
        <v>0</v>
      </c>
      <c r="H68" s="1">
        <f>IF(E68 + H67 &lt; 0, E68 + H67, 0)</f>
        <v>0</v>
      </c>
      <c r="I68" s="1">
        <f>IF(H68 &lt; 0, 1 + I67, 0)</f>
        <v>0</v>
      </c>
      <c r="J68" s="1">
        <f>C68-((ABS(SUM(PL!E68:H68)))*0.125)</f>
        <v>0</v>
      </c>
      <c r="K68" s="1">
        <f>D68-((ABS(SUM(PL!I68:L68)))*0.125)</f>
        <v>0</v>
      </c>
      <c r="L68" s="1">
        <f>J68 + K68</f>
        <v>0</v>
      </c>
      <c r="M68" s="1">
        <f>IF(J68 + M67 &lt; 0, J68 + M67, 0)</f>
        <v>0</v>
      </c>
      <c r="N68" s="1">
        <f>IF(K68 + N67 &lt; 0, K68 + N67, 0)</f>
        <v>0</v>
      </c>
      <c r="O68" s="1">
        <f>IF(L68 + O67 &lt; 0, L68 + O67, 0)</f>
        <v>0</v>
      </c>
      <c r="P68" s="1">
        <f>IF(O68 &lt; 0, 1 + P67, 0)</f>
        <v>0</v>
      </c>
      <c r="Q68" s="1">
        <f>IF(E68&lt;0,1,0)</f>
        <v>0</v>
      </c>
      <c r="R68" s="1">
        <f>IF(Q68=1,E68,0)</f>
        <v>0</v>
      </c>
      <c r="S68" s="1">
        <f>IF(E68&gt;0,1,0)</f>
        <v>0</v>
      </c>
      <c r="T68" s="1">
        <f>IF(S68=1,E68,0)</f>
        <v>0</v>
      </c>
      <c r="U68" s="1">
        <f>IF(R68&lt;-100000000/100,1,0)</f>
        <v>0</v>
      </c>
      <c r="V68" s="1">
        <f>IF(T68&gt;100000000/100,1,0)</f>
        <v>0</v>
      </c>
      <c r="W68" s="1">
        <f>IF(L68&lt;0,1,0)</f>
        <v>0</v>
      </c>
      <c r="X68" s="1">
        <f>IF(W68=1,L68,0)</f>
        <v>0</v>
      </c>
      <c r="Y68" s="1">
        <f>IF(L68&gt;0,1,0)</f>
        <v>0</v>
      </c>
      <c r="Z68" s="1">
        <f>IF(Y68=1,L68,0)</f>
        <v>0</v>
      </c>
      <c r="AA68" s="1">
        <f>IF(X68&lt;-100000000/100,1,0)</f>
        <v>0</v>
      </c>
      <c r="AB68" s="1">
        <f>IF(Z68&gt;100000000/100,1,0)</f>
        <v>0</v>
      </c>
    </row>
    <row r="69" spans="1:28" s="1" customFormat="1">
      <c r="A69" s="3">
        <v>45030</v>
      </c>
      <c r="B69" s="2" t="s">
        <v>15</v>
      </c>
      <c r="C69" s="1">
        <f>SUM(PL!E69:H69)</f>
        <v>0</v>
      </c>
      <c r="D69" s="1">
        <f>SUM(PL!I69:L69)</f>
        <v>0</v>
      </c>
      <c r="E69" s="1">
        <f>SUM(C69:D69)</f>
        <v>0</v>
      </c>
      <c r="F69" s="1">
        <f>IF(C69 + F68 &lt; 0, C69 + F68, 0)</f>
        <v>0</v>
      </c>
      <c r="G69" s="1">
        <f>IF(D69 + G68 &lt; 0, D69 + G68, 0)</f>
        <v>0</v>
      </c>
      <c r="H69" s="1">
        <f>IF(E69 + H68 &lt; 0, E69 + H68, 0)</f>
        <v>0</v>
      </c>
      <c r="I69" s="1">
        <f>IF(H69 &lt; 0, 1 + I68, 0)</f>
        <v>0</v>
      </c>
      <c r="J69" s="1">
        <f>C69-((ABS(SUM(PL!E69:H69)))*0.125)</f>
        <v>0</v>
      </c>
      <c r="K69" s="1">
        <f>D69-((ABS(SUM(PL!I69:L69)))*0.125)</f>
        <v>0</v>
      </c>
      <c r="L69" s="1">
        <f>J69 + K69</f>
        <v>0</v>
      </c>
      <c r="M69" s="1">
        <f>IF(J69 + M68 &lt; 0, J69 + M68, 0)</f>
        <v>0</v>
      </c>
      <c r="N69" s="1">
        <f>IF(K69 + N68 &lt; 0, K69 + N68, 0)</f>
        <v>0</v>
      </c>
      <c r="O69" s="1">
        <f>IF(L69 + O68 &lt; 0, L69 + O68, 0)</f>
        <v>0</v>
      </c>
      <c r="P69" s="1">
        <f>IF(O69 &lt; 0, 1 + P68, 0)</f>
        <v>0</v>
      </c>
      <c r="Q69" s="1">
        <f>IF(E69&lt;0,1,0)</f>
        <v>0</v>
      </c>
      <c r="R69" s="1">
        <f>IF(Q69=1,E69,0)</f>
        <v>0</v>
      </c>
      <c r="S69" s="1">
        <f>IF(E69&gt;0,1,0)</f>
        <v>0</v>
      </c>
      <c r="T69" s="1">
        <f>IF(S69=1,E69,0)</f>
        <v>0</v>
      </c>
      <c r="U69" s="1">
        <f>IF(R69&lt;-100000000/100,1,0)</f>
        <v>0</v>
      </c>
      <c r="V69" s="1">
        <f>IF(T69&gt;100000000/100,1,0)</f>
        <v>0</v>
      </c>
      <c r="W69" s="1">
        <f>IF(L69&lt;0,1,0)</f>
        <v>0</v>
      </c>
      <c r="X69" s="1">
        <f>IF(W69=1,L69,0)</f>
        <v>0</v>
      </c>
      <c r="Y69" s="1">
        <f>IF(L69&gt;0,1,0)</f>
        <v>0</v>
      </c>
      <c r="Z69" s="1">
        <f>IF(Y69=1,L69,0)</f>
        <v>0</v>
      </c>
      <c r="AA69" s="1">
        <f>IF(X69&lt;-100000000/100,1,0)</f>
        <v>0</v>
      </c>
      <c r="AB69" s="1">
        <f>IF(Z69&gt;100000000/100,1,0)</f>
        <v>0</v>
      </c>
    </row>
    <row r="70" spans="1:28" s="1" customFormat="1">
      <c r="A70" s="3">
        <v>45033</v>
      </c>
      <c r="B70" s="2" t="s">
        <v>12</v>
      </c>
      <c r="C70" s="1">
        <f>SUM(PL!E70:H70)</f>
        <v>0</v>
      </c>
      <c r="D70" s="1">
        <f>SUM(PL!I70:L70)</f>
        <v>0</v>
      </c>
      <c r="E70" s="1">
        <f>SUM(C70:D70)</f>
        <v>0</v>
      </c>
      <c r="F70" s="1">
        <f>IF(C70 + F69 &lt; 0, C70 + F69, 0)</f>
        <v>0</v>
      </c>
      <c r="G70" s="1">
        <f>IF(D70 + G69 &lt; 0, D70 + G69, 0)</f>
        <v>0</v>
      </c>
      <c r="H70" s="1">
        <f>IF(E70 + H69 &lt; 0, E70 + H69, 0)</f>
        <v>0</v>
      </c>
      <c r="I70" s="1">
        <f>IF(H70 &lt; 0, 1 + I69, 0)</f>
        <v>0</v>
      </c>
      <c r="J70" s="1">
        <f>C70-((ABS(SUM(PL!E70:H70)))*0.125)</f>
        <v>0</v>
      </c>
      <c r="K70" s="1">
        <f>D70-((ABS(SUM(PL!I70:L70)))*0.125)</f>
        <v>0</v>
      </c>
      <c r="L70" s="1">
        <f>J70 + K70</f>
        <v>0</v>
      </c>
      <c r="M70" s="1">
        <f>IF(J70 + M69 &lt; 0, J70 + M69, 0)</f>
        <v>0</v>
      </c>
      <c r="N70" s="1">
        <f>IF(K70 + N69 &lt; 0, K70 + N69, 0)</f>
        <v>0</v>
      </c>
      <c r="O70" s="1">
        <f>IF(L70 + O69 &lt; 0, L70 + O69, 0)</f>
        <v>0</v>
      </c>
      <c r="P70" s="1">
        <f>IF(O70 &lt; 0, 1 + P69, 0)</f>
        <v>0</v>
      </c>
      <c r="Q70" s="1">
        <f>IF(E70&lt;0,1,0)</f>
        <v>0</v>
      </c>
      <c r="R70" s="1">
        <f>IF(Q70=1,E70,0)</f>
        <v>0</v>
      </c>
      <c r="S70" s="1">
        <f>IF(E70&gt;0,1,0)</f>
        <v>0</v>
      </c>
      <c r="T70" s="1">
        <f>IF(S70=1,E70,0)</f>
        <v>0</v>
      </c>
      <c r="U70" s="1">
        <f>IF(R70&lt;-100000000/100,1,0)</f>
        <v>0</v>
      </c>
      <c r="V70" s="1">
        <f>IF(T70&gt;100000000/100,1,0)</f>
        <v>0</v>
      </c>
      <c r="W70" s="1">
        <f>IF(L70&lt;0,1,0)</f>
        <v>0</v>
      </c>
      <c r="X70" s="1">
        <f>IF(W70=1,L70,0)</f>
        <v>0</v>
      </c>
      <c r="Y70" s="1">
        <f>IF(L70&gt;0,1,0)</f>
        <v>0</v>
      </c>
      <c r="Z70" s="1">
        <f>IF(Y70=1,L70,0)</f>
        <v>0</v>
      </c>
      <c r="AA70" s="1">
        <f>IF(X70&lt;-100000000/100,1,0)</f>
        <v>0</v>
      </c>
      <c r="AB70" s="1">
        <f>IF(Z70&gt;100000000/100,1,0)</f>
        <v>0</v>
      </c>
    </row>
    <row r="71" spans="1:28" s="1" customFormat="1">
      <c r="A71" s="3">
        <v>45034</v>
      </c>
      <c r="B71" s="2" t="s">
        <v>13</v>
      </c>
      <c r="C71" s="1">
        <f>SUM(PL!E71:H71)</f>
        <v>0</v>
      </c>
      <c r="D71" s="1">
        <f>SUM(PL!I71:L71)</f>
        <v>0</v>
      </c>
      <c r="E71" s="1">
        <f>SUM(C71:D71)</f>
        <v>0</v>
      </c>
      <c r="F71" s="1">
        <f>IF(C71 + F70 &lt; 0, C71 + F70, 0)</f>
        <v>0</v>
      </c>
      <c r="G71" s="1">
        <f>IF(D71 + G70 &lt; 0, D71 + G70, 0)</f>
        <v>0</v>
      </c>
      <c r="H71" s="1">
        <f>IF(E71 + H70 &lt; 0, E71 + H70, 0)</f>
        <v>0</v>
      </c>
      <c r="I71" s="1">
        <f>IF(H71 &lt; 0, 1 + I70, 0)</f>
        <v>0</v>
      </c>
      <c r="J71" s="1">
        <f>C71-((ABS(SUM(PL!E71:H71)))*0.125)</f>
        <v>0</v>
      </c>
      <c r="K71" s="1">
        <f>D71-((ABS(SUM(PL!I71:L71)))*0.125)</f>
        <v>0</v>
      </c>
      <c r="L71" s="1">
        <f>J71 + K71</f>
        <v>0</v>
      </c>
      <c r="M71" s="1">
        <f>IF(J71 + M70 &lt; 0, J71 + M70, 0)</f>
        <v>0</v>
      </c>
      <c r="N71" s="1">
        <f>IF(K71 + N70 &lt; 0, K71 + N70, 0)</f>
        <v>0</v>
      </c>
      <c r="O71" s="1">
        <f>IF(L71 + O70 &lt; 0, L71 + O70, 0)</f>
        <v>0</v>
      </c>
      <c r="P71" s="1">
        <f>IF(O71 &lt; 0, 1 + P70, 0)</f>
        <v>0</v>
      </c>
      <c r="Q71" s="1">
        <f>IF(E71&lt;0,1,0)</f>
        <v>0</v>
      </c>
      <c r="R71" s="1">
        <f>IF(Q71=1,E71,0)</f>
        <v>0</v>
      </c>
      <c r="S71" s="1">
        <f>IF(E71&gt;0,1,0)</f>
        <v>0</v>
      </c>
      <c r="T71" s="1">
        <f>IF(S71=1,E71,0)</f>
        <v>0</v>
      </c>
      <c r="U71" s="1">
        <f>IF(R71&lt;-100000000/100,1,0)</f>
        <v>0</v>
      </c>
      <c r="V71" s="1">
        <f>IF(T71&gt;100000000/100,1,0)</f>
        <v>0</v>
      </c>
      <c r="W71" s="1">
        <f>IF(L71&lt;0,1,0)</f>
        <v>0</v>
      </c>
      <c r="X71" s="1">
        <f>IF(W71=1,L71,0)</f>
        <v>0</v>
      </c>
      <c r="Y71" s="1">
        <f>IF(L71&gt;0,1,0)</f>
        <v>0</v>
      </c>
      <c r="Z71" s="1">
        <f>IF(Y71=1,L71,0)</f>
        <v>0</v>
      </c>
      <c r="AA71" s="1">
        <f>IF(X71&lt;-100000000/100,1,0)</f>
        <v>0</v>
      </c>
      <c r="AB71" s="1">
        <f>IF(Z71&gt;100000000/100,1,0)</f>
        <v>0</v>
      </c>
    </row>
    <row r="72" spans="1:28" s="1" customFormat="1">
      <c r="A72" s="3">
        <v>45035</v>
      </c>
      <c r="B72" s="2" t="s">
        <v>14</v>
      </c>
      <c r="C72" s="1">
        <f>SUM(PL!E72:H72)</f>
        <v>0</v>
      </c>
      <c r="D72" s="1">
        <f>SUM(PL!I72:L72)</f>
        <v>0</v>
      </c>
      <c r="E72" s="1">
        <f>SUM(C72:D72)</f>
        <v>0</v>
      </c>
      <c r="F72" s="1">
        <f>IF(C72 + F71 &lt; 0, C72 + F71, 0)</f>
        <v>0</v>
      </c>
      <c r="G72" s="1">
        <f>IF(D72 + G71 &lt; 0, D72 + G71, 0)</f>
        <v>0</v>
      </c>
      <c r="H72" s="1">
        <f>IF(E72 + H71 &lt; 0, E72 + H71, 0)</f>
        <v>0</v>
      </c>
      <c r="I72" s="1">
        <f>IF(H72 &lt; 0, 1 + I71, 0)</f>
        <v>0</v>
      </c>
      <c r="J72" s="1">
        <f>C72-((ABS(SUM(PL!E72:H72)))*0.125)</f>
        <v>0</v>
      </c>
      <c r="K72" s="1">
        <f>D72-((ABS(SUM(PL!I72:L72)))*0.125)</f>
        <v>0</v>
      </c>
      <c r="L72" s="1">
        <f>J72 + K72</f>
        <v>0</v>
      </c>
      <c r="M72" s="1">
        <f>IF(J72 + M71 &lt; 0, J72 + M71, 0)</f>
        <v>0</v>
      </c>
      <c r="N72" s="1">
        <f>IF(K72 + N71 &lt; 0, K72 + N71, 0)</f>
        <v>0</v>
      </c>
      <c r="O72" s="1">
        <f>IF(L72 + O71 &lt; 0, L72 + O71, 0)</f>
        <v>0</v>
      </c>
      <c r="P72" s="1">
        <f>IF(O72 &lt; 0, 1 + P71, 0)</f>
        <v>0</v>
      </c>
      <c r="Q72" s="1">
        <f>IF(E72&lt;0,1,0)</f>
        <v>0</v>
      </c>
      <c r="R72" s="1">
        <f>IF(Q72=1,E72,0)</f>
        <v>0</v>
      </c>
      <c r="S72" s="1">
        <f>IF(E72&gt;0,1,0)</f>
        <v>0</v>
      </c>
      <c r="T72" s="1">
        <f>IF(S72=1,E72,0)</f>
        <v>0</v>
      </c>
      <c r="U72" s="1">
        <f>IF(R72&lt;-100000000/100,1,0)</f>
        <v>0</v>
      </c>
      <c r="V72" s="1">
        <f>IF(T72&gt;100000000/100,1,0)</f>
        <v>0</v>
      </c>
      <c r="W72" s="1">
        <f>IF(L72&lt;0,1,0)</f>
        <v>0</v>
      </c>
      <c r="X72" s="1">
        <f>IF(W72=1,L72,0)</f>
        <v>0</v>
      </c>
      <c r="Y72" s="1">
        <f>IF(L72&gt;0,1,0)</f>
        <v>0</v>
      </c>
      <c r="Z72" s="1">
        <f>IF(Y72=1,L72,0)</f>
        <v>0</v>
      </c>
      <c r="AA72" s="1">
        <f>IF(X72&lt;-100000000/100,1,0)</f>
        <v>0</v>
      </c>
      <c r="AB72" s="1">
        <f>IF(Z72&gt;100000000/100,1,0)</f>
        <v>0</v>
      </c>
    </row>
    <row r="73" spans="1:28" s="1" customFormat="1">
      <c r="A73" s="3">
        <v>45036</v>
      </c>
      <c r="B73" s="2" t="s">
        <v>16</v>
      </c>
      <c r="C73" s="1">
        <f>SUM(PL!E73:H73)</f>
        <v>0</v>
      </c>
      <c r="D73" s="1">
        <f>SUM(PL!I73:L73)</f>
        <v>0</v>
      </c>
      <c r="E73" s="1">
        <f>SUM(C73:D73)</f>
        <v>0</v>
      </c>
      <c r="F73" s="1">
        <f>IF(C73 + F72 &lt; 0, C73 + F72, 0)</f>
        <v>0</v>
      </c>
      <c r="G73" s="1">
        <f>IF(D73 + G72 &lt; 0, D73 + G72, 0)</f>
        <v>0</v>
      </c>
      <c r="H73" s="1">
        <f>IF(E73 + H72 &lt; 0, E73 + H72, 0)</f>
        <v>0</v>
      </c>
      <c r="I73" s="1">
        <f>IF(H73 &lt; 0, 1 + I72, 0)</f>
        <v>0</v>
      </c>
      <c r="J73" s="1">
        <f>C73-((ABS(SUM(PL!E73:H73)))*0.125)</f>
        <v>0</v>
      </c>
      <c r="K73" s="1">
        <f>D73-((ABS(SUM(PL!I73:L73)))*0.125)</f>
        <v>0</v>
      </c>
      <c r="L73" s="1">
        <f>J73 + K73</f>
        <v>0</v>
      </c>
      <c r="M73" s="1">
        <f>IF(J73 + M72 &lt; 0, J73 + M72, 0)</f>
        <v>0</v>
      </c>
      <c r="N73" s="1">
        <f>IF(K73 + N72 &lt; 0, K73 + N72, 0)</f>
        <v>0</v>
      </c>
      <c r="O73" s="1">
        <f>IF(L73 + O72 &lt; 0, L73 + O72, 0)</f>
        <v>0</v>
      </c>
      <c r="P73" s="1">
        <f>IF(O73 &lt; 0, 1 + P72, 0)</f>
        <v>0</v>
      </c>
      <c r="Q73" s="1">
        <f>IF(E73&lt;0,1,0)</f>
        <v>0</v>
      </c>
      <c r="R73" s="1">
        <f>IF(Q73=1,E73,0)</f>
        <v>0</v>
      </c>
      <c r="S73" s="1">
        <f>IF(E73&gt;0,1,0)</f>
        <v>0</v>
      </c>
      <c r="T73" s="1">
        <f>IF(S73=1,E73,0)</f>
        <v>0</v>
      </c>
      <c r="U73" s="1">
        <f>IF(R73&lt;-100000000/100,1,0)</f>
        <v>0</v>
      </c>
      <c r="V73" s="1">
        <f>IF(T73&gt;100000000/100,1,0)</f>
        <v>0</v>
      </c>
      <c r="W73" s="1">
        <f>IF(L73&lt;0,1,0)</f>
        <v>0</v>
      </c>
      <c r="X73" s="1">
        <f>IF(W73=1,L73,0)</f>
        <v>0</v>
      </c>
      <c r="Y73" s="1">
        <f>IF(L73&gt;0,1,0)</f>
        <v>0</v>
      </c>
      <c r="Z73" s="1">
        <f>IF(Y73=1,L73,0)</f>
        <v>0</v>
      </c>
      <c r="AA73" s="1">
        <f>IF(X73&lt;-100000000/100,1,0)</f>
        <v>0</v>
      </c>
      <c r="AB73" s="1">
        <f>IF(Z73&gt;100000000/100,1,0)</f>
        <v>0</v>
      </c>
    </row>
    <row r="74" spans="1:28" s="1" customFormat="1">
      <c r="A74" s="3">
        <v>45037</v>
      </c>
      <c r="B74" s="2" t="s">
        <v>15</v>
      </c>
      <c r="C74" s="1">
        <f>SUM(PL!E74:H74)</f>
        <v>0</v>
      </c>
      <c r="D74" s="1">
        <f>SUM(PL!I74:L74)</f>
        <v>0</v>
      </c>
      <c r="E74" s="1">
        <f>SUM(C74:D74)</f>
        <v>0</v>
      </c>
      <c r="F74" s="1">
        <f>IF(C74 + F73 &lt; 0, C74 + F73, 0)</f>
        <v>0</v>
      </c>
      <c r="G74" s="1">
        <f>IF(D74 + G73 &lt; 0, D74 + G73, 0)</f>
        <v>0</v>
      </c>
      <c r="H74" s="1">
        <f>IF(E74 + H73 &lt; 0, E74 + H73, 0)</f>
        <v>0</v>
      </c>
      <c r="I74" s="1">
        <f>IF(H74 &lt; 0, 1 + I73, 0)</f>
        <v>0</v>
      </c>
      <c r="J74" s="1">
        <f>C74-((ABS(SUM(PL!E74:H74)))*0.125)</f>
        <v>0</v>
      </c>
      <c r="K74" s="1">
        <f>D74-((ABS(SUM(PL!I74:L74)))*0.125)</f>
        <v>0</v>
      </c>
      <c r="L74" s="1">
        <f>J74 + K74</f>
        <v>0</v>
      </c>
      <c r="M74" s="1">
        <f>IF(J74 + M73 &lt; 0, J74 + M73, 0)</f>
        <v>0</v>
      </c>
      <c r="N74" s="1">
        <f>IF(K74 + N73 &lt; 0, K74 + N73, 0)</f>
        <v>0</v>
      </c>
      <c r="O74" s="1">
        <f>IF(L74 + O73 &lt; 0, L74 + O73, 0)</f>
        <v>0</v>
      </c>
      <c r="P74" s="1">
        <f>IF(O74 &lt; 0, 1 + P73, 0)</f>
        <v>0</v>
      </c>
      <c r="Q74" s="1">
        <f>IF(E74&lt;0,1,0)</f>
        <v>0</v>
      </c>
      <c r="R74" s="1">
        <f>IF(Q74=1,E74,0)</f>
        <v>0</v>
      </c>
      <c r="S74" s="1">
        <f>IF(E74&gt;0,1,0)</f>
        <v>0</v>
      </c>
      <c r="T74" s="1">
        <f>IF(S74=1,E74,0)</f>
        <v>0</v>
      </c>
      <c r="U74" s="1">
        <f>IF(R74&lt;-100000000/100,1,0)</f>
        <v>0</v>
      </c>
      <c r="V74" s="1">
        <f>IF(T74&gt;100000000/100,1,0)</f>
        <v>0</v>
      </c>
      <c r="W74" s="1">
        <f>IF(L74&lt;0,1,0)</f>
        <v>0</v>
      </c>
      <c r="X74" s="1">
        <f>IF(W74=1,L74,0)</f>
        <v>0</v>
      </c>
      <c r="Y74" s="1">
        <f>IF(L74&gt;0,1,0)</f>
        <v>0</v>
      </c>
      <c r="Z74" s="1">
        <f>IF(Y74=1,L74,0)</f>
        <v>0</v>
      </c>
      <c r="AA74" s="1">
        <f>IF(X74&lt;-100000000/100,1,0)</f>
        <v>0</v>
      </c>
      <c r="AB74" s="1">
        <f>IF(Z74&gt;100000000/100,1,0)</f>
        <v>0</v>
      </c>
    </row>
    <row r="75" spans="1:28" s="1" customFormat="1">
      <c r="A75" s="3">
        <v>45040</v>
      </c>
      <c r="B75" s="2" t="s">
        <v>12</v>
      </c>
      <c r="C75" s="1">
        <f>SUM(PL!E75:H75)</f>
        <v>0</v>
      </c>
      <c r="D75" s="1">
        <f>SUM(PL!I75:L75)</f>
        <v>0</v>
      </c>
      <c r="E75" s="1">
        <f>SUM(C75:D75)</f>
        <v>0</v>
      </c>
      <c r="F75" s="1">
        <f>IF(C75 + F74 &lt; 0, C75 + F74, 0)</f>
        <v>0</v>
      </c>
      <c r="G75" s="1">
        <f>IF(D75 + G74 &lt; 0, D75 + G74, 0)</f>
        <v>0</v>
      </c>
      <c r="H75" s="1">
        <f>IF(E75 + H74 &lt; 0, E75 + H74, 0)</f>
        <v>0</v>
      </c>
      <c r="I75" s="1">
        <f>IF(H75 &lt; 0, 1 + I74, 0)</f>
        <v>0</v>
      </c>
      <c r="J75" s="1">
        <f>C75-((ABS(SUM(PL!E75:H75)))*0.125)</f>
        <v>0</v>
      </c>
      <c r="K75" s="1">
        <f>D75-((ABS(SUM(PL!I75:L75)))*0.125)</f>
        <v>0</v>
      </c>
      <c r="L75" s="1">
        <f>J75 + K75</f>
        <v>0</v>
      </c>
      <c r="M75" s="1">
        <f>IF(J75 + M74 &lt; 0, J75 + M74, 0)</f>
        <v>0</v>
      </c>
      <c r="N75" s="1">
        <f>IF(K75 + N74 &lt; 0, K75 + N74, 0)</f>
        <v>0</v>
      </c>
      <c r="O75" s="1">
        <f>IF(L75 + O74 &lt; 0, L75 + O74, 0)</f>
        <v>0</v>
      </c>
      <c r="P75" s="1">
        <f>IF(O75 &lt; 0, 1 + P74, 0)</f>
        <v>0</v>
      </c>
      <c r="Q75" s="1">
        <f>IF(E75&lt;0,1,0)</f>
        <v>0</v>
      </c>
      <c r="R75" s="1">
        <f>IF(Q75=1,E75,0)</f>
        <v>0</v>
      </c>
      <c r="S75" s="1">
        <f>IF(E75&gt;0,1,0)</f>
        <v>0</v>
      </c>
      <c r="T75" s="1">
        <f>IF(S75=1,E75,0)</f>
        <v>0</v>
      </c>
      <c r="U75" s="1">
        <f>IF(R75&lt;-100000000/100,1,0)</f>
        <v>0</v>
      </c>
      <c r="V75" s="1">
        <f>IF(T75&gt;100000000/100,1,0)</f>
        <v>0</v>
      </c>
      <c r="W75" s="1">
        <f>IF(L75&lt;0,1,0)</f>
        <v>0</v>
      </c>
      <c r="X75" s="1">
        <f>IF(W75=1,L75,0)</f>
        <v>0</v>
      </c>
      <c r="Y75" s="1">
        <f>IF(L75&gt;0,1,0)</f>
        <v>0</v>
      </c>
      <c r="Z75" s="1">
        <f>IF(Y75=1,L75,0)</f>
        <v>0</v>
      </c>
      <c r="AA75" s="1">
        <f>IF(X75&lt;-100000000/100,1,0)</f>
        <v>0</v>
      </c>
      <c r="AB75" s="1">
        <f>IF(Z75&gt;100000000/100,1,0)</f>
        <v>0</v>
      </c>
    </row>
    <row r="76" spans="1:28" s="1" customFormat="1">
      <c r="A76" s="3">
        <v>45041</v>
      </c>
      <c r="B76" s="2" t="s">
        <v>13</v>
      </c>
      <c r="C76" s="1">
        <f>SUM(PL!E76:H76)</f>
        <v>0</v>
      </c>
      <c r="D76" s="1">
        <f>SUM(PL!I76:L76)</f>
        <v>0</v>
      </c>
      <c r="E76" s="1">
        <f>SUM(C76:D76)</f>
        <v>0</v>
      </c>
      <c r="F76" s="1">
        <f>IF(C76 + F75 &lt; 0, C76 + F75, 0)</f>
        <v>0</v>
      </c>
      <c r="G76" s="1">
        <f>IF(D76 + G75 &lt; 0, D76 + G75, 0)</f>
        <v>0</v>
      </c>
      <c r="H76" s="1">
        <f>IF(E76 + H75 &lt; 0, E76 + H75, 0)</f>
        <v>0</v>
      </c>
      <c r="I76" s="1">
        <f>IF(H76 &lt; 0, 1 + I75, 0)</f>
        <v>0</v>
      </c>
      <c r="J76" s="1">
        <f>C76-((ABS(SUM(PL!E76:H76)))*0.125)</f>
        <v>0</v>
      </c>
      <c r="K76" s="1">
        <f>D76-((ABS(SUM(PL!I76:L76)))*0.125)</f>
        <v>0</v>
      </c>
      <c r="L76" s="1">
        <f>J76 + K76</f>
        <v>0</v>
      </c>
      <c r="M76" s="1">
        <f>IF(J76 + M75 &lt; 0, J76 + M75, 0)</f>
        <v>0</v>
      </c>
      <c r="N76" s="1">
        <f>IF(K76 + N75 &lt; 0, K76 + N75, 0)</f>
        <v>0</v>
      </c>
      <c r="O76" s="1">
        <f>IF(L76 + O75 &lt; 0, L76 + O75, 0)</f>
        <v>0</v>
      </c>
      <c r="P76" s="1">
        <f>IF(O76 &lt; 0, 1 + P75, 0)</f>
        <v>0</v>
      </c>
      <c r="Q76" s="1">
        <f>IF(E76&lt;0,1,0)</f>
        <v>0</v>
      </c>
      <c r="R76" s="1">
        <f>IF(Q76=1,E76,0)</f>
        <v>0</v>
      </c>
      <c r="S76" s="1">
        <f>IF(E76&gt;0,1,0)</f>
        <v>0</v>
      </c>
      <c r="T76" s="1">
        <f>IF(S76=1,E76,0)</f>
        <v>0</v>
      </c>
      <c r="U76" s="1">
        <f>IF(R76&lt;-100000000/100,1,0)</f>
        <v>0</v>
      </c>
      <c r="V76" s="1">
        <f>IF(T76&gt;100000000/100,1,0)</f>
        <v>0</v>
      </c>
      <c r="W76" s="1">
        <f>IF(L76&lt;0,1,0)</f>
        <v>0</v>
      </c>
      <c r="X76" s="1">
        <f>IF(W76=1,L76,0)</f>
        <v>0</v>
      </c>
      <c r="Y76" s="1">
        <f>IF(L76&gt;0,1,0)</f>
        <v>0</v>
      </c>
      <c r="Z76" s="1">
        <f>IF(Y76=1,L76,0)</f>
        <v>0</v>
      </c>
      <c r="AA76" s="1">
        <f>IF(X76&lt;-100000000/100,1,0)</f>
        <v>0</v>
      </c>
      <c r="AB76" s="1">
        <f>IF(Z76&gt;100000000/100,1,0)</f>
        <v>0</v>
      </c>
    </row>
    <row r="77" spans="1:28" s="1" customFormat="1">
      <c r="A77" s="3">
        <v>45042</v>
      </c>
      <c r="B77" s="2" t="s">
        <v>14</v>
      </c>
      <c r="C77" s="1">
        <f>SUM(PL!E77:H77)</f>
        <v>0</v>
      </c>
      <c r="D77" s="1">
        <f>SUM(PL!I77:L77)</f>
        <v>0</v>
      </c>
      <c r="E77" s="1">
        <f>SUM(C77:D77)</f>
        <v>0</v>
      </c>
      <c r="F77" s="1">
        <f>IF(C77 + F76 &lt; 0, C77 + F76, 0)</f>
        <v>0</v>
      </c>
      <c r="G77" s="1">
        <f>IF(D77 + G76 &lt; 0, D77 + G76, 0)</f>
        <v>0</v>
      </c>
      <c r="H77" s="1">
        <f>IF(E77 + H76 &lt; 0, E77 + H76, 0)</f>
        <v>0</v>
      </c>
      <c r="I77" s="1">
        <f>IF(H77 &lt; 0, 1 + I76, 0)</f>
        <v>0</v>
      </c>
      <c r="J77" s="1">
        <f>C77-((ABS(SUM(PL!E77:H77)))*0.125)</f>
        <v>0</v>
      </c>
      <c r="K77" s="1">
        <f>D77-((ABS(SUM(PL!I77:L77)))*0.125)</f>
        <v>0</v>
      </c>
      <c r="L77" s="1">
        <f>J77 + K77</f>
        <v>0</v>
      </c>
      <c r="M77" s="1">
        <f>IF(J77 + M76 &lt; 0, J77 + M76, 0)</f>
        <v>0</v>
      </c>
      <c r="N77" s="1">
        <f>IF(K77 + N76 &lt; 0, K77 + N76, 0)</f>
        <v>0</v>
      </c>
      <c r="O77" s="1">
        <f>IF(L77 + O76 &lt; 0, L77 + O76, 0)</f>
        <v>0</v>
      </c>
      <c r="P77" s="1">
        <f>IF(O77 &lt; 0, 1 + P76, 0)</f>
        <v>0</v>
      </c>
      <c r="Q77" s="1">
        <f>IF(E77&lt;0,1,0)</f>
        <v>0</v>
      </c>
      <c r="R77" s="1">
        <f>IF(Q77=1,E77,0)</f>
        <v>0</v>
      </c>
      <c r="S77" s="1">
        <f>IF(E77&gt;0,1,0)</f>
        <v>0</v>
      </c>
      <c r="T77" s="1">
        <f>IF(S77=1,E77,0)</f>
        <v>0</v>
      </c>
      <c r="U77" s="1">
        <f>IF(R77&lt;-100000000/100,1,0)</f>
        <v>0</v>
      </c>
      <c r="V77" s="1">
        <f>IF(T77&gt;100000000/100,1,0)</f>
        <v>0</v>
      </c>
      <c r="W77" s="1">
        <f>IF(L77&lt;0,1,0)</f>
        <v>0</v>
      </c>
      <c r="X77" s="1">
        <f>IF(W77=1,L77,0)</f>
        <v>0</v>
      </c>
      <c r="Y77" s="1">
        <f>IF(L77&gt;0,1,0)</f>
        <v>0</v>
      </c>
      <c r="Z77" s="1">
        <f>IF(Y77=1,L77,0)</f>
        <v>0</v>
      </c>
      <c r="AA77" s="1">
        <f>IF(X77&lt;-100000000/100,1,0)</f>
        <v>0</v>
      </c>
      <c r="AB77" s="1">
        <f>IF(Z77&gt;100000000/100,1,0)</f>
        <v>0</v>
      </c>
    </row>
    <row r="78" spans="1:28" s="1" customFormat="1">
      <c r="A78" s="3">
        <v>45043</v>
      </c>
      <c r="B78" s="2" t="s">
        <v>16</v>
      </c>
      <c r="C78" s="1">
        <f>SUM(PL!E78:H78)</f>
        <v>0</v>
      </c>
      <c r="D78" s="1">
        <f>SUM(PL!I78:L78)</f>
        <v>0</v>
      </c>
      <c r="E78" s="1">
        <f>SUM(C78:D78)</f>
        <v>0</v>
      </c>
      <c r="F78" s="1">
        <f>IF(C78 + F77 &lt; 0, C78 + F77, 0)</f>
        <v>0</v>
      </c>
      <c r="G78" s="1">
        <f>IF(D78 + G77 &lt; 0, D78 + G77, 0)</f>
        <v>0</v>
      </c>
      <c r="H78" s="1">
        <f>IF(E78 + H77 &lt; 0, E78 + H77, 0)</f>
        <v>0</v>
      </c>
      <c r="I78" s="1">
        <f>IF(H78 &lt; 0, 1 + I77, 0)</f>
        <v>0</v>
      </c>
      <c r="J78" s="1">
        <f>C78-((ABS(SUM(PL!E78:H78)))*0.125)</f>
        <v>0</v>
      </c>
      <c r="K78" s="1">
        <f>D78-((ABS(SUM(PL!I78:L78)))*0.125)</f>
        <v>0</v>
      </c>
      <c r="L78" s="1">
        <f>J78 + K78</f>
        <v>0</v>
      </c>
      <c r="M78" s="1">
        <f>IF(J78 + M77 &lt; 0, J78 + M77, 0)</f>
        <v>0</v>
      </c>
      <c r="N78" s="1">
        <f>IF(K78 + N77 &lt; 0, K78 + N77, 0)</f>
        <v>0</v>
      </c>
      <c r="O78" s="1">
        <f>IF(L78 + O77 &lt; 0, L78 + O77, 0)</f>
        <v>0</v>
      </c>
      <c r="P78" s="1">
        <f>IF(O78 &lt; 0, 1 + P77, 0)</f>
        <v>0</v>
      </c>
      <c r="Q78" s="1">
        <f>IF(E78&lt;0,1,0)</f>
        <v>0</v>
      </c>
      <c r="R78" s="1">
        <f>IF(Q78=1,E78,0)</f>
        <v>0</v>
      </c>
      <c r="S78" s="1">
        <f>IF(E78&gt;0,1,0)</f>
        <v>0</v>
      </c>
      <c r="T78" s="1">
        <f>IF(S78=1,E78,0)</f>
        <v>0</v>
      </c>
      <c r="U78" s="1">
        <f>IF(R78&lt;-100000000/100,1,0)</f>
        <v>0</v>
      </c>
      <c r="V78" s="1">
        <f>IF(T78&gt;100000000/100,1,0)</f>
        <v>0</v>
      </c>
      <c r="W78" s="1">
        <f>IF(L78&lt;0,1,0)</f>
        <v>0</v>
      </c>
      <c r="X78" s="1">
        <f>IF(W78=1,L78,0)</f>
        <v>0</v>
      </c>
      <c r="Y78" s="1">
        <f>IF(L78&gt;0,1,0)</f>
        <v>0</v>
      </c>
      <c r="Z78" s="1">
        <f>IF(Y78=1,L78,0)</f>
        <v>0</v>
      </c>
      <c r="AA78" s="1">
        <f>IF(X78&lt;-100000000/100,1,0)</f>
        <v>0</v>
      </c>
      <c r="AB78" s="1">
        <f>IF(Z78&gt;100000000/100,1,0)</f>
        <v>0</v>
      </c>
    </row>
    <row r="79" spans="1:28" s="1" customFormat="1">
      <c r="A79" s="3">
        <v>45044</v>
      </c>
      <c r="B79" s="2" t="s">
        <v>15</v>
      </c>
      <c r="C79" s="1">
        <f>SUM(PL!E79:H79)</f>
        <v>0</v>
      </c>
      <c r="D79" s="1">
        <f>SUM(PL!I79:L79)</f>
        <v>0</v>
      </c>
      <c r="E79" s="1">
        <f>SUM(C79:D79)</f>
        <v>0</v>
      </c>
      <c r="F79" s="1">
        <f>IF(C79 + F78 &lt; 0, C79 + F78, 0)</f>
        <v>0</v>
      </c>
      <c r="G79" s="1">
        <f>IF(D79 + G78 &lt; 0, D79 + G78, 0)</f>
        <v>0</v>
      </c>
      <c r="H79" s="1">
        <f>IF(E79 + H78 &lt; 0, E79 + H78, 0)</f>
        <v>0</v>
      </c>
      <c r="I79" s="1">
        <f>IF(H79 &lt; 0, 1 + I78, 0)</f>
        <v>0</v>
      </c>
      <c r="J79" s="1">
        <f>C79-((ABS(SUM(PL!E79:H79)))*0.125)</f>
        <v>0</v>
      </c>
      <c r="K79" s="1">
        <f>D79-((ABS(SUM(PL!I79:L79)))*0.125)</f>
        <v>0</v>
      </c>
      <c r="L79" s="1">
        <f>J79 + K79</f>
        <v>0</v>
      </c>
      <c r="M79" s="1">
        <f>IF(J79 + M78 &lt; 0, J79 + M78, 0)</f>
        <v>0</v>
      </c>
      <c r="N79" s="1">
        <f>IF(K79 + N78 &lt; 0, K79 + N78, 0)</f>
        <v>0</v>
      </c>
      <c r="O79" s="1">
        <f>IF(L79 + O78 &lt; 0, L79 + O78, 0)</f>
        <v>0</v>
      </c>
      <c r="P79" s="1">
        <f>IF(O79 &lt; 0, 1 + P78, 0)</f>
        <v>0</v>
      </c>
      <c r="Q79" s="1">
        <f>IF(E79&lt;0,1,0)</f>
        <v>0</v>
      </c>
      <c r="R79" s="1">
        <f>IF(Q79=1,E79,0)</f>
        <v>0</v>
      </c>
      <c r="S79" s="1">
        <f>IF(E79&gt;0,1,0)</f>
        <v>0</v>
      </c>
      <c r="T79" s="1">
        <f>IF(S79=1,E79,0)</f>
        <v>0</v>
      </c>
      <c r="U79" s="1">
        <f>IF(R79&lt;-100000000/100,1,0)</f>
        <v>0</v>
      </c>
      <c r="V79" s="1">
        <f>IF(T79&gt;100000000/100,1,0)</f>
        <v>0</v>
      </c>
      <c r="W79" s="1">
        <f>IF(L79&lt;0,1,0)</f>
        <v>0</v>
      </c>
      <c r="X79" s="1">
        <f>IF(W79=1,L79,0)</f>
        <v>0</v>
      </c>
      <c r="Y79" s="1">
        <f>IF(L79&gt;0,1,0)</f>
        <v>0</v>
      </c>
      <c r="Z79" s="1">
        <f>IF(Y79=1,L79,0)</f>
        <v>0</v>
      </c>
      <c r="AA79" s="1">
        <f>IF(X79&lt;-100000000/100,1,0)</f>
        <v>0</v>
      </c>
      <c r="AB79" s="1">
        <f>IF(Z79&gt;100000000/100,1,0)</f>
        <v>0</v>
      </c>
    </row>
    <row r="80" spans="1:28" s="1" customFormat="1">
      <c r="A80" s="3">
        <v>45047</v>
      </c>
      <c r="B80" s="2" t="s">
        <v>12</v>
      </c>
      <c r="C80" s="1">
        <f>SUM(PL!E80:H80)</f>
        <v>0</v>
      </c>
      <c r="D80" s="1">
        <f>SUM(PL!I80:L80)</f>
        <v>0</v>
      </c>
      <c r="E80" s="1">
        <f>SUM(C80:D80)</f>
        <v>0</v>
      </c>
      <c r="F80" s="1">
        <f>IF(C80 + F79 &lt; 0, C80 + F79, 0)</f>
        <v>0</v>
      </c>
      <c r="G80" s="1">
        <f>IF(D80 + G79 &lt; 0, D80 + G79, 0)</f>
        <v>0</v>
      </c>
      <c r="H80" s="1">
        <f>IF(E80 + H79 &lt; 0, E80 + H79, 0)</f>
        <v>0</v>
      </c>
      <c r="I80" s="1">
        <f>IF(H80 &lt; 0, 1 + I79, 0)</f>
        <v>0</v>
      </c>
      <c r="J80" s="1">
        <f>C80-((ABS(SUM(PL!E80:H80)))*0.125)</f>
        <v>0</v>
      </c>
      <c r="K80" s="1">
        <f>D80-((ABS(SUM(PL!I80:L80)))*0.125)</f>
        <v>0</v>
      </c>
      <c r="L80" s="1">
        <f>J80 + K80</f>
        <v>0</v>
      </c>
      <c r="M80" s="1">
        <f>IF(J80 + M79 &lt; 0, J80 + M79, 0)</f>
        <v>0</v>
      </c>
      <c r="N80" s="1">
        <f>IF(K80 + N79 &lt; 0, K80 + N79, 0)</f>
        <v>0</v>
      </c>
      <c r="O80" s="1">
        <f>IF(L80 + O79 &lt; 0, L80 + O79, 0)</f>
        <v>0</v>
      </c>
      <c r="P80" s="1">
        <f>IF(O80 &lt; 0, 1 + P79, 0)</f>
        <v>0</v>
      </c>
      <c r="Q80" s="1">
        <f>IF(E80&lt;0,1,0)</f>
        <v>0</v>
      </c>
      <c r="R80" s="1">
        <f>IF(Q80=1,E80,0)</f>
        <v>0</v>
      </c>
      <c r="S80" s="1">
        <f>IF(E80&gt;0,1,0)</f>
        <v>0</v>
      </c>
      <c r="T80" s="1">
        <f>IF(S80=1,E80,0)</f>
        <v>0</v>
      </c>
      <c r="U80" s="1">
        <f>IF(R80&lt;-100000000/100,1,0)</f>
        <v>0</v>
      </c>
      <c r="V80" s="1">
        <f>IF(T80&gt;100000000/100,1,0)</f>
        <v>0</v>
      </c>
      <c r="W80" s="1">
        <f>IF(L80&lt;0,1,0)</f>
        <v>0</v>
      </c>
      <c r="X80" s="1">
        <f>IF(W80=1,L80,0)</f>
        <v>0</v>
      </c>
      <c r="Y80" s="1">
        <f>IF(L80&gt;0,1,0)</f>
        <v>0</v>
      </c>
      <c r="Z80" s="1">
        <f>IF(Y80=1,L80,0)</f>
        <v>0</v>
      </c>
      <c r="AA80" s="1">
        <f>IF(X80&lt;-100000000/100,1,0)</f>
        <v>0</v>
      </c>
      <c r="AB80" s="1">
        <f>IF(Z80&gt;100000000/100,1,0)</f>
        <v>0</v>
      </c>
    </row>
    <row r="81" spans="1:28" s="1" customFormat="1">
      <c r="A81" s="3">
        <v>45048</v>
      </c>
      <c r="B81" s="2" t="s">
        <v>13</v>
      </c>
      <c r="C81" s="1">
        <f>SUM(PL!E81:H81)</f>
        <v>0</v>
      </c>
      <c r="D81" s="1">
        <f>SUM(PL!I81:L81)</f>
        <v>0</v>
      </c>
      <c r="E81" s="1">
        <f>SUM(C81:D81)</f>
        <v>0</v>
      </c>
      <c r="F81" s="1">
        <f>IF(C81 + F80 &lt; 0, C81 + F80, 0)</f>
        <v>0</v>
      </c>
      <c r="G81" s="1">
        <f>IF(D81 + G80 &lt; 0, D81 + G80, 0)</f>
        <v>0</v>
      </c>
      <c r="H81" s="1">
        <f>IF(E81 + H80 &lt; 0, E81 + H80, 0)</f>
        <v>0</v>
      </c>
      <c r="I81" s="1">
        <f>IF(H81 &lt; 0, 1 + I80, 0)</f>
        <v>0</v>
      </c>
      <c r="J81" s="1">
        <f>C81-((ABS(SUM(PL!E81:H81)))*0.125)</f>
        <v>0</v>
      </c>
      <c r="K81" s="1">
        <f>D81-((ABS(SUM(PL!I81:L81)))*0.125)</f>
        <v>0</v>
      </c>
      <c r="L81" s="1">
        <f>J81 + K81</f>
        <v>0</v>
      </c>
      <c r="M81" s="1">
        <f>IF(J81 + M80 &lt; 0, J81 + M80, 0)</f>
        <v>0</v>
      </c>
      <c r="N81" s="1">
        <f>IF(K81 + N80 &lt; 0, K81 + N80, 0)</f>
        <v>0</v>
      </c>
      <c r="O81" s="1">
        <f>IF(L81 + O80 &lt; 0, L81 + O80, 0)</f>
        <v>0</v>
      </c>
      <c r="P81" s="1">
        <f>IF(O81 &lt; 0, 1 + P80, 0)</f>
        <v>0</v>
      </c>
      <c r="Q81" s="1">
        <f>IF(E81&lt;0,1,0)</f>
        <v>0</v>
      </c>
      <c r="R81" s="1">
        <f>IF(Q81=1,E81,0)</f>
        <v>0</v>
      </c>
      <c r="S81" s="1">
        <f>IF(E81&gt;0,1,0)</f>
        <v>0</v>
      </c>
      <c r="T81" s="1">
        <f>IF(S81=1,E81,0)</f>
        <v>0</v>
      </c>
      <c r="U81" s="1">
        <f>IF(R81&lt;-100000000/100,1,0)</f>
        <v>0</v>
      </c>
      <c r="V81" s="1">
        <f>IF(T81&gt;100000000/100,1,0)</f>
        <v>0</v>
      </c>
      <c r="W81" s="1">
        <f>IF(L81&lt;0,1,0)</f>
        <v>0</v>
      </c>
      <c r="X81" s="1">
        <f>IF(W81=1,L81,0)</f>
        <v>0</v>
      </c>
      <c r="Y81" s="1">
        <f>IF(L81&gt;0,1,0)</f>
        <v>0</v>
      </c>
      <c r="Z81" s="1">
        <f>IF(Y81=1,L81,0)</f>
        <v>0</v>
      </c>
      <c r="AA81" s="1">
        <f>IF(X81&lt;-100000000/100,1,0)</f>
        <v>0</v>
      </c>
      <c r="AB81" s="1">
        <f>IF(Z81&gt;100000000/100,1,0)</f>
        <v>0</v>
      </c>
    </row>
    <row r="82" spans="1:28" s="1" customFormat="1">
      <c r="A82" s="3">
        <v>45049</v>
      </c>
      <c r="B82" s="2" t="s">
        <v>14</v>
      </c>
      <c r="C82" s="1">
        <f>SUM(PL!E82:H82)</f>
        <v>0</v>
      </c>
      <c r="D82" s="1">
        <f>SUM(PL!I82:L82)</f>
        <v>0</v>
      </c>
      <c r="E82" s="1">
        <f>SUM(C82:D82)</f>
        <v>0</v>
      </c>
      <c r="F82" s="1">
        <f>IF(C82 + F81 &lt; 0, C82 + F81, 0)</f>
        <v>0</v>
      </c>
      <c r="G82" s="1">
        <f>IF(D82 + G81 &lt; 0, D82 + G81, 0)</f>
        <v>0</v>
      </c>
      <c r="H82" s="1">
        <f>IF(E82 + H81 &lt; 0, E82 + H81, 0)</f>
        <v>0</v>
      </c>
      <c r="I82" s="1">
        <f>IF(H82 &lt; 0, 1 + I81, 0)</f>
        <v>0</v>
      </c>
      <c r="J82" s="1">
        <f>C82-((ABS(SUM(PL!E82:H82)))*0.125)</f>
        <v>0</v>
      </c>
      <c r="K82" s="1">
        <f>D82-((ABS(SUM(PL!I82:L82)))*0.125)</f>
        <v>0</v>
      </c>
      <c r="L82" s="1">
        <f>J82 + K82</f>
        <v>0</v>
      </c>
      <c r="M82" s="1">
        <f>IF(J82 + M81 &lt; 0, J82 + M81, 0)</f>
        <v>0</v>
      </c>
      <c r="N82" s="1">
        <f>IF(K82 + N81 &lt; 0, K82 + N81, 0)</f>
        <v>0</v>
      </c>
      <c r="O82" s="1">
        <f>IF(L82 + O81 &lt; 0, L82 + O81, 0)</f>
        <v>0</v>
      </c>
      <c r="P82" s="1">
        <f>IF(O82 &lt; 0, 1 + P81, 0)</f>
        <v>0</v>
      </c>
      <c r="Q82" s="1">
        <f>IF(E82&lt;0,1,0)</f>
        <v>0</v>
      </c>
      <c r="R82" s="1">
        <f>IF(Q82=1,E82,0)</f>
        <v>0</v>
      </c>
      <c r="S82" s="1">
        <f>IF(E82&gt;0,1,0)</f>
        <v>0</v>
      </c>
      <c r="T82" s="1">
        <f>IF(S82=1,E82,0)</f>
        <v>0</v>
      </c>
      <c r="U82" s="1">
        <f>IF(R82&lt;-100000000/100,1,0)</f>
        <v>0</v>
      </c>
      <c r="V82" s="1">
        <f>IF(T82&gt;100000000/100,1,0)</f>
        <v>0</v>
      </c>
      <c r="W82" s="1">
        <f>IF(L82&lt;0,1,0)</f>
        <v>0</v>
      </c>
      <c r="X82" s="1">
        <f>IF(W82=1,L82,0)</f>
        <v>0</v>
      </c>
      <c r="Y82" s="1">
        <f>IF(L82&gt;0,1,0)</f>
        <v>0</v>
      </c>
      <c r="Z82" s="1">
        <f>IF(Y82=1,L82,0)</f>
        <v>0</v>
      </c>
      <c r="AA82" s="1">
        <f>IF(X82&lt;-100000000/100,1,0)</f>
        <v>0</v>
      </c>
      <c r="AB82" s="1">
        <f>IF(Z82&gt;100000000/100,1,0)</f>
        <v>0</v>
      </c>
    </row>
    <row r="83" spans="1:28" s="1" customFormat="1">
      <c r="A83" s="3">
        <v>45050</v>
      </c>
      <c r="B83" s="2" t="s">
        <v>16</v>
      </c>
      <c r="C83" s="1">
        <f>SUM(PL!E83:H83)</f>
        <v>0</v>
      </c>
      <c r="D83" s="1">
        <f>SUM(PL!I83:L83)</f>
        <v>0</v>
      </c>
      <c r="E83" s="1">
        <f>SUM(C83:D83)</f>
        <v>0</v>
      </c>
      <c r="F83" s="1">
        <f>IF(C83 + F82 &lt; 0, C83 + F82, 0)</f>
        <v>0</v>
      </c>
      <c r="G83" s="1">
        <f>IF(D83 + G82 &lt; 0, D83 + G82, 0)</f>
        <v>0</v>
      </c>
      <c r="H83" s="1">
        <f>IF(E83 + H82 &lt; 0, E83 + H82, 0)</f>
        <v>0</v>
      </c>
      <c r="I83" s="1">
        <f>IF(H83 &lt; 0, 1 + I82, 0)</f>
        <v>0</v>
      </c>
      <c r="J83" s="1">
        <f>C83-((ABS(SUM(PL!E83:H83)))*0.125)</f>
        <v>0</v>
      </c>
      <c r="K83" s="1">
        <f>D83-((ABS(SUM(PL!I83:L83)))*0.125)</f>
        <v>0</v>
      </c>
      <c r="L83" s="1">
        <f>J83 + K83</f>
        <v>0</v>
      </c>
      <c r="M83" s="1">
        <f>IF(J83 + M82 &lt; 0, J83 + M82, 0)</f>
        <v>0</v>
      </c>
      <c r="N83" s="1">
        <f>IF(K83 + N82 &lt; 0, K83 + N82, 0)</f>
        <v>0</v>
      </c>
      <c r="O83" s="1">
        <f>IF(L83 + O82 &lt; 0, L83 + O82, 0)</f>
        <v>0</v>
      </c>
      <c r="P83" s="1">
        <f>IF(O83 &lt; 0, 1 + P82, 0)</f>
        <v>0</v>
      </c>
      <c r="Q83" s="1">
        <f>IF(E83&lt;0,1,0)</f>
        <v>0</v>
      </c>
      <c r="R83" s="1">
        <f>IF(Q83=1,E83,0)</f>
        <v>0</v>
      </c>
      <c r="S83" s="1">
        <f>IF(E83&gt;0,1,0)</f>
        <v>0</v>
      </c>
      <c r="T83" s="1">
        <f>IF(S83=1,E83,0)</f>
        <v>0</v>
      </c>
      <c r="U83" s="1">
        <f>IF(R83&lt;-100000000/100,1,0)</f>
        <v>0</v>
      </c>
      <c r="V83" s="1">
        <f>IF(T83&gt;100000000/100,1,0)</f>
        <v>0</v>
      </c>
      <c r="W83" s="1">
        <f>IF(L83&lt;0,1,0)</f>
        <v>0</v>
      </c>
      <c r="X83" s="1">
        <f>IF(W83=1,L83,0)</f>
        <v>0</v>
      </c>
      <c r="Y83" s="1">
        <f>IF(L83&gt;0,1,0)</f>
        <v>0</v>
      </c>
      <c r="Z83" s="1">
        <f>IF(Y83=1,L83,0)</f>
        <v>0</v>
      </c>
      <c r="AA83" s="1">
        <f>IF(X83&lt;-100000000/100,1,0)</f>
        <v>0</v>
      </c>
      <c r="AB83" s="1">
        <f>IF(Z83&gt;100000000/100,1,0)</f>
        <v>0</v>
      </c>
    </row>
    <row r="84" spans="1:28" s="1" customFormat="1">
      <c r="A84" s="3">
        <v>45051</v>
      </c>
      <c r="B84" s="2" t="s">
        <v>15</v>
      </c>
      <c r="C84" s="1">
        <f>SUM(PL!E84:H84)</f>
        <v>0</v>
      </c>
      <c r="D84" s="1">
        <f>SUM(PL!I84:L84)</f>
        <v>0</v>
      </c>
      <c r="E84" s="1">
        <f>SUM(C84:D84)</f>
        <v>0</v>
      </c>
      <c r="F84" s="1">
        <f>IF(C84 + F83 &lt; 0, C84 + F83, 0)</f>
        <v>0</v>
      </c>
      <c r="G84" s="1">
        <f>IF(D84 + G83 &lt; 0, D84 + G83, 0)</f>
        <v>0</v>
      </c>
      <c r="H84" s="1">
        <f>IF(E84 + H83 &lt; 0, E84 + H83, 0)</f>
        <v>0</v>
      </c>
      <c r="I84" s="1">
        <f>IF(H84 &lt; 0, 1 + I83, 0)</f>
        <v>0</v>
      </c>
      <c r="J84" s="1">
        <f>C84-((ABS(SUM(PL!E84:H84)))*0.125)</f>
        <v>0</v>
      </c>
      <c r="K84" s="1">
        <f>D84-((ABS(SUM(PL!I84:L84)))*0.125)</f>
        <v>0</v>
      </c>
      <c r="L84" s="1">
        <f>J84 + K84</f>
        <v>0</v>
      </c>
      <c r="M84" s="1">
        <f>IF(J84 + M83 &lt; 0, J84 + M83, 0)</f>
        <v>0</v>
      </c>
      <c r="N84" s="1">
        <f>IF(K84 + N83 &lt; 0, K84 + N83, 0)</f>
        <v>0</v>
      </c>
      <c r="O84" s="1">
        <f>IF(L84 + O83 &lt; 0, L84 + O83, 0)</f>
        <v>0</v>
      </c>
      <c r="P84" s="1">
        <f>IF(O84 &lt; 0, 1 + P83, 0)</f>
        <v>0</v>
      </c>
      <c r="Q84" s="1">
        <f>IF(E84&lt;0,1,0)</f>
        <v>0</v>
      </c>
      <c r="R84" s="1">
        <f>IF(Q84=1,E84,0)</f>
        <v>0</v>
      </c>
      <c r="S84" s="1">
        <f>IF(E84&gt;0,1,0)</f>
        <v>0</v>
      </c>
      <c r="T84" s="1">
        <f>IF(S84=1,E84,0)</f>
        <v>0</v>
      </c>
      <c r="U84" s="1">
        <f>IF(R84&lt;-100000000/100,1,0)</f>
        <v>0</v>
      </c>
      <c r="V84" s="1">
        <f>IF(T84&gt;100000000/100,1,0)</f>
        <v>0</v>
      </c>
      <c r="W84" s="1">
        <f>IF(L84&lt;0,1,0)</f>
        <v>0</v>
      </c>
      <c r="X84" s="1">
        <f>IF(W84=1,L84,0)</f>
        <v>0</v>
      </c>
      <c r="Y84" s="1">
        <f>IF(L84&gt;0,1,0)</f>
        <v>0</v>
      </c>
      <c r="Z84" s="1">
        <f>IF(Y84=1,L84,0)</f>
        <v>0</v>
      </c>
      <c r="AA84" s="1">
        <f>IF(X84&lt;-100000000/100,1,0)</f>
        <v>0</v>
      </c>
      <c r="AB84" s="1">
        <f>IF(Z84&gt;100000000/100,1,0)</f>
        <v>0</v>
      </c>
    </row>
    <row r="85" spans="1:28" s="1" customFormat="1">
      <c r="A85" s="3">
        <v>45054</v>
      </c>
      <c r="B85" s="2" t="s">
        <v>12</v>
      </c>
      <c r="C85" s="1">
        <f>SUM(PL!E85:H85)</f>
        <v>0</v>
      </c>
      <c r="D85" s="1">
        <f>SUM(PL!I85:L85)</f>
        <v>0</v>
      </c>
      <c r="E85" s="1">
        <f>SUM(C85:D85)</f>
        <v>0</v>
      </c>
      <c r="F85" s="1">
        <f>IF(C85 + F84 &lt; 0, C85 + F84, 0)</f>
        <v>0</v>
      </c>
      <c r="G85" s="1">
        <f>IF(D85 + G84 &lt; 0, D85 + G84, 0)</f>
        <v>0</v>
      </c>
      <c r="H85" s="1">
        <f>IF(E85 + H84 &lt; 0, E85 + H84, 0)</f>
        <v>0</v>
      </c>
      <c r="I85" s="1">
        <f>IF(H85 &lt; 0, 1 + I84, 0)</f>
        <v>0</v>
      </c>
      <c r="J85" s="1">
        <f>C85-((ABS(SUM(PL!E85:H85)))*0.125)</f>
        <v>0</v>
      </c>
      <c r="K85" s="1">
        <f>D85-((ABS(SUM(PL!I85:L85)))*0.125)</f>
        <v>0</v>
      </c>
      <c r="L85" s="1">
        <f>J85 + K85</f>
        <v>0</v>
      </c>
      <c r="M85" s="1">
        <f>IF(J85 + M84 &lt; 0, J85 + M84, 0)</f>
        <v>0</v>
      </c>
      <c r="N85" s="1">
        <f>IF(K85 + N84 &lt; 0, K85 + N84, 0)</f>
        <v>0</v>
      </c>
      <c r="O85" s="1">
        <f>IF(L85 + O84 &lt; 0, L85 + O84, 0)</f>
        <v>0</v>
      </c>
      <c r="P85" s="1">
        <f>IF(O85 &lt; 0, 1 + P84, 0)</f>
        <v>0</v>
      </c>
      <c r="Q85" s="1">
        <f>IF(E85&lt;0,1,0)</f>
        <v>0</v>
      </c>
      <c r="R85" s="1">
        <f>IF(Q85=1,E85,0)</f>
        <v>0</v>
      </c>
      <c r="S85" s="1">
        <f>IF(E85&gt;0,1,0)</f>
        <v>0</v>
      </c>
      <c r="T85" s="1">
        <f>IF(S85=1,E85,0)</f>
        <v>0</v>
      </c>
      <c r="U85" s="1">
        <f>IF(R85&lt;-100000000/100,1,0)</f>
        <v>0</v>
      </c>
      <c r="V85" s="1">
        <f>IF(T85&gt;100000000/100,1,0)</f>
        <v>0</v>
      </c>
      <c r="W85" s="1">
        <f>IF(L85&lt;0,1,0)</f>
        <v>0</v>
      </c>
      <c r="X85" s="1">
        <f>IF(W85=1,L85,0)</f>
        <v>0</v>
      </c>
      <c r="Y85" s="1">
        <f>IF(L85&gt;0,1,0)</f>
        <v>0</v>
      </c>
      <c r="Z85" s="1">
        <f>IF(Y85=1,L85,0)</f>
        <v>0</v>
      </c>
      <c r="AA85" s="1">
        <f>IF(X85&lt;-100000000/100,1,0)</f>
        <v>0</v>
      </c>
      <c r="AB85" s="1">
        <f>IF(Z85&gt;100000000/100,1,0)</f>
        <v>0</v>
      </c>
    </row>
    <row r="86" spans="1:28" s="1" customFormat="1">
      <c r="A86" s="3">
        <v>45055</v>
      </c>
      <c r="B86" s="2" t="s">
        <v>13</v>
      </c>
      <c r="C86" s="1">
        <f>SUM(PL!E86:H86)</f>
        <v>0</v>
      </c>
      <c r="D86" s="1">
        <f>SUM(PL!I86:L86)</f>
        <v>0</v>
      </c>
      <c r="E86" s="1">
        <f>SUM(C86:D86)</f>
        <v>0</v>
      </c>
      <c r="F86" s="1">
        <f>IF(C86 + F85 &lt; 0, C86 + F85, 0)</f>
        <v>0</v>
      </c>
      <c r="G86" s="1">
        <f>IF(D86 + G85 &lt; 0, D86 + G85, 0)</f>
        <v>0</v>
      </c>
      <c r="H86" s="1">
        <f>IF(E86 + H85 &lt; 0, E86 + H85, 0)</f>
        <v>0</v>
      </c>
      <c r="I86" s="1">
        <f>IF(H86 &lt; 0, 1 + I85, 0)</f>
        <v>0</v>
      </c>
      <c r="J86" s="1">
        <f>C86-((ABS(SUM(PL!E86:H86)))*0.125)</f>
        <v>0</v>
      </c>
      <c r="K86" s="1">
        <f>D86-((ABS(SUM(PL!I86:L86)))*0.125)</f>
        <v>0</v>
      </c>
      <c r="L86" s="1">
        <f>J86 + K86</f>
        <v>0</v>
      </c>
      <c r="M86" s="1">
        <f>IF(J86 + M85 &lt; 0, J86 + M85, 0)</f>
        <v>0</v>
      </c>
      <c r="N86" s="1">
        <f>IF(K86 + N85 &lt; 0, K86 + N85, 0)</f>
        <v>0</v>
      </c>
      <c r="O86" s="1">
        <f>IF(L86 + O85 &lt; 0, L86 + O85, 0)</f>
        <v>0</v>
      </c>
      <c r="P86" s="1">
        <f>IF(O86 &lt; 0, 1 + P85, 0)</f>
        <v>0</v>
      </c>
      <c r="Q86" s="1">
        <f>IF(E86&lt;0,1,0)</f>
        <v>0</v>
      </c>
      <c r="R86" s="1">
        <f>IF(Q86=1,E86,0)</f>
        <v>0</v>
      </c>
      <c r="S86" s="1">
        <f>IF(E86&gt;0,1,0)</f>
        <v>0</v>
      </c>
      <c r="T86" s="1">
        <f>IF(S86=1,E86,0)</f>
        <v>0</v>
      </c>
      <c r="U86" s="1">
        <f>IF(R86&lt;-100000000/100,1,0)</f>
        <v>0</v>
      </c>
      <c r="V86" s="1">
        <f>IF(T86&gt;100000000/100,1,0)</f>
        <v>0</v>
      </c>
      <c r="W86" s="1">
        <f>IF(L86&lt;0,1,0)</f>
        <v>0</v>
      </c>
      <c r="X86" s="1">
        <f>IF(W86=1,L86,0)</f>
        <v>0</v>
      </c>
      <c r="Y86" s="1">
        <f>IF(L86&gt;0,1,0)</f>
        <v>0</v>
      </c>
      <c r="Z86" s="1">
        <f>IF(Y86=1,L86,0)</f>
        <v>0</v>
      </c>
      <c r="AA86" s="1">
        <f>IF(X86&lt;-100000000/100,1,0)</f>
        <v>0</v>
      </c>
      <c r="AB86" s="1">
        <f>IF(Z86&gt;100000000/100,1,0)</f>
        <v>0</v>
      </c>
    </row>
    <row r="87" spans="1:28" s="1" customFormat="1">
      <c r="A87" s="3">
        <v>45056</v>
      </c>
      <c r="B87" s="2" t="s">
        <v>14</v>
      </c>
      <c r="C87" s="1">
        <f>SUM(PL!E87:H87)</f>
        <v>0</v>
      </c>
      <c r="D87" s="1">
        <f>SUM(PL!I87:L87)</f>
        <v>0</v>
      </c>
      <c r="E87" s="1">
        <f>SUM(C87:D87)</f>
        <v>0</v>
      </c>
      <c r="F87" s="1">
        <f>IF(C87 + F86 &lt; 0, C87 + F86, 0)</f>
        <v>0</v>
      </c>
      <c r="G87" s="1">
        <f>IF(D87 + G86 &lt; 0, D87 + G86, 0)</f>
        <v>0</v>
      </c>
      <c r="H87" s="1">
        <f>IF(E87 + H86 &lt; 0, E87 + H86, 0)</f>
        <v>0</v>
      </c>
      <c r="I87" s="1">
        <f>IF(H87 &lt; 0, 1 + I86, 0)</f>
        <v>0</v>
      </c>
      <c r="J87" s="1">
        <f>C87-((ABS(SUM(PL!E87:H87)))*0.125)</f>
        <v>0</v>
      </c>
      <c r="K87" s="1">
        <f>D87-((ABS(SUM(PL!I87:L87)))*0.125)</f>
        <v>0</v>
      </c>
      <c r="L87" s="1">
        <f>J87 + K87</f>
        <v>0</v>
      </c>
      <c r="M87" s="1">
        <f>IF(J87 + M86 &lt; 0, J87 + M86, 0)</f>
        <v>0</v>
      </c>
      <c r="N87" s="1">
        <f>IF(K87 + N86 &lt; 0, K87 + N86, 0)</f>
        <v>0</v>
      </c>
      <c r="O87" s="1">
        <f>IF(L87 + O86 &lt; 0, L87 + O86, 0)</f>
        <v>0</v>
      </c>
      <c r="P87" s="1">
        <f>IF(O87 &lt; 0, 1 + P86, 0)</f>
        <v>0</v>
      </c>
      <c r="Q87" s="1">
        <f>IF(E87&lt;0,1,0)</f>
        <v>0</v>
      </c>
      <c r="R87" s="1">
        <f>IF(Q87=1,E87,0)</f>
        <v>0</v>
      </c>
      <c r="S87" s="1">
        <f>IF(E87&gt;0,1,0)</f>
        <v>0</v>
      </c>
      <c r="T87" s="1">
        <f>IF(S87=1,E87,0)</f>
        <v>0</v>
      </c>
      <c r="U87" s="1">
        <f>IF(R87&lt;-100000000/100,1,0)</f>
        <v>0</v>
      </c>
      <c r="V87" s="1">
        <f>IF(T87&gt;100000000/100,1,0)</f>
        <v>0</v>
      </c>
      <c r="W87" s="1">
        <f>IF(L87&lt;0,1,0)</f>
        <v>0</v>
      </c>
      <c r="X87" s="1">
        <f>IF(W87=1,L87,0)</f>
        <v>0</v>
      </c>
      <c r="Y87" s="1">
        <f>IF(L87&gt;0,1,0)</f>
        <v>0</v>
      </c>
      <c r="Z87" s="1">
        <f>IF(Y87=1,L87,0)</f>
        <v>0</v>
      </c>
      <c r="AA87" s="1">
        <f>IF(X87&lt;-100000000/100,1,0)</f>
        <v>0</v>
      </c>
      <c r="AB87" s="1">
        <f>IF(Z87&gt;100000000/100,1,0)</f>
        <v>0</v>
      </c>
    </row>
    <row r="88" spans="1:28" s="1" customFormat="1">
      <c r="A88" s="3">
        <v>45057</v>
      </c>
      <c r="B88" s="2" t="s">
        <v>16</v>
      </c>
      <c r="C88" s="1">
        <f>SUM(PL!E88:H88)</f>
        <v>0</v>
      </c>
      <c r="D88" s="1">
        <f>SUM(PL!I88:L88)</f>
        <v>0</v>
      </c>
      <c r="E88" s="1">
        <f>SUM(C88:D88)</f>
        <v>0</v>
      </c>
      <c r="F88" s="1">
        <f>IF(C88 + F87 &lt; 0, C88 + F87, 0)</f>
        <v>0</v>
      </c>
      <c r="G88" s="1">
        <f>IF(D88 + G87 &lt; 0, D88 + G87, 0)</f>
        <v>0</v>
      </c>
      <c r="H88" s="1">
        <f>IF(E88 + H87 &lt; 0, E88 + H87, 0)</f>
        <v>0</v>
      </c>
      <c r="I88" s="1">
        <f>IF(H88 &lt; 0, 1 + I87, 0)</f>
        <v>0</v>
      </c>
      <c r="J88" s="1">
        <f>C88-((ABS(SUM(PL!E88:H88)))*0.125)</f>
        <v>0</v>
      </c>
      <c r="K88" s="1">
        <f>D88-((ABS(SUM(PL!I88:L88)))*0.125)</f>
        <v>0</v>
      </c>
      <c r="L88" s="1">
        <f>J88 + K88</f>
        <v>0</v>
      </c>
      <c r="M88" s="1">
        <f>IF(J88 + M87 &lt; 0, J88 + M87, 0)</f>
        <v>0</v>
      </c>
      <c r="N88" s="1">
        <f>IF(K88 + N87 &lt; 0, K88 + N87, 0)</f>
        <v>0</v>
      </c>
      <c r="O88" s="1">
        <f>IF(L88 + O87 &lt; 0, L88 + O87, 0)</f>
        <v>0</v>
      </c>
      <c r="P88" s="1">
        <f>IF(O88 &lt; 0, 1 + P87, 0)</f>
        <v>0</v>
      </c>
      <c r="Q88" s="1">
        <f>IF(E88&lt;0,1,0)</f>
        <v>0</v>
      </c>
      <c r="R88" s="1">
        <f>IF(Q88=1,E88,0)</f>
        <v>0</v>
      </c>
      <c r="S88" s="1">
        <f>IF(E88&gt;0,1,0)</f>
        <v>0</v>
      </c>
      <c r="T88" s="1">
        <f>IF(S88=1,E88,0)</f>
        <v>0</v>
      </c>
      <c r="U88" s="1">
        <f>IF(R88&lt;-100000000/100,1,0)</f>
        <v>0</v>
      </c>
      <c r="V88" s="1">
        <f>IF(T88&gt;100000000/100,1,0)</f>
        <v>0</v>
      </c>
      <c r="W88" s="1">
        <f>IF(L88&lt;0,1,0)</f>
        <v>0</v>
      </c>
      <c r="X88" s="1">
        <f>IF(W88=1,L88,0)</f>
        <v>0</v>
      </c>
      <c r="Y88" s="1">
        <f>IF(L88&gt;0,1,0)</f>
        <v>0</v>
      </c>
      <c r="Z88" s="1">
        <f>IF(Y88=1,L88,0)</f>
        <v>0</v>
      </c>
      <c r="AA88" s="1">
        <f>IF(X88&lt;-100000000/100,1,0)</f>
        <v>0</v>
      </c>
      <c r="AB88" s="1">
        <f>IF(Z88&gt;100000000/100,1,0)</f>
        <v>0</v>
      </c>
    </row>
    <row r="89" spans="1:28" s="1" customFormat="1">
      <c r="A89" s="3">
        <v>45058</v>
      </c>
      <c r="B89" s="2" t="s">
        <v>15</v>
      </c>
      <c r="C89" s="1">
        <f>SUM(PL!E89:H89)</f>
        <v>0</v>
      </c>
      <c r="D89" s="1">
        <f>SUM(PL!I89:L89)</f>
        <v>0</v>
      </c>
      <c r="E89" s="1">
        <f>SUM(C89:D89)</f>
        <v>0</v>
      </c>
      <c r="F89" s="1">
        <f>IF(C89 + F88 &lt; 0, C89 + F88, 0)</f>
        <v>0</v>
      </c>
      <c r="G89" s="1">
        <f>IF(D89 + G88 &lt; 0, D89 + G88, 0)</f>
        <v>0</v>
      </c>
      <c r="H89" s="1">
        <f>IF(E89 + H88 &lt; 0, E89 + H88, 0)</f>
        <v>0</v>
      </c>
      <c r="I89" s="1">
        <f>IF(H89 &lt; 0, 1 + I88, 0)</f>
        <v>0</v>
      </c>
      <c r="J89" s="1">
        <f>C89-((ABS(SUM(PL!E89:H89)))*0.125)</f>
        <v>0</v>
      </c>
      <c r="K89" s="1">
        <f>D89-((ABS(SUM(PL!I89:L89)))*0.125)</f>
        <v>0</v>
      </c>
      <c r="L89" s="1">
        <f>J89 + K89</f>
        <v>0</v>
      </c>
      <c r="M89" s="1">
        <f>IF(J89 + M88 &lt; 0, J89 + M88, 0)</f>
        <v>0</v>
      </c>
      <c r="N89" s="1">
        <f>IF(K89 + N88 &lt; 0, K89 + N88, 0)</f>
        <v>0</v>
      </c>
      <c r="O89" s="1">
        <f>IF(L89 + O88 &lt; 0, L89 + O88, 0)</f>
        <v>0</v>
      </c>
      <c r="P89" s="1">
        <f>IF(O89 &lt; 0, 1 + P88, 0)</f>
        <v>0</v>
      </c>
      <c r="Q89" s="1">
        <f>IF(E89&lt;0,1,0)</f>
        <v>0</v>
      </c>
      <c r="R89" s="1">
        <f>IF(Q89=1,E89,0)</f>
        <v>0</v>
      </c>
      <c r="S89" s="1">
        <f>IF(E89&gt;0,1,0)</f>
        <v>0</v>
      </c>
      <c r="T89" s="1">
        <f>IF(S89=1,E89,0)</f>
        <v>0</v>
      </c>
      <c r="U89" s="1">
        <f>IF(R89&lt;-100000000/100,1,0)</f>
        <v>0</v>
      </c>
      <c r="V89" s="1">
        <f>IF(T89&gt;100000000/100,1,0)</f>
        <v>0</v>
      </c>
      <c r="W89" s="1">
        <f>IF(L89&lt;0,1,0)</f>
        <v>0</v>
      </c>
      <c r="X89" s="1">
        <f>IF(W89=1,L89,0)</f>
        <v>0</v>
      </c>
      <c r="Y89" s="1">
        <f>IF(L89&gt;0,1,0)</f>
        <v>0</v>
      </c>
      <c r="Z89" s="1">
        <f>IF(Y89=1,L89,0)</f>
        <v>0</v>
      </c>
      <c r="AA89" s="1">
        <f>IF(X89&lt;-100000000/100,1,0)</f>
        <v>0</v>
      </c>
      <c r="AB89" s="1">
        <f>IF(Z89&gt;100000000/100,1,0)</f>
        <v>0</v>
      </c>
    </row>
    <row r="90" spans="1:28" s="1" customFormat="1">
      <c r="A90" s="3">
        <v>45061</v>
      </c>
      <c r="B90" s="2" t="s">
        <v>12</v>
      </c>
      <c r="C90" s="1">
        <f>SUM(PL!E90:H90)</f>
        <v>0</v>
      </c>
      <c r="D90" s="1">
        <f>SUM(PL!I90:L90)</f>
        <v>0</v>
      </c>
      <c r="E90" s="1">
        <f>SUM(C90:D90)</f>
        <v>0</v>
      </c>
      <c r="F90" s="1">
        <f>IF(C90 + F89 &lt; 0, C90 + F89, 0)</f>
        <v>0</v>
      </c>
      <c r="G90" s="1">
        <f>IF(D90 + G89 &lt; 0, D90 + G89, 0)</f>
        <v>0</v>
      </c>
      <c r="H90" s="1">
        <f>IF(E90 + H89 &lt; 0, E90 + H89, 0)</f>
        <v>0</v>
      </c>
      <c r="I90" s="1">
        <f>IF(H90 &lt; 0, 1 + I89, 0)</f>
        <v>0</v>
      </c>
      <c r="J90" s="1">
        <f>C90-((ABS(SUM(PL!E90:H90)))*0.125)</f>
        <v>0</v>
      </c>
      <c r="K90" s="1">
        <f>D90-((ABS(SUM(PL!I90:L90)))*0.125)</f>
        <v>0</v>
      </c>
      <c r="L90" s="1">
        <f>J90 + K90</f>
        <v>0</v>
      </c>
      <c r="M90" s="1">
        <f>IF(J90 + M89 &lt; 0, J90 + M89, 0)</f>
        <v>0</v>
      </c>
      <c r="N90" s="1">
        <f>IF(K90 + N89 &lt; 0, K90 + N89, 0)</f>
        <v>0</v>
      </c>
      <c r="O90" s="1">
        <f>IF(L90 + O89 &lt; 0, L90 + O89, 0)</f>
        <v>0</v>
      </c>
      <c r="P90" s="1">
        <f>IF(O90 &lt; 0, 1 + P89, 0)</f>
        <v>0</v>
      </c>
      <c r="Q90" s="1">
        <f>IF(E90&lt;0,1,0)</f>
        <v>0</v>
      </c>
      <c r="R90" s="1">
        <f>IF(Q90=1,E90,0)</f>
        <v>0</v>
      </c>
      <c r="S90" s="1">
        <f>IF(E90&gt;0,1,0)</f>
        <v>0</v>
      </c>
      <c r="T90" s="1">
        <f>IF(S90=1,E90,0)</f>
        <v>0</v>
      </c>
      <c r="U90" s="1">
        <f>IF(R90&lt;-100000000/100,1,0)</f>
        <v>0</v>
      </c>
      <c r="V90" s="1">
        <f>IF(T90&gt;100000000/100,1,0)</f>
        <v>0</v>
      </c>
      <c r="W90" s="1">
        <f>IF(L90&lt;0,1,0)</f>
        <v>0</v>
      </c>
      <c r="X90" s="1">
        <f>IF(W90=1,L90,0)</f>
        <v>0</v>
      </c>
      <c r="Y90" s="1">
        <f>IF(L90&gt;0,1,0)</f>
        <v>0</v>
      </c>
      <c r="Z90" s="1">
        <f>IF(Y90=1,L90,0)</f>
        <v>0</v>
      </c>
      <c r="AA90" s="1">
        <f>IF(X90&lt;-100000000/100,1,0)</f>
        <v>0</v>
      </c>
      <c r="AB90" s="1">
        <f>IF(Z90&gt;100000000/100,1,0)</f>
        <v>0</v>
      </c>
    </row>
    <row r="91" spans="1:28" s="1" customFormat="1">
      <c r="A91" s="3">
        <v>45062</v>
      </c>
      <c r="B91" s="2" t="s">
        <v>13</v>
      </c>
      <c r="C91" s="1">
        <f>SUM(PL!E91:H91)</f>
        <v>0</v>
      </c>
      <c r="D91" s="1">
        <f>SUM(PL!I91:L91)</f>
        <v>0</v>
      </c>
      <c r="E91" s="1">
        <f>SUM(C91:D91)</f>
        <v>0</v>
      </c>
      <c r="F91" s="1">
        <f>IF(C91 + F90 &lt; 0, C91 + F90, 0)</f>
        <v>0</v>
      </c>
      <c r="G91" s="1">
        <f>IF(D91 + G90 &lt; 0, D91 + G90, 0)</f>
        <v>0</v>
      </c>
      <c r="H91" s="1">
        <f>IF(E91 + H90 &lt; 0, E91 + H90, 0)</f>
        <v>0</v>
      </c>
      <c r="I91" s="1">
        <f>IF(H91 &lt; 0, 1 + I90, 0)</f>
        <v>0</v>
      </c>
      <c r="J91" s="1">
        <f>C91-((ABS(SUM(PL!E91:H91)))*0.125)</f>
        <v>0</v>
      </c>
      <c r="K91" s="1">
        <f>D91-((ABS(SUM(PL!I91:L91)))*0.125)</f>
        <v>0</v>
      </c>
      <c r="L91" s="1">
        <f>J91 + K91</f>
        <v>0</v>
      </c>
      <c r="M91" s="1">
        <f>IF(J91 + M90 &lt; 0, J91 + M90, 0)</f>
        <v>0</v>
      </c>
      <c r="N91" s="1">
        <f>IF(K91 + N90 &lt; 0, K91 + N90, 0)</f>
        <v>0</v>
      </c>
      <c r="O91" s="1">
        <f>IF(L91 + O90 &lt; 0, L91 + O90, 0)</f>
        <v>0</v>
      </c>
      <c r="P91" s="1">
        <f>IF(O91 &lt; 0, 1 + P90, 0)</f>
        <v>0</v>
      </c>
      <c r="Q91" s="1">
        <f>IF(E91&lt;0,1,0)</f>
        <v>0</v>
      </c>
      <c r="R91" s="1">
        <f>IF(Q91=1,E91,0)</f>
        <v>0</v>
      </c>
      <c r="S91" s="1">
        <f>IF(E91&gt;0,1,0)</f>
        <v>0</v>
      </c>
      <c r="T91" s="1">
        <f>IF(S91=1,E91,0)</f>
        <v>0</v>
      </c>
      <c r="U91" s="1">
        <f>IF(R91&lt;-100000000/100,1,0)</f>
        <v>0</v>
      </c>
      <c r="V91" s="1">
        <f>IF(T91&gt;100000000/100,1,0)</f>
        <v>0</v>
      </c>
      <c r="W91" s="1">
        <f>IF(L91&lt;0,1,0)</f>
        <v>0</v>
      </c>
      <c r="X91" s="1">
        <f>IF(W91=1,L91,0)</f>
        <v>0</v>
      </c>
      <c r="Y91" s="1">
        <f>IF(L91&gt;0,1,0)</f>
        <v>0</v>
      </c>
      <c r="Z91" s="1">
        <f>IF(Y91=1,L91,0)</f>
        <v>0</v>
      </c>
      <c r="AA91" s="1">
        <f>IF(X91&lt;-100000000/100,1,0)</f>
        <v>0</v>
      </c>
      <c r="AB91" s="1">
        <f>IF(Z91&gt;100000000/100,1,0)</f>
        <v>0</v>
      </c>
    </row>
    <row r="92" spans="1:28" s="1" customFormat="1">
      <c r="A92" s="3">
        <v>45063</v>
      </c>
      <c r="B92" s="2" t="s">
        <v>14</v>
      </c>
      <c r="C92" s="1">
        <f>SUM(PL!E92:H92)</f>
        <v>0</v>
      </c>
      <c r="D92" s="1">
        <f>SUM(PL!I92:L92)</f>
        <v>0</v>
      </c>
      <c r="E92" s="1">
        <f>SUM(C92:D92)</f>
        <v>0</v>
      </c>
      <c r="F92" s="1">
        <f>IF(C92 + F91 &lt; 0, C92 + F91, 0)</f>
        <v>0</v>
      </c>
      <c r="G92" s="1">
        <f>IF(D92 + G91 &lt; 0, D92 + G91, 0)</f>
        <v>0</v>
      </c>
      <c r="H92" s="1">
        <f>IF(E92 + H91 &lt; 0, E92 + H91, 0)</f>
        <v>0</v>
      </c>
      <c r="I92" s="1">
        <f>IF(H92 &lt; 0, 1 + I91, 0)</f>
        <v>0</v>
      </c>
      <c r="J92" s="1">
        <f>C92-((ABS(SUM(PL!E92:H92)))*0.125)</f>
        <v>0</v>
      </c>
      <c r="K92" s="1">
        <f>D92-((ABS(SUM(PL!I92:L92)))*0.125)</f>
        <v>0</v>
      </c>
      <c r="L92" s="1">
        <f>J92 + K92</f>
        <v>0</v>
      </c>
      <c r="M92" s="1">
        <f>IF(J92 + M91 &lt; 0, J92 + M91, 0)</f>
        <v>0</v>
      </c>
      <c r="N92" s="1">
        <f>IF(K92 + N91 &lt; 0, K92 + N91, 0)</f>
        <v>0</v>
      </c>
      <c r="O92" s="1">
        <f>IF(L92 + O91 &lt; 0, L92 + O91, 0)</f>
        <v>0</v>
      </c>
      <c r="P92" s="1">
        <f>IF(O92 &lt; 0, 1 + P91, 0)</f>
        <v>0</v>
      </c>
      <c r="Q92" s="1">
        <f>IF(E92&lt;0,1,0)</f>
        <v>0</v>
      </c>
      <c r="R92" s="1">
        <f>IF(Q92=1,E92,0)</f>
        <v>0</v>
      </c>
      <c r="S92" s="1">
        <f>IF(E92&gt;0,1,0)</f>
        <v>0</v>
      </c>
      <c r="T92" s="1">
        <f>IF(S92=1,E92,0)</f>
        <v>0</v>
      </c>
      <c r="U92" s="1">
        <f>IF(R92&lt;-100000000/100,1,0)</f>
        <v>0</v>
      </c>
      <c r="V92" s="1">
        <f>IF(T92&gt;100000000/100,1,0)</f>
        <v>0</v>
      </c>
      <c r="W92" s="1">
        <f>IF(L92&lt;0,1,0)</f>
        <v>0</v>
      </c>
      <c r="X92" s="1">
        <f>IF(W92=1,L92,0)</f>
        <v>0</v>
      </c>
      <c r="Y92" s="1">
        <f>IF(L92&gt;0,1,0)</f>
        <v>0</v>
      </c>
      <c r="Z92" s="1">
        <f>IF(Y92=1,L92,0)</f>
        <v>0</v>
      </c>
      <c r="AA92" s="1">
        <f>IF(X92&lt;-100000000/100,1,0)</f>
        <v>0</v>
      </c>
      <c r="AB92" s="1">
        <f>IF(Z92&gt;100000000/100,1,0)</f>
        <v>0</v>
      </c>
    </row>
    <row r="93" spans="1:28" s="1" customFormat="1">
      <c r="A93" s="3">
        <v>45064</v>
      </c>
      <c r="B93" s="2" t="s">
        <v>16</v>
      </c>
      <c r="C93" s="1">
        <f>SUM(PL!E93:H93)</f>
        <v>0</v>
      </c>
      <c r="D93" s="1">
        <f>SUM(PL!I93:L93)</f>
        <v>0</v>
      </c>
      <c r="E93" s="1">
        <f>SUM(C93:D93)</f>
        <v>0</v>
      </c>
      <c r="F93" s="1">
        <f>IF(C93 + F92 &lt; 0, C93 + F92, 0)</f>
        <v>0</v>
      </c>
      <c r="G93" s="1">
        <f>IF(D93 + G92 &lt; 0, D93 + G92, 0)</f>
        <v>0</v>
      </c>
      <c r="H93" s="1">
        <f>IF(E93 + H92 &lt; 0, E93 + H92, 0)</f>
        <v>0</v>
      </c>
      <c r="I93" s="1">
        <f>IF(H93 &lt; 0, 1 + I92, 0)</f>
        <v>0</v>
      </c>
      <c r="J93" s="1">
        <f>C93-((ABS(SUM(PL!E93:H93)))*0.125)</f>
        <v>0</v>
      </c>
      <c r="K93" s="1">
        <f>D93-((ABS(SUM(PL!I93:L93)))*0.125)</f>
        <v>0</v>
      </c>
      <c r="L93" s="1">
        <f>J93 + K93</f>
        <v>0</v>
      </c>
      <c r="M93" s="1">
        <f>IF(J93 + M92 &lt; 0, J93 + M92, 0)</f>
        <v>0</v>
      </c>
      <c r="N93" s="1">
        <f>IF(K93 + N92 &lt; 0, K93 + N92, 0)</f>
        <v>0</v>
      </c>
      <c r="O93" s="1">
        <f>IF(L93 + O92 &lt; 0, L93 + O92, 0)</f>
        <v>0</v>
      </c>
      <c r="P93" s="1">
        <f>IF(O93 &lt; 0, 1 + P92, 0)</f>
        <v>0</v>
      </c>
      <c r="Q93" s="1">
        <f>IF(E93&lt;0,1,0)</f>
        <v>0</v>
      </c>
      <c r="R93" s="1">
        <f>IF(Q93=1,E93,0)</f>
        <v>0</v>
      </c>
      <c r="S93" s="1">
        <f>IF(E93&gt;0,1,0)</f>
        <v>0</v>
      </c>
      <c r="T93" s="1">
        <f>IF(S93=1,E93,0)</f>
        <v>0</v>
      </c>
      <c r="U93" s="1">
        <f>IF(R93&lt;-100000000/100,1,0)</f>
        <v>0</v>
      </c>
      <c r="V93" s="1">
        <f>IF(T93&gt;100000000/100,1,0)</f>
        <v>0</v>
      </c>
      <c r="W93" s="1">
        <f>IF(L93&lt;0,1,0)</f>
        <v>0</v>
      </c>
      <c r="X93" s="1">
        <f>IF(W93=1,L93,0)</f>
        <v>0</v>
      </c>
      <c r="Y93" s="1">
        <f>IF(L93&gt;0,1,0)</f>
        <v>0</v>
      </c>
      <c r="Z93" s="1">
        <f>IF(Y93=1,L93,0)</f>
        <v>0</v>
      </c>
      <c r="AA93" s="1">
        <f>IF(X93&lt;-100000000/100,1,0)</f>
        <v>0</v>
      </c>
      <c r="AB93" s="1">
        <f>IF(Z93&gt;100000000/100,1,0)</f>
        <v>0</v>
      </c>
    </row>
    <row r="94" spans="1:28" s="1" customFormat="1">
      <c r="A94" s="3">
        <v>45065</v>
      </c>
      <c r="B94" s="2" t="s">
        <v>15</v>
      </c>
      <c r="C94" s="1">
        <f>SUM(PL!E94:H94)</f>
        <v>0</v>
      </c>
      <c r="D94" s="1">
        <f>SUM(PL!I94:L94)</f>
        <v>0</v>
      </c>
      <c r="E94" s="1">
        <f>SUM(C94:D94)</f>
        <v>0</v>
      </c>
      <c r="F94" s="1">
        <f>IF(C94 + F93 &lt; 0, C94 + F93, 0)</f>
        <v>0</v>
      </c>
      <c r="G94" s="1">
        <f>IF(D94 + G93 &lt; 0, D94 + G93, 0)</f>
        <v>0</v>
      </c>
      <c r="H94" s="1">
        <f>IF(E94 + H93 &lt; 0, E94 + H93, 0)</f>
        <v>0</v>
      </c>
      <c r="I94" s="1">
        <f>IF(H94 &lt; 0, 1 + I93, 0)</f>
        <v>0</v>
      </c>
      <c r="J94" s="1">
        <f>C94-((ABS(SUM(PL!E94:H94)))*0.125)</f>
        <v>0</v>
      </c>
      <c r="K94" s="1">
        <f>D94-((ABS(SUM(PL!I94:L94)))*0.125)</f>
        <v>0</v>
      </c>
      <c r="L94" s="1">
        <f>J94 + K94</f>
        <v>0</v>
      </c>
      <c r="M94" s="1">
        <f>IF(J94 + M93 &lt; 0, J94 + M93, 0)</f>
        <v>0</v>
      </c>
      <c r="N94" s="1">
        <f>IF(K94 + N93 &lt; 0, K94 + N93, 0)</f>
        <v>0</v>
      </c>
      <c r="O94" s="1">
        <f>IF(L94 + O93 &lt; 0, L94 + O93, 0)</f>
        <v>0</v>
      </c>
      <c r="P94" s="1">
        <f>IF(O94 &lt; 0, 1 + P93, 0)</f>
        <v>0</v>
      </c>
      <c r="Q94" s="1">
        <f>IF(E94&lt;0,1,0)</f>
        <v>0</v>
      </c>
      <c r="R94" s="1">
        <f>IF(Q94=1,E94,0)</f>
        <v>0</v>
      </c>
      <c r="S94" s="1">
        <f>IF(E94&gt;0,1,0)</f>
        <v>0</v>
      </c>
      <c r="T94" s="1">
        <f>IF(S94=1,E94,0)</f>
        <v>0</v>
      </c>
      <c r="U94" s="1">
        <f>IF(R94&lt;-100000000/100,1,0)</f>
        <v>0</v>
      </c>
      <c r="V94" s="1">
        <f>IF(T94&gt;100000000/100,1,0)</f>
        <v>0</v>
      </c>
      <c r="W94" s="1">
        <f>IF(L94&lt;0,1,0)</f>
        <v>0</v>
      </c>
      <c r="X94" s="1">
        <f>IF(W94=1,L94,0)</f>
        <v>0</v>
      </c>
      <c r="Y94" s="1">
        <f>IF(L94&gt;0,1,0)</f>
        <v>0</v>
      </c>
      <c r="Z94" s="1">
        <f>IF(Y94=1,L94,0)</f>
        <v>0</v>
      </c>
      <c r="AA94" s="1">
        <f>IF(X94&lt;-100000000/100,1,0)</f>
        <v>0</v>
      </c>
      <c r="AB94" s="1">
        <f>IF(Z94&gt;100000000/100,1,0)</f>
        <v>0</v>
      </c>
    </row>
    <row r="95" spans="1:28" s="1" customFormat="1">
      <c r="A95" s="3">
        <v>45069</v>
      </c>
      <c r="B95" s="2" t="s">
        <v>13</v>
      </c>
      <c r="C95" s="1">
        <f>SUM(PL!E95:H95)</f>
        <v>0</v>
      </c>
      <c r="D95" s="1">
        <f>SUM(PL!I95:L95)</f>
        <v>0</v>
      </c>
      <c r="E95" s="1">
        <f>SUM(C95:D95)</f>
        <v>0</v>
      </c>
      <c r="F95" s="1">
        <f>IF(C95 + F94 &lt; 0, C95 + F94, 0)</f>
        <v>0</v>
      </c>
      <c r="G95" s="1">
        <f>IF(D95 + G94 &lt; 0, D95 + G94, 0)</f>
        <v>0</v>
      </c>
      <c r="H95" s="1">
        <f>IF(E95 + H94 &lt; 0, E95 + H94, 0)</f>
        <v>0</v>
      </c>
      <c r="I95" s="1">
        <f>IF(H95 &lt; 0, 1 + I94, 0)</f>
        <v>0</v>
      </c>
      <c r="J95" s="1">
        <f>C95-((ABS(SUM(PL!E95:H95)))*0.125)</f>
        <v>0</v>
      </c>
      <c r="K95" s="1">
        <f>D95-((ABS(SUM(PL!I95:L95)))*0.125)</f>
        <v>0</v>
      </c>
      <c r="L95" s="1">
        <f>J95 + K95</f>
        <v>0</v>
      </c>
      <c r="M95" s="1">
        <f>IF(J95 + M94 &lt; 0, J95 + M94, 0)</f>
        <v>0</v>
      </c>
      <c r="N95" s="1">
        <f>IF(K95 + N94 &lt; 0, K95 + N94, 0)</f>
        <v>0</v>
      </c>
      <c r="O95" s="1">
        <f>IF(L95 + O94 &lt; 0, L95 + O94, 0)</f>
        <v>0</v>
      </c>
      <c r="P95" s="1">
        <f>IF(O95 &lt; 0, 1 + P94, 0)</f>
        <v>0</v>
      </c>
      <c r="Q95" s="1">
        <f>IF(E95&lt;0,1,0)</f>
        <v>0</v>
      </c>
      <c r="R95" s="1">
        <f>IF(Q95=1,E95,0)</f>
        <v>0</v>
      </c>
      <c r="S95" s="1">
        <f>IF(E95&gt;0,1,0)</f>
        <v>0</v>
      </c>
      <c r="T95" s="1">
        <f>IF(S95=1,E95,0)</f>
        <v>0</v>
      </c>
      <c r="U95" s="1">
        <f>IF(R95&lt;-100000000/100,1,0)</f>
        <v>0</v>
      </c>
      <c r="V95" s="1">
        <f>IF(T95&gt;100000000/100,1,0)</f>
        <v>0</v>
      </c>
      <c r="W95" s="1">
        <f>IF(L95&lt;0,1,0)</f>
        <v>0</v>
      </c>
      <c r="X95" s="1">
        <f>IF(W95=1,L95,0)</f>
        <v>0</v>
      </c>
      <c r="Y95" s="1">
        <f>IF(L95&gt;0,1,0)</f>
        <v>0</v>
      </c>
      <c r="Z95" s="1">
        <f>IF(Y95=1,L95,0)</f>
        <v>0</v>
      </c>
      <c r="AA95" s="1">
        <f>IF(X95&lt;-100000000/100,1,0)</f>
        <v>0</v>
      </c>
      <c r="AB95" s="1">
        <f>IF(Z95&gt;100000000/100,1,0)</f>
        <v>0</v>
      </c>
    </row>
    <row r="96" spans="1:28" s="1" customFormat="1">
      <c r="A96" s="3">
        <v>45070</v>
      </c>
      <c r="B96" s="2" t="s">
        <v>14</v>
      </c>
      <c r="C96" s="1">
        <f>SUM(PL!E96:H96)</f>
        <v>0</v>
      </c>
      <c r="D96" s="1">
        <f>SUM(PL!I96:L96)</f>
        <v>0</v>
      </c>
      <c r="E96" s="1">
        <f>SUM(C96:D96)</f>
        <v>0</v>
      </c>
      <c r="F96" s="1">
        <f>IF(C96 + F95 &lt; 0, C96 + F95, 0)</f>
        <v>0</v>
      </c>
      <c r="G96" s="1">
        <f>IF(D96 + G95 &lt; 0, D96 + G95, 0)</f>
        <v>0</v>
      </c>
      <c r="H96" s="1">
        <f>IF(E96 + H95 &lt; 0, E96 + H95, 0)</f>
        <v>0</v>
      </c>
      <c r="I96" s="1">
        <f>IF(H96 &lt; 0, 1 + I95, 0)</f>
        <v>0</v>
      </c>
      <c r="J96" s="1">
        <f>C96-((ABS(SUM(PL!E96:H96)))*0.125)</f>
        <v>0</v>
      </c>
      <c r="K96" s="1">
        <f>D96-((ABS(SUM(PL!I96:L96)))*0.125)</f>
        <v>0</v>
      </c>
      <c r="L96" s="1">
        <f>J96 + K96</f>
        <v>0</v>
      </c>
      <c r="M96" s="1">
        <f>IF(J96 + M95 &lt; 0, J96 + M95, 0)</f>
        <v>0</v>
      </c>
      <c r="N96" s="1">
        <f>IF(K96 + N95 &lt; 0, K96 + N95, 0)</f>
        <v>0</v>
      </c>
      <c r="O96" s="1">
        <f>IF(L96 + O95 &lt; 0, L96 + O95, 0)</f>
        <v>0</v>
      </c>
      <c r="P96" s="1">
        <f>IF(O96 &lt; 0, 1 + P95, 0)</f>
        <v>0</v>
      </c>
      <c r="Q96" s="1">
        <f>IF(E96&lt;0,1,0)</f>
        <v>0</v>
      </c>
      <c r="R96" s="1">
        <f>IF(Q96=1,E96,0)</f>
        <v>0</v>
      </c>
      <c r="S96" s="1">
        <f>IF(E96&gt;0,1,0)</f>
        <v>0</v>
      </c>
      <c r="T96" s="1">
        <f>IF(S96=1,E96,0)</f>
        <v>0</v>
      </c>
      <c r="U96" s="1">
        <f>IF(R96&lt;-100000000/100,1,0)</f>
        <v>0</v>
      </c>
      <c r="V96" s="1">
        <f>IF(T96&gt;100000000/100,1,0)</f>
        <v>0</v>
      </c>
      <c r="W96" s="1">
        <f>IF(L96&lt;0,1,0)</f>
        <v>0</v>
      </c>
      <c r="X96" s="1">
        <f>IF(W96=1,L96,0)</f>
        <v>0</v>
      </c>
      <c r="Y96" s="1">
        <f>IF(L96&gt;0,1,0)</f>
        <v>0</v>
      </c>
      <c r="Z96" s="1">
        <f>IF(Y96=1,L96,0)</f>
        <v>0</v>
      </c>
      <c r="AA96" s="1">
        <f>IF(X96&lt;-100000000/100,1,0)</f>
        <v>0</v>
      </c>
      <c r="AB96" s="1">
        <f>IF(Z96&gt;100000000/100,1,0)</f>
        <v>0</v>
      </c>
    </row>
    <row r="97" spans="1:28" s="1" customFormat="1">
      <c r="A97" s="3">
        <v>45071</v>
      </c>
      <c r="B97" s="2" t="s">
        <v>16</v>
      </c>
      <c r="C97" s="1">
        <f>SUM(PL!E97:H97)</f>
        <v>0</v>
      </c>
      <c r="D97" s="1">
        <f>SUM(PL!I97:L97)</f>
        <v>0</v>
      </c>
      <c r="E97" s="1">
        <f>SUM(C97:D97)</f>
        <v>0</v>
      </c>
      <c r="F97" s="1">
        <f>IF(C97 + F96 &lt; 0, C97 + F96, 0)</f>
        <v>0</v>
      </c>
      <c r="G97" s="1">
        <f>IF(D97 + G96 &lt; 0, D97 + G96, 0)</f>
        <v>0</v>
      </c>
      <c r="H97" s="1">
        <f>IF(E97 + H96 &lt; 0, E97 + H96, 0)</f>
        <v>0</v>
      </c>
      <c r="I97" s="1">
        <f>IF(H97 &lt; 0, 1 + I96, 0)</f>
        <v>0</v>
      </c>
      <c r="J97" s="1">
        <f>C97-((ABS(SUM(PL!E97:H97)))*0.125)</f>
        <v>0</v>
      </c>
      <c r="K97" s="1">
        <f>D97-((ABS(SUM(PL!I97:L97)))*0.125)</f>
        <v>0</v>
      </c>
      <c r="L97" s="1">
        <f>J97 + K97</f>
        <v>0</v>
      </c>
      <c r="M97" s="1">
        <f>IF(J97 + M96 &lt; 0, J97 + M96, 0)</f>
        <v>0</v>
      </c>
      <c r="N97" s="1">
        <f>IF(K97 + N96 &lt; 0, K97 + N96, 0)</f>
        <v>0</v>
      </c>
      <c r="O97" s="1">
        <f>IF(L97 + O96 &lt; 0, L97 + O96, 0)</f>
        <v>0</v>
      </c>
      <c r="P97" s="1">
        <f>IF(O97 &lt; 0, 1 + P96, 0)</f>
        <v>0</v>
      </c>
      <c r="Q97" s="1">
        <f>IF(E97&lt;0,1,0)</f>
        <v>0</v>
      </c>
      <c r="R97" s="1">
        <f>IF(Q97=1,E97,0)</f>
        <v>0</v>
      </c>
      <c r="S97" s="1">
        <f>IF(E97&gt;0,1,0)</f>
        <v>0</v>
      </c>
      <c r="T97" s="1">
        <f>IF(S97=1,E97,0)</f>
        <v>0</v>
      </c>
      <c r="U97" s="1">
        <f>IF(R97&lt;-100000000/100,1,0)</f>
        <v>0</v>
      </c>
      <c r="V97" s="1">
        <f>IF(T97&gt;100000000/100,1,0)</f>
        <v>0</v>
      </c>
      <c r="W97" s="1">
        <f>IF(L97&lt;0,1,0)</f>
        <v>0</v>
      </c>
      <c r="X97" s="1">
        <f>IF(W97=1,L97,0)</f>
        <v>0</v>
      </c>
      <c r="Y97" s="1">
        <f>IF(L97&gt;0,1,0)</f>
        <v>0</v>
      </c>
      <c r="Z97" s="1">
        <f>IF(Y97=1,L97,0)</f>
        <v>0</v>
      </c>
      <c r="AA97" s="1">
        <f>IF(X97&lt;-100000000/100,1,0)</f>
        <v>0</v>
      </c>
      <c r="AB97" s="1">
        <f>IF(Z97&gt;100000000/100,1,0)</f>
        <v>0</v>
      </c>
    </row>
    <row r="98" spans="1:28" s="1" customFormat="1">
      <c r="A98" s="3">
        <v>45072</v>
      </c>
      <c r="B98" s="2" t="s">
        <v>15</v>
      </c>
      <c r="C98" s="1">
        <f>SUM(PL!E98:H98)</f>
        <v>0</v>
      </c>
      <c r="D98" s="1">
        <f>SUM(PL!I98:L98)</f>
        <v>0</v>
      </c>
      <c r="E98" s="1">
        <f>SUM(C98:D98)</f>
        <v>0</v>
      </c>
      <c r="F98" s="1">
        <f>IF(C98 + F97 &lt; 0, C98 + F97, 0)</f>
        <v>0</v>
      </c>
      <c r="G98" s="1">
        <f>IF(D98 + G97 &lt; 0, D98 + G97, 0)</f>
        <v>0</v>
      </c>
      <c r="H98" s="1">
        <f>IF(E98 + H97 &lt; 0, E98 + H97, 0)</f>
        <v>0</v>
      </c>
      <c r="I98" s="1">
        <f>IF(H98 &lt; 0, 1 + I97, 0)</f>
        <v>0</v>
      </c>
      <c r="J98" s="1">
        <f>C98-((ABS(SUM(PL!E98:H98)))*0.125)</f>
        <v>0</v>
      </c>
      <c r="K98" s="1">
        <f>D98-((ABS(SUM(PL!I98:L98)))*0.125)</f>
        <v>0</v>
      </c>
      <c r="L98" s="1">
        <f>J98 + K98</f>
        <v>0</v>
      </c>
      <c r="M98" s="1">
        <f>IF(J98 + M97 &lt; 0, J98 + M97, 0)</f>
        <v>0</v>
      </c>
      <c r="N98" s="1">
        <f>IF(K98 + N97 &lt; 0, K98 + N97, 0)</f>
        <v>0</v>
      </c>
      <c r="O98" s="1">
        <f>IF(L98 + O97 &lt; 0, L98 + O97, 0)</f>
        <v>0</v>
      </c>
      <c r="P98" s="1">
        <f>IF(O98 &lt; 0, 1 + P97, 0)</f>
        <v>0</v>
      </c>
      <c r="Q98" s="1">
        <f>IF(E98&lt;0,1,0)</f>
        <v>0</v>
      </c>
      <c r="R98" s="1">
        <f>IF(Q98=1,E98,0)</f>
        <v>0</v>
      </c>
      <c r="S98" s="1">
        <f>IF(E98&gt;0,1,0)</f>
        <v>0</v>
      </c>
      <c r="T98" s="1">
        <f>IF(S98=1,E98,0)</f>
        <v>0</v>
      </c>
      <c r="U98" s="1">
        <f>IF(R98&lt;-100000000/100,1,0)</f>
        <v>0</v>
      </c>
      <c r="V98" s="1">
        <f>IF(T98&gt;100000000/100,1,0)</f>
        <v>0</v>
      </c>
      <c r="W98" s="1">
        <f>IF(L98&lt;0,1,0)</f>
        <v>0</v>
      </c>
      <c r="X98" s="1">
        <f>IF(W98=1,L98,0)</f>
        <v>0</v>
      </c>
      <c r="Y98" s="1">
        <f>IF(L98&gt;0,1,0)</f>
        <v>0</v>
      </c>
      <c r="Z98" s="1">
        <f>IF(Y98=1,L98,0)</f>
        <v>0</v>
      </c>
      <c r="AA98" s="1">
        <f>IF(X98&lt;-100000000/100,1,0)</f>
        <v>0</v>
      </c>
      <c r="AB98" s="1">
        <f>IF(Z98&gt;100000000/100,1,0)</f>
        <v>0</v>
      </c>
    </row>
    <row r="99" spans="1:28" s="1" customFormat="1">
      <c r="A99" s="3">
        <v>45075</v>
      </c>
      <c r="B99" s="2" t="s">
        <v>12</v>
      </c>
      <c r="C99" s="1">
        <f>SUM(PL!E99:H99)</f>
        <v>0</v>
      </c>
      <c r="D99" s="1">
        <f>SUM(PL!I99:L99)</f>
        <v>0</v>
      </c>
      <c r="E99" s="1">
        <f>SUM(C99:D99)</f>
        <v>0</v>
      </c>
      <c r="F99" s="1">
        <f>IF(C99 + F98 &lt; 0, C99 + F98, 0)</f>
        <v>0</v>
      </c>
      <c r="G99" s="1">
        <f>IF(D99 + G98 &lt; 0, D99 + G98, 0)</f>
        <v>0</v>
      </c>
      <c r="H99" s="1">
        <f>IF(E99 + H98 &lt; 0, E99 + H98, 0)</f>
        <v>0</v>
      </c>
      <c r="I99" s="1">
        <f>IF(H99 &lt; 0, 1 + I98, 0)</f>
        <v>0</v>
      </c>
      <c r="J99" s="1">
        <f>C99-((ABS(SUM(PL!E99:H99)))*0.125)</f>
        <v>0</v>
      </c>
      <c r="K99" s="1">
        <f>D99-((ABS(SUM(PL!I99:L99)))*0.125)</f>
        <v>0</v>
      </c>
      <c r="L99" s="1">
        <f>J99 + K99</f>
        <v>0</v>
      </c>
      <c r="M99" s="1">
        <f>IF(J99 + M98 &lt; 0, J99 + M98, 0)</f>
        <v>0</v>
      </c>
      <c r="N99" s="1">
        <f>IF(K99 + N98 &lt; 0, K99 + N98, 0)</f>
        <v>0</v>
      </c>
      <c r="O99" s="1">
        <f>IF(L99 + O98 &lt; 0, L99 + O98, 0)</f>
        <v>0</v>
      </c>
      <c r="P99" s="1">
        <f>IF(O99 &lt; 0, 1 + P98, 0)</f>
        <v>0</v>
      </c>
      <c r="Q99" s="1">
        <f>IF(E99&lt;0,1,0)</f>
        <v>0</v>
      </c>
      <c r="R99" s="1">
        <f>IF(Q99=1,E99,0)</f>
        <v>0</v>
      </c>
      <c r="S99" s="1">
        <f>IF(E99&gt;0,1,0)</f>
        <v>0</v>
      </c>
      <c r="T99" s="1">
        <f>IF(S99=1,E99,0)</f>
        <v>0</v>
      </c>
      <c r="U99" s="1">
        <f>IF(R99&lt;-100000000/100,1,0)</f>
        <v>0</v>
      </c>
      <c r="V99" s="1">
        <f>IF(T99&gt;100000000/100,1,0)</f>
        <v>0</v>
      </c>
      <c r="W99" s="1">
        <f>IF(L99&lt;0,1,0)</f>
        <v>0</v>
      </c>
      <c r="X99" s="1">
        <f>IF(W99=1,L99,0)</f>
        <v>0</v>
      </c>
      <c r="Y99" s="1">
        <f>IF(L99&gt;0,1,0)</f>
        <v>0</v>
      </c>
      <c r="Z99" s="1">
        <f>IF(Y99=1,L99,0)</f>
        <v>0</v>
      </c>
      <c r="AA99" s="1">
        <f>IF(X99&lt;-100000000/100,1,0)</f>
        <v>0</v>
      </c>
      <c r="AB99" s="1">
        <f>IF(Z99&gt;100000000/100,1,0)</f>
        <v>0</v>
      </c>
    </row>
    <row r="100" spans="1:28" s="1" customFormat="1">
      <c r="A100" s="3">
        <v>45076</v>
      </c>
      <c r="B100" s="2" t="s">
        <v>13</v>
      </c>
      <c r="C100" s="1">
        <f>SUM(PL!E100:H100)</f>
        <v>0</v>
      </c>
      <c r="D100" s="1">
        <f>SUM(PL!I100:L100)</f>
        <v>0</v>
      </c>
      <c r="E100" s="1">
        <f>SUM(C100:D100)</f>
        <v>0</v>
      </c>
      <c r="F100" s="1">
        <f>IF(C100 + F99 &lt; 0, C100 + F99, 0)</f>
        <v>0</v>
      </c>
      <c r="G100" s="1">
        <f>IF(D100 + G99 &lt; 0, D100 + G99, 0)</f>
        <v>0</v>
      </c>
      <c r="H100" s="1">
        <f>IF(E100 + H99 &lt; 0, E100 + H99, 0)</f>
        <v>0</v>
      </c>
      <c r="I100" s="1">
        <f>IF(H100 &lt; 0, 1 + I99, 0)</f>
        <v>0</v>
      </c>
      <c r="J100" s="1">
        <f>C100-((ABS(SUM(PL!E100:H100)))*0.125)</f>
        <v>0</v>
      </c>
      <c r="K100" s="1">
        <f>D100-((ABS(SUM(PL!I100:L100)))*0.125)</f>
        <v>0</v>
      </c>
      <c r="L100" s="1">
        <f>J100 + K100</f>
        <v>0</v>
      </c>
      <c r="M100" s="1">
        <f>IF(J100 + M99 &lt; 0, J100 + M99, 0)</f>
        <v>0</v>
      </c>
      <c r="N100" s="1">
        <f>IF(K100 + N99 &lt; 0, K100 + N99, 0)</f>
        <v>0</v>
      </c>
      <c r="O100" s="1">
        <f>IF(L100 + O99 &lt; 0, L100 + O99, 0)</f>
        <v>0</v>
      </c>
      <c r="P100" s="1">
        <f>IF(O100 &lt; 0, 1 + P99, 0)</f>
        <v>0</v>
      </c>
      <c r="Q100" s="1">
        <f>IF(E100&lt;0,1,0)</f>
        <v>0</v>
      </c>
      <c r="R100" s="1">
        <f>IF(Q100=1,E100,0)</f>
        <v>0</v>
      </c>
      <c r="S100" s="1">
        <f>IF(E100&gt;0,1,0)</f>
        <v>0</v>
      </c>
      <c r="T100" s="1">
        <f>IF(S100=1,E100,0)</f>
        <v>0</v>
      </c>
      <c r="U100" s="1">
        <f>IF(R100&lt;-100000000/100,1,0)</f>
        <v>0</v>
      </c>
      <c r="V100" s="1">
        <f>IF(T100&gt;100000000/100,1,0)</f>
        <v>0</v>
      </c>
      <c r="W100" s="1">
        <f>IF(L100&lt;0,1,0)</f>
        <v>0</v>
      </c>
      <c r="X100" s="1">
        <f>IF(W100=1,L100,0)</f>
        <v>0</v>
      </c>
      <c r="Y100" s="1">
        <f>IF(L100&gt;0,1,0)</f>
        <v>0</v>
      </c>
      <c r="Z100" s="1">
        <f>IF(Y100=1,L100,0)</f>
        <v>0</v>
      </c>
      <c r="AA100" s="1">
        <f>IF(X100&lt;-100000000/100,1,0)</f>
        <v>0</v>
      </c>
      <c r="AB100" s="1">
        <f>IF(Z100&gt;100000000/100,1,0)</f>
        <v>0</v>
      </c>
    </row>
    <row r="101" spans="1:28" s="1" customFormat="1">
      <c r="A101" s="3">
        <v>45077</v>
      </c>
      <c r="B101" s="2" t="s">
        <v>14</v>
      </c>
      <c r="C101" s="1">
        <f>SUM(PL!E101:H101)</f>
        <v>0</v>
      </c>
      <c r="D101" s="1">
        <f>SUM(PL!I101:L101)</f>
        <v>0</v>
      </c>
      <c r="E101" s="1">
        <f>SUM(C101:D101)</f>
        <v>0</v>
      </c>
      <c r="F101" s="1">
        <f>IF(C101 + F100 &lt; 0, C101 + F100, 0)</f>
        <v>0</v>
      </c>
      <c r="G101" s="1">
        <f>IF(D101 + G100 &lt; 0, D101 + G100, 0)</f>
        <v>0</v>
      </c>
      <c r="H101" s="1">
        <f>IF(E101 + H100 &lt; 0, E101 + H100, 0)</f>
        <v>0</v>
      </c>
      <c r="I101" s="1">
        <f>IF(H101 &lt; 0, 1 + I100, 0)</f>
        <v>0</v>
      </c>
      <c r="J101" s="1">
        <f>C101-((ABS(SUM(PL!E101:H101)))*0.125)</f>
        <v>0</v>
      </c>
      <c r="K101" s="1">
        <f>D101-((ABS(SUM(PL!I101:L101)))*0.125)</f>
        <v>0</v>
      </c>
      <c r="L101" s="1">
        <f>J101 + K101</f>
        <v>0</v>
      </c>
      <c r="M101" s="1">
        <f>IF(J101 + M100 &lt; 0, J101 + M100, 0)</f>
        <v>0</v>
      </c>
      <c r="N101" s="1">
        <f>IF(K101 + N100 &lt; 0, K101 + N100, 0)</f>
        <v>0</v>
      </c>
      <c r="O101" s="1">
        <f>IF(L101 + O100 &lt; 0, L101 + O100, 0)</f>
        <v>0</v>
      </c>
      <c r="P101" s="1">
        <f>IF(O101 &lt; 0, 1 + P100, 0)</f>
        <v>0</v>
      </c>
      <c r="Q101" s="1">
        <f>IF(E101&lt;0,1,0)</f>
        <v>0</v>
      </c>
      <c r="R101" s="1">
        <f>IF(Q101=1,E101,0)</f>
        <v>0</v>
      </c>
      <c r="S101" s="1">
        <f>IF(E101&gt;0,1,0)</f>
        <v>0</v>
      </c>
      <c r="T101" s="1">
        <f>IF(S101=1,E101,0)</f>
        <v>0</v>
      </c>
      <c r="U101" s="1">
        <f>IF(R101&lt;-100000000/100,1,0)</f>
        <v>0</v>
      </c>
      <c r="V101" s="1">
        <f>IF(T101&gt;100000000/100,1,0)</f>
        <v>0</v>
      </c>
      <c r="W101" s="1">
        <f>IF(L101&lt;0,1,0)</f>
        <v>0</v>
      </c>
      <c r="X101" s="1">
        <f>IF(W101=1,L101,0)</f>
        <v>0</v>
      </c>
      <c r="Y101" s="1">
        <f>IF(L101&gt;0,1,0)</f>
        <v>0</v>
      </c>
      <c r="Z101" s="1">
        <f>IF(Y101=1,L101,0)</f>
        <v>0</v>
      </c>
      <c r="AA101" s="1">
        <f>IF(X101&lt;-100000000/100,1,0)</f>
        <v>0</v>
      </c>
      <c r="AB101" s="1">
        <f>IF(Z101&gt;100000000/100,1,0)</f>
        <v>0</v>
      </c>
    </row>
    <row r="102" spans="1:28" s="1" customFormat="1">
      <c r="A102" s="3">
        <v>45078</v>
      </c>
      <c r="B102" s="2" t="s">
        <v>16</v>
      </c>
      <c r="C102" s="1">
        <f>SUM(PL!E102:H102)</f>
        <v>0</v>
      </c>
      <c r="D102" s="1">
        <f>SUM(PL!I102:L102)</f>
        <v>0</v>
      </c>
      <c r="E102" s="1">
        <f>SUM(C102:D102)</f>
        <v>0</v>
      </c>
      <c r="F102" s="1">
        <f>IF(C102 + F101 &lt; 0, C102 + F101, 0)</f>
        <v>0</v>
      </c>
      <c r="G102" s="1">
        <f>IF(D102 + G101 &lt; 0, D102 + G101, 0)</f>
        <v>0</v>
      </c>
      <c r="H102" s="1">
        <f>IF(E102 + H101 &lt; 0, E102 + H101, 0)</f>
        <v>0</v>
      </c>
      <c r="I102" s="1">
        <f>IF(H102 &lt; 0, 1 + I101, 0)</f>
        <v>0</v>
      </c>
      <c r="J102" s="1">
        <f>C102-((ABS(SUM(PL!E102:H102)))*0.125)</f>
        <v>0</v>
      </c>
      <c r="K102" s="1">
        <f>D102-((ABS(SUM(PL!I102:L102)))*0.125)</f>
        <v>0</v>
      </c>
      <c r="L102" s="1">
        <f>J102 + K102</f>
        <v>0</v>
      </c>
      <c r="M102" s="1">
        <f>IF(J102 + M101 &lt; 0, J102 + M101, 0)</f>
        <v>0</v>
      </c>
      <c r="N102" s="1">
        <f>IF(K102 + N101 &lt; 0, K102 + N101, 0)</f>
        <v>0</v>
      </c>
      <c r="O102" s="1">
        <f>IF(L102 + O101 &lt; 0, L102 + O101, 0)</f>
        <v>0</v>
      </c>
      <c r="P102" s="1">
        <f>IF(O102 &lt; 0, 1 + P101, 0)</f>
        <v>0</v>
      </c>
      <c r="Q102" s="1">
        <f>IF(E102&lt;0,1,0)</f>
        <v>0</v>
      </c>
      <c r="R102" s="1">
        <f>IF(Q102=1,E102,0)</f>
        <v>0</v>
      </c>
      <c r="S102" s="1">
        <f>IF(E102&gt;0,1,0)</f>
        <v>0</v>
      </c>
      <c r="T102" s="1">
        <f>IF(S102=1,E102,0)</f>
        <v>0</v>
      </c>
      <c r="U102" s="1">
        <f>IF(R102&lt;-100000000/100,1,0)</f>
        <v>0</v>
      </c>
      <c r="V102" s="1">
        <f>IF(T102&gt;100000000/100,1,0)</f>
        <v>0</v>
      </c>
      <c r="W102" s="1">
        <f>IF(L102&lt;0,1,0)</f>
        <v>0</v>
      </c>
      <c r="X102" s="1">
        <f>IF(W102=1,L102,0)</f>
        <v>0</v>
      </c>
      <c r="Y102" s="1">
        <f>IF(L102&gt;0,1,0)</f>
        <v>0</v>
      </c>
      <c r="Z102" s="1">
        <f>IF(Y102=1,L102,0)</f>
        <v>0</v>
      </c>
      <c r="AA102" s="1">
        <f>IF(X102&lt;-100000000/100,1,0)</f>
        <v>0</v>
      </c>
      <c r="AB102" s="1">
        <f>IF(Z102&gt;100000000/100,1,0)</f>
        <v>0</v>
      </c>
    </row>
    <row r="103" spans="1:28" s="1" customFormat="1">
      <c r="A103" s="3">
        <v>45079</v>
      </c>
      <c r="B103" s="2" t="s">
        <v>15</v>
      </c>
      <c r="C103" s="1">
        <f>SUM(PL!E103:H103)</f>
        <v>0</v>
      </c>
      <c r="D103" s="1">
        <f>SUM(PL!I103:L103)</f>
        <v>0</v>
      </c>
      <c r="E103" s="1">
        <f>SUM(C103:D103)</f>
        <v>0</v>
      </c>
      <c r="F103" s="1">
        <f>IF(C103 + F102 &lt; 0, C103 + F102, 0)</f>
        <v>0</v>
      </c>
      <c r="G103" s="1">
        <f>IF(D103 + G102 &lt; 0, D103 + G102, 0)</f>
        <v>0</v>
      </c>
      <c r="H103" s="1">
        <f>IF(E103 + H102 &lt; 0, E103 + H102, 0)</f>
        <v>0</v>
      </c>
      <c r="I103" s="1">
        <f>IF(H103 &lt; 0, 1 + I102, 0)</f>
        <v>0</v>
      </c>
      <c r="J103" s="1">
        <f>C103-((ABS(SUM(PL!E103:H103)))*0.125)</f>
        <v>0</v>
      </c>
      <c r="K103" s="1">
        <f>D103-((ABS(SUM(PL!I103:L103)))*0.125)</f>
        <v>0</v>
      </c>
      <c r="L103" s="1">
        <f>J103 + K103</f>
        <v>0</v>
      </c>
      <c r="M103" s="1">
        <f>IF(J103 + M102 &lt; 0, J103 + M102, 0)</f>
        <v>0</v>
      </c>
      <c r="N103" s="1">
        <f>IF(K103 + N102 &lt; 0, K103 + N102, 0)</f>
        <v>0</v>
      </c>
      <c r="O103" s="1">
        <f>IF(L103 + O102 &lt; 0, L103 + O102, 0)</f>
        <v>0</v>
      </c>
      <c r="P103" s="1">
        <f>IF(O103 &lt; 0, 1 + P102, 0)</f>
        <v>0</v>
      </c>
      <c r="Q103" s="1">
        <f>IF(E103&lt;0,1,0)</f>
        <v>0</v>
      </c>
      <c r="R103" s="1">
        <f>IF(Q103=1,E103,0)</f>
        <v>0</v>
      </c>
      <c r="S103" s="1">
        <f>IF(E103&gt;0,1,0)</f>
        <v>0</v>
      </c>
      <c r="T103" s="1">
        <f>IF(S103=1,E103,0)</f>
        <v>0</v>
      </c>
      <c r="U103" s="1">
        <f>IF(R103&lt;-100000000/100,1,0)</f>
        <v>0</v>
      </c>
      <c r="V103" s="1">
        <f>IF(T103&gt;100000000/100,1,0)</f>
        <v>0</v>
      </c>
      <c r="W103" s="1">
        <f>IF(L103&lt;0,1,0)</f>
        <v>0</v>
      </c>
      <c r="X103" s="1">
        <f>IF(W103=1,L103,0)</f>
        <v>0</v>
      </c>
      <c r="Y103" s="1">
        <f>IF(L103&gt;0,1,0)</f>
        <v>0</v>
      </c>
      <c r="Z103" s="1">
        <f>IF(Y103=1,L103,0)</f>
        <v>0</v>
      </c>
      <c r="AA103" s="1">
        <f>IF(X103&lt;-100000000/100,1,0)</f>
        <v>0</v>
      </c>
      <c r="AB103" s="1">
        <f>IF(Z103&gt;100000000/100,1,0)</f>
        <v>0</v>
      </c>
    </row>
    <row r="104" spans="1:28" s="1" customFormat="1">
      <c r="A104" s="3">
        <v>45082</v>
      </c>
      <c r="B104" s="2" t="s">
        <v>12</v>
      </c>
      <c r="C104" s="1">
        <f>SUM(PL!E104:H104)</f>
        <v>0</v>
      </c>
      <c r="D104" s="1">
        <f>SUM(PL!I104:L104)</f>
        <v>0</v>
      </c>
      <c r="E104" s="1">
        <f>SUM(C104:D104)</f>
        <v>0</v>
      </c>
      <c r="F104" s="1">
        <f>IF(C104 + F103 &lt; 0, C104 + F103, 0)</f>
        <v>0</v>
      </c>
      <c r="G104" s="1">
        <f>IF(D104 + G103 &lt; 0, D104 + G103, 0)</f>
        <v>0</v>
      </c>
      <c r="H104" s="1">
        <f>IF(E104 + H103 &lt; 0, E104 + H103, 0)</f>
        <v>0</v>
      </c>
      <c r="I104" s="1">
        <f>IF(H104 &lt; 0, 1 + I103, 0)</f>
        <v>0</v>
      </c>
      <c r="J104" s="1">
        <f>C104-((ABS(SUM(PL!E104:H104)))*0.125)</f>
        <v>0</v>
      </c>
      <c r="K104" s="1">
        <f>D104-((ABS(SUM(PL!I104:L104)))*0.125)</f>
        <v>0</v>
      </c>
      <c r="L104" s="1">
        <f>J104 + K104</f>
        <v>0</v>
      </c>
      <c r="M104" s="1">
        <f>IF(J104 + M103 &lt; 0, J104 + M103, 0)</f>
        <v>0</v>
      </c>
      <c r="N104" s="1">
        <f>IF(K104 + N103 &lt; 0, K104 + N103, 0)</f>
        <v>0</v>
      </c>
      <c r="O104" s="1">
        <f>IF(L104 + O103 &lt; 0, L104 + O103, 0)</f>
        <v>0</v>
      </c>
      <c r="P104" s="1">
        <f>IF(O104 &lt; 0, 1 + P103, 0)</f>
        <v>0</v>
      </c>
      <c r="Q104" s="1">
        <f>IF(E104&lt;0,1,0)</f>
        <v>0</v>
      </c>
      <c r="R104" s="1">
        <f>IF(Q104=1,E104,0)</f>
        <v>0</v>
      </c>
      <c r="S104" s="1">
        <f>IF(E104&gt;0,1,0)</f>
        <v>0</v>
      </c>
      <c r="T104" s="1">
        <f>IF(S104=1,E104,0)</f>
        <v>0</v>
      </c>
      <c r="U104" s="1">
        <f>IF(R104&lt;-100000000/100,1,0)</f>
        <v>0</v>
      </c>
      <c r="V104" s="1">
        <f>IF(T104&gt;100000000/100,1,0)</f>
        <v>0</v>
      </c>
      <c r="W104" s="1">
        <f>IF(L104&lt;0,1,0)</f>
        <v>0</v>
      </c>
      <c r="X104" s="1">
        <f>IF(W104=1,L104,0)</f>
        <v>0</v>
      </c>
      <c r="Y104" s="1">
        <f>IF(L104&gt;0,1,0)</f>
        <v>0</v>
      </c>
      <c r="Z104" s="1">
        <f>IF(Y104=1,L104,0)</f>
        <v>0</v>
      </c>
      <c r="AA104" s="1">
        <f>IF(X104&lt;-100000000/100,1,0)</f>
        <v>0</v>
      </c>
      <c r="AB104" s="1">
        <f>IF(Z104&gt;100000000/100,1,0)</f>
        <v>0</v>
      </c>
    </row>
    <row r="105" spans="1:28" s="1" customFormat="1">
      <c r="A105" s="3">
        <v>45083</v>
      </c>
      <c r="B105" s="2" t="s">
        <v>13</v>
      </c>
      <c r="C105" s="1">
        <f>SUM(PL!E105:H105)</f>
        <v>0</v>
      </c>
      <c r="D105" s="1">
        <f>SUM(PL!I105:L105)</f>
        <v>0</v>
      </c>
      <c r="E105" s="1">
        <f>SUM(C105:D105)</f>
        <v>0</v>
      </c>
      <c r="F105" s="1">
        <f>IF(C105 + F104 &lt; 0, C105 + F104, 0)</f>
        <v>0</v>
      </c>
      <c r="G105" s="1">
        <f>IF(D105 + G104 &lt; 0, D105 + G104, 0)</f>
        <v>0</v>
      </c>
      <c r="H105" s="1">
        <f>IF(E105 + H104 &lt; 0, E105 + H104, 0)</f>
        <v>0</v>
      </c>
      <c r="I105" s="1">
        <f>IF(H105 &lt; 0, 1 + I104, 0)</f>
        <v>0</v>
      </c>
      <c r="J105" s="1">
        <f>C105-((ABS(SUM(PL!E105:H105)))*0.125)</f>
        <v>0</v>
      </c>
      <c r="K105" s="1">
        <f>D105-((ABS(SUM(PL!I105:L105)))*0.125)</f>
        <v>0</v>
      </c>
      <c r="L105" s="1">
        <f>J105 + K105</f>
        <v>0</v>
      </c>
      <c r="M105" s="1">
        <f>IF(J105 + M104 &lt; 0, J105 + M104, 0)</f>
        <v>0</v>
      </c>
      <c r="N105" s="1">
        <f>IF(K105 + N104 &lt; 0, K105 + N104, 0)</f>
        <v>0</v>
      </c>
      <c r="O105" s="1">
        <f>IF(L105 + O104 &lt; 0, L105 + O104, 0)</f>
        <v>0</v>
      </c>
      <c r="P105" s="1">
        <f>IF(O105 &lt; 0, 1 + P104, 0)</f>
        <v>0</v>
      </c>
      <c r="Q105" s="1">
        <f>IF(E105&lt;0,1,0)</f>
        <v>0</v>
      </c>
      <c r="R105" s="1">
        <f>IF(Q105=1,E105,0)</f>
        <v>0</v>
      </c>
      <c r="S105" s="1">
        <f>IF(E105&gt;0,1,0)</f>
        <v>0</v>
      </c>
      <c r="T105" s="1">
        <f>IF(S105=1,E105,0)</f>
        <v>0</v>
      </c>
      <c r="U105" s="1">
        <f>IF(R105&lt;-100000000/100,1,0)</f>
        <v>0</v>
      </c>
      <c r="V105" s="1">
        <f>IF(T105&gt;100000000/100,1,0)</f>
        <v>0</v>
      </c>
      <c r="W105" s="1">
        <f>IF(L105&lt;0,1,0)</f>
        <v>0</v>
      </c>
      <c r="X105" s="1">
        <f>IF(W105=1,L105,0)</f>
        <v>0</v>
      </c>
      <c r="Y105" s="1">
        <f>IF(L105&gt;0,1,0)</f>
        <v>0</v>
      </c>
      <c r="Z105" s="1">
        <f>IF(Y105=1,L105,0)</f>
        <v>0</v>
      </c>
      <c r="AA105" s="1">
        <f>IF(X105&lt;-100000000/100,1,0)</f>
        <v>0</v>
      </c>
      <c r="AB105" s="1">
        <f>IF(Z105&gt;100000000/100,1,0)</f>
        <v>0</v>
      </c>
    </row>
    <row r="106" spans="1:28" s="1" customFormat="1">
      <c r="A106" s="3">
        <v>45084</v>
      </c>
      <c r="B106" s="2" t="s">
        <v>14</v>
      </c>
      <c r="C106" s="1">
        <f>SUM(PL!E106:H106)</f>
        <v>0</v>
      </c>
      <c r="D106" s="1">
        <f>SUM(PL!I106:L106)</f>
        <v>0</v>
      </c>
      <c r="E106" s="1">
        <f>SUM(C106:D106)</f>
        <v>0</v>
      </c>
      <c r="F106" s="1">
        <f>IF(C106 + F105 &lt; 0, C106 + F105, 0)</f>
        <v>0</v>
      </c>
      <c r="G106" s="1">
        <f>IF(D106 + G105 &lt; 0, D106 + G105, 0)</f>
        <v>0</v>
      </c>
      <c r="H106" s="1">
        <f>IF(E106 + H105 &lt; 0, E106 + H105, 0)</f>
        <v>0</v>
      </c>
      <c r="I106" s="1">
        <f>IF(H106 &lt; 0, 1 + I105, 0)</f>
        <v>0</v>
      </c>
      <c r="J106" s="1">
        <f>C106-((ABS(SUM(PL!E106:H106)))*0.125)</f>
        <v>0</v>
      </c>
      <c r="K106" s="1">
        <f>D106-((ABS(SUM(PL!I106:L106)))*0.125)</f>
        <v>0</v>
      </c>
      <c r="L106" s="1">
        <f>J106 + K106</f>
        <v>0</v>
      </c>
      <c r="M106" s="1">
        <f>IF(J106 + M105 &lt; 0, J106 + M105, 0)</f>
        <v>0</v>
      </c>
      <c r="N106" s="1">
        <f>IF(K106 + N105 &lt; 0, K106 + N105, 0)</f>
        <v>0</v>
      </c>
      <c r="O106" s="1">
        <f>IF(L106 + O105 &lt; 0, L106 + O105, 0)</f>
        <v>0</v>
      </c>
      <c r="P106" s="1">
        <f>IF(O106 &lt; 0, 1 + P105, 0)</f>
        <v>0</v>
      </c>
      <c r="Q106" s="1">
        <f>IF(E106&lt;0,1,0)</f>
        <v>0</v>
      </c>
      <c r="R106" s="1">
        <f>IF(Q106=1,E106,0)</f>
        <v>0</v>
      </c>
      <c r="S106" s="1">
        <f>IF(E106&gt;0,1,0)</f>
        <v>0</v>
      </c>
      <c r="T106" s="1">
        <f>IF(S106=1,E106,0)</f>
        <v>0</v>
      </c>
      <c r="U106" s="1">
        <f>IF(R106&lt;-100000000/100,1,0)</f>
        <v>0</v>
      </c>
      <c r="V106" s="1">
        <f>IF(T106&gt;100000000/100,1,0)</f>
        <v>0</v>
      </c>
      <c r="W106" s="1">
        <f>IF(L106&lt;0,1,0)</f>
        <v>0</v>
      </c>
      <c r="X106" s="1">
        <f>IF(W106=1,L106,0)</f>
        <v>0</v>
      </c>
      <c r="Y106" s="1">
        <f>IF(L106&gt;0,1,0)</f>
        <v>0</v>
      </c>
      <c r="Z106" s="1">
        <f>IF(Y106=1,L106,0)</f>
        <v>0</v>
      </c>
      <c r="AA106" s="1">
        <f>IF(X106&lt;-100000000/100,1,0)</f>
        <v>0</v>
      </c>
      <c r="AB106" s="1">
        <f>IF(Z106&gt;100000000/100,1,0)</f>
        <v>0</v>
      </c>
    </row>
    <row r="107" spans="1:28" s="1" customFormat="1">
      <c r="A107" s="3">
        <v>45085</v>
      </c>
      <c r="B107" s="2" t="s">
        <v>16</v>
      </c>
      <c r="C107" s="1">
        <f>SUM(PL!E107:H107)</f>
        <v>0</v>
      </c>
      <c r="D107" s="1">
        <f>SUM(PL!I107:L107)</f>
        <v>0</v>
      </c>
      <c r="E107" s="1">
        <f>SUM(C107:D107)</f>
        <v>0</v>
      </c>
      <c r="F107" s="1">
        <f>IF(C107 + F106 &lt; 0, C107 + F106, 0)</f>
        <v>0</v>
      </c>
      <c r="G107" s="1">
        <f>IF(D107 + G106 &lt; 0, D107 + G106, 0)</f>
        <v>0</v>
      </c>
      <c r="H107" s="1">
        <f>IF(E107 + H106 &lt; 0, E107 + H106, 0)</f>
        <v>0</v>
      </c>
      <c r="I107" s="1">
        <f>IF(H107 &lt; 0, 1 + I106, 0)</f>
        <v>0</v>
      </c>
      <c r="J107" s="1">
        <f>C107-((ABS(SUM(PL!E107:H107)))*0.125)</f>
        <v>0</v>
      </c>
      <c r="K107" s="1">
        <f>D107-((ABS(SUM(PL!I107:L107)))*0.125)</f>
        <v>0</v>
      </c>
      <c r="L107" s="1">
        <f>J107 + K107</f>
        <v>0</v>
      </c>
      <c r="M107" s="1">
        <f>IF(J107 + M106 &lt; 0, J107 + M106, 0)</f>
        <v>0</v>
      </c>
      <c r="N107" s="1">
        <f>IF(K107 + N106 &lt; 0, K107 + N106, 0)</f>
        <v>0</v>
      </c>
      <c r="O107" s="1">
        <f>IF(L107 + O106 &lt; 0, L107 + O106, 0)</f>
        <v>0</v>
      </c>
      <c r="P107" s="1">
        <f>IF(O107 &lt; 0, 1 + P106, 0)</f>
        <v>0</v>
      </c>
      <c r="Q107" s="1">
        <f>IF(E107&lt;0,1,0)</f>
        <v>0</v>
      </c>
      <c r="R107" s="1">
        <f>IF(Q107=1,E107,0)</f>
        <v>0</v>
      </c>
      <c r="S107" s="1">
        <f>IF(E107&gt;0,1,0)</f>
        <v>0</v>
      </c>
      <c r="T107" s="1">
        <f>IF(S107=1,E107,0)</f>
        <v>0</v>
      </c>
      <c r="U107" s="1">
        <f>IF(R107&lt;-100000000/100,1,0)</f>
        <v>0</v>
      </c>
      <c r="V107" s="1">
        <f>IF(T107&gt;100000000/100,1,0)</f>
        <v>0</v>
      </c>
      <c r="W107" s="1">
        <f>IF(L107&lt;0,1,0)</f>
        <v>0</v>
      </c>
      <c r="X107" s="1">
        <f>IF(W107=1,L107,0)</f>
        <v>0</v>
      </c>
      <c r="Y107" s="1">
        <f>IF(L107&gt;0,1,0)</f>
        <v>0</v>
      </c>
      <c r="Z107" s="1">
        <f>IF(Y107=1,L107,0)</f>
        <v>0</v>
      </c>
      <c r="AA107" s="1">
        <f>IF(X107&lt;-100000000/100,1,0)</f>
        <v>0</v>
      </c>
      <c r="AB107" s="1">
        <f>IF(Z107&gt;100000000/100,1,0)</f>
        <v>0</v>
      </c>
    </row>
    <row r="108" spans="1:28" s="1" customFormat="1">
      <c r="A108" s="3">
        <v>45086</v>
      </c>
      <c r="B108" s="2" t="s">
        <v>15</v>
      </c>
      <c r="C108" s="1">
        <f>SUM(PL!E108:H108)</f>
        <v>0</v>
      </c>
      <c r="D108" s="1">
        <f>SUM(PL!I108:L108)</f>
        <v>0</v>
      </c>
      <c r="E108" s="1">
        <f>SUM(C108:D108)</f>
        <v>0</v>
      </c>
      <c r="F108" s="1">
        <f>IF(C108 + F107 &lt; 0, C108 + F107, 0)</f>
        <v>0</v>
      </c>
      <c r="G108" s="1">
        <f>IF(D108 + G107 &lt; 0, D108 + G107, 0)</f>
        <v>0</v>
      </c>
      <c r="H108" s="1">
        <f>IF(E108 + H107 &lt; 0, E108 + H107, 0)</f>
        <v>0</v>
      </c>
      <c r="I108" s="1">
        <f>IF(H108 &lt; 0, 1 + I107, 0)</f>
        <v>0</v>
      </c>
      <c r="J108" s="1">
        <f>C108-((ABS(SUM(PL!E108:H108)))*0.125)</f>
        <v>0</v>
      </c>
      <c r="K108" s="1">
        <f>D108-((ABS(SUM(PL!I108:L108)))*0.125)</f>
        <v>0</v>
      </c>
      <c r="L108" s="1">
        <f>J108 + K108</f>
        <v>0</v>
      </c>
      <c r="M108" s="1">
        <f>IF(J108 + M107 &lt; 0, J108 + M107, 0)</f>
        <v>0</v>
      </c>
      <c r="N108" s="1">
        <f>IF(K108 + N107 &lt; 0, K108 + N107, 0)</f>
        <v>0</v>
      </c>
      <c r="O108" s="1">
        <f>IF(L108 + O107 &lt; 0, L108 + O107, 0)</f>
        <v>0</v>
      </c>
      <c r="P108" s="1">
        <f>IF(O108 &lt; 0, 1 + P107, 0)</f>
        <v>0</v>
      </c>
      <c r="Q108" s="1">
        <f>IF(E108&lt;0,1,0)</f>
        <v>0</v>
      </c>
      <c r="R108" s="1">
        <f>IF(Q108=1,E108,0)</f>
        <v>0</v>
      </c>
      <c r="S108" s="1">
        <f>IF(E108&gt;0,1,0)</f>
        <v>0</v>
      </c>
      <c r="T108" s="1">
        <f>IF(S108=1,E108,0)</f>
        <v>0</v>
      </c>
      <c r="U108" s="1">
        <f>IF(R108&lt;-100000000/100,1,0)</f>
        <v>0</v>
      </c>
      <c r="V108" s="1">
        <f>IF(T108&gt;100000000/100,1,0)</f>
        <v>0</v>
      </c>
      <c r="W108" s="1">
        <f>IF(L108&lt;0,1,0)</f>
        <v>0</v>
      </c>
      <c r="X108" s="1">
        <f>IF(W108=1,L108,0)</f>
        <v>0</v>
      </c>
      <c r="Y108" s="1">
        <f>IF(L108&gt;0,1,0)</f>
        <v>0</v>
      </c>
      <c r="Z108" s="1">
        <f>IF(Y108=1,L108,0)</f>
        <v>0</v>
      </c>
      <c r="AA108" s="1">
        <f>IF(X108&lt;-100000000/100,1,0)</f>
        <v>0</v>
      </c>
      <c r="AB108" s="1">
        <f>IF(Z108&gt;100000000/100,1,0)</f>
        <v>0</v>
      </c>
    </row>
    <row r="109" spans="1:28" s="1" customFormat="1">
      <c r="A109" s="3">
        <v>45089</v>
      </c>
      <c r="B109" s="2" t="s">
        <v>12</v>
      </c>
      <c r="C109" s="1">
        <f>SUM(PL!E109:H109)</f>
        <v>0</v>
      </c>
      <c r="D109" s="1">
        <f>SUM(PL!I109:L109)</f>
        <v>0</v>
      </c>
      <c r="E109" s="1">
        <f>SUM(C109:D109)</f>
        <v>0</v>
      </c>
      <c r="F109" s="1">
        <f>IF(C109 + F108 &lt; 0, C109 + F108, 0)</f>
        <v>0</v>
      </c>
      <c r="G109" s="1">
        <f>IF(D109 + G108 &lt; 0, D109 + G108, 0)</f>
        <v>0</v>
      </c>
      <c r="H109" s="1">
        <f>IF(E109 + H108 &lt; 0, E109 + H108, 0)</f>
        <v>0</v>
      </c>
      <c r="I109" s="1">
        <f>IF(H109 &lt; 0, 1 + I108, 0)</f>
        <v>0</v>
      </c>
      <c r="J109" s="1">
        <f>C109-((ABS(SUM(PL!E109:H109)))*0.125)</f>
        <v>0</v>
      </c>
      <c r="K109" s="1">
        <f>D109-((ABS(SUM(PL!I109:L109)))*0.125)</f>
        <v>0</v>
      </c>
      <c r="L109" s="1">
        <f>J109 + K109</f>
        <v>0</v>
      </c>
      <c r="M109" s="1">
        <f>IF(J109 + M108 &lt; 0, J109 + M108, 0)</f>
        <v>0</v>
      </c>
      <c r="N109" s="1">
        <f>IF(K109 + N108 &lt; 0, K109 + N108, 0)</f>
        <v>0</v>
      </c>
      <c r="O109" s="1">
        <f>IF(L109 + O108 &lt; 0, L109 + O108, 0)</f>
        <v>0</v>
      </c>
      <c r="P109" s="1">
        <f>IF(O109 &lt; 0, 1 + P108, 0)</f>
        <v>0</v>
      </c>
      <c r="Q109" s="1">
        <f>IF(E109&lt;0,1,0)</f>
        <v>0</v>
      </c>
      <c r="R109" s="1">
        <f>IF(Q109=1,E109,0)</f>
        <v>0</v>
      </c>
      <c r="S109" s="1">
        <f>IF(E109&gt;0,1,0)</f>
        <v>0</v>
      </c>
      <c r="T109" s="1">
        <f>IF(S109=1,E109,0)</f>
        <v>0</v>
      </c>
      <c r="U109" s="1">
        <f>IF(R109&lt;-100000000/100,1,0)</f>
        <v>0</v>
      </c>
      <c r="V109" s="1">
        <f>IF(T109&gt;100000000/100,1,0)</f>
        <v>0</v>
      </c>
      <c r="W109" s="1">
        <f>IF(L109&lt;0,1,0)</f>
        <v>0</v>
      </c>
      <c r="X109" s="1">
        <f>IF(W109=1,L109,0)</f>
        <v>0</v>
      </c>
      <c r="Y109" s="1">
        <f>IF(L109&gt;0,1,0)</f>
        <v>0</v>
      </c>
      <c r="Z109" s="1">
        <f>IF(Y109=1,L109,0)</f>
        <v>0</v>
      </c>
      <c r="AA109" s="1">
        <f>IF(X109&lt;-100000000/100,1,0)</f>
        <v>0</v>
      </c>
      <c r="AB109" s="1">
        <f>IF(Z109&gt;100000000/100,1,0)</f>
        <v>0</v>
      </c>
    </row>
    <row r="110" spans="1:28" s="1" customFormat="1">
      <c r="A110" s="3">
        <v>45090</v>
      </c>
      <c r="B110" s="2" t="s">
        <v>13</v>
      </c>
      <c r="C110" s="1">
        <f>SUM(PL!E110:H110)</f>
        <v>0</v>
      </c>
      <c r="D110" s="1">
        <f>SUM(PL!I110:L110)</f>
        <v>0</v>
      </c>
      <c r="E110" s="1">
        <f>SUM(C110:D110)</f>
        <v>0</v>
      </c>
      <c r="F110" s="1">
        <f>IF(C110 + F109 &lt; 0, C110 + F109, 0)</f>
        <v>0</v>
      </c>
      <c r="G110" s="1">
        <f>IF(D110 + G109 &lt; 0, D110 + G109, 0)</f>
        <v>0</v>
      </c>
      <c r="H110" s="1">
        <f>IF(E110 + H109 &lt; 0, E110 + H109, 0)</f>
        <v>0</v>
      </c>
      <c r="I110" s="1">
        <f>IF(H110 &lt; 0, 1 + I109, 0)</f>
        <v>0</v>
      </c>
      <c r="J110" s="1">
        <f>C110-((ABS(SUM(PL!E110:H110)))*0.125)</f>
        <v>0</v>
      </c>
      <c r="K110" s="1">
        <f>D110-((ABS(SUM(PL!I110:L110)))*0.125)</f>
        <v>0</v>
      </c>
      <c r="L110" s="1">
        <f>J110 + K110</f>
        <v>0</v>
      </c>
      <c r="M110" s="1">
        <f>IF(J110 + M109 &lt; 0, J110 + M109, 0)</f>
        <v>0</v>
      </c>
      <c r="N110" s="1">
        <f>IF(K110 + N109 &lt; 0, K110 + N109, 0)</f>
        <v>0</v>
      </c>
      <c r="O110" s="1">
        <f>IF(L110 + O109 &lt; 0, L110 + O109, 0)</f>
        <v>0</v>
      </c>
      <c r="P110" s="1">
        <f>IF(O110 &lt; 0, 1 + P109, 0)</f>
        <v>0</v>
      </c>
      <c r="Q110" s="1">
        <f>IF(E110&lt;0,1,0)</f>
        <v>0</v>
      </c>
      <c r="R110" s="1">
        <f>IF(Q110=1,E110,0)</f>
        <v>0</v>
      </c>
      <c r="S110" s="1">
        <f>IF(E110&gt;0,1,0)</f>
        <v>0</v>
      </c>
      <c r="T110" s="1">
        <f>IF(S110=1,E110,0)</f>
        <v>0</v>
      </c>
      <c r="U110" s="1">
        <f>IF(R110&lt;-100000000/100,1,0)</f>
        <v>0</v>
      </c>
      <c r="V110" s="1">
        <f>IF(T110&gt;100000000/100,1,0)</f>
        <v>0</v>
      </c>
      <c r="W110" s="1">
        <f>IF(L110&lt;0,1,0)</f>
        <v>0</v>
      </c>
      <c r="X110" s="1">
        <f>IF(W110=1,L110,0)</f>
        <v>0</v>
      </c>
      <c r="Y110" s="1">
        <f>IF(L110&gt;0,1,0)</f>
        <v>0</v>
      </c>
      <c r="Z110" s="1">
        <f>IF(Y110=1,L110,0)</f>
        <v>0</v>
      </c>
      <c r="AA110" s="1">
        <f>IF(X110&lt;-100000000/100,1,0)</f>
        <v>0</v>
      </c>
      <c r="AB110" s="1">
        <f>IF(Z110&gt;100000000/100,1,0)</f>
        <v>0</v>
      </c>
    </row>
    <row r="111" spans="1:28" s="1" customFormat="1">
      <c r="A111" s="3">
        <v>45091</v>
      </c>
      <c r="B111" s="2" t="s">
        <v>14</v>
      </c>
      <c r="C111" s="1">
        <f>SUM(PL!E111:H111)</f>
        <v>0</v>
      </c>
      <c r="D111" s="1">
        <f>SUM(PL!I111:L111)</f>
        <v>0</v>
      </c>
      <c r="E111" s="1">
        <f>SUM(C111:D111)</f>
        <v>0</v>
      </c>
      <c r="F111" s="1">
        <f>IF(C111 + F110 &lt; 0, C111 + F110, 0)</f>
        <v>0</v>
      </c>
      <c r="G111" s="1">
        <f>IF(D111 + G110 &lt; 0, D111 + G110, 0)</f>
        <v>0</v>
      </c>
      <c r="H111" s="1">
        <f>IF(E111 + H110 &lt; 0, E111 + H110, 0)</f>
        <v>0</v>
      </c>
      <c r="I111" s="1">
        <f>IF(H111 &lt; 0, 1 + I110, 0)</f>
        <v>0</v>
      </c>
      <c r="J111" s="1">
        <f>C111-((ABS(SUM(PL!E111:H111)))*0.125)</f>
        <v>0</v>
      </c>
      <c r="K111" s="1">
        <f>D111-((ABS(SUM(PL!I111:L111)))*0.125)</f>
        <v>0</v>
      </c>
      <c r="L111" s="1">
        <f>J111 + K111</f>
        <v>0</v>
      </c>
      <c r="M111" s="1">
        <f>IF(J111 + M110 &lt; 0, J111 + M110, 0)</f>
        <v>0</v>
      </c>
      <c r="N111" s="1">
        <f>IF(K111 + N110 &lt; 0, K111 + N110, 0)</f>
        <v>0</v>
      </c>
      <c r="O111" s="1">
        <f>IF(L111 + O110 &lt; 0, L111 + O110, 0)</f>
        <v>0</v>
      </c>
      <c r="P111" s="1">
        <f>IF(O111 &lt; 0, 1 + P110, 0)</f>
        <v>0</v>
      </c>
      <c r="Q111" s="1">
        <f>IF(E111&lt;0,1,0)</f>
        <v>0</v>
      </c>
      <c r="R111" s="1">
        <f>IF(Q111=1,E111,0)</f>
        <v>0</v>
      </c>
      <c r="S111" s="1">
        <f>IF(E111&gt;0,1,0)</f>
        <v>0</v>
      </c>
      <c r="T111" s="1">
        <f>IF(S111=1,E111,0)</f>
        <v>0</v>
      </c>
      <c r="U111" s="1">
        <f>IF(R111&lt;-100000000/100,1,0)</f>
        <v>0</v>
      </c>
      <c r="V111" s="1">
        <f>IF(T111&gt;100000000/100,1,0)</f>
        <v>0</v>
      </c>
      <c r="W111" s="1">
        <f>IF(L111&lt;0,1,0)</f>
        <v>0</v>
      </c>
      <c r="X111" s="1">
        <f>IF(W111=1,L111,0)</f>
        <v>0</v>
      </c>
      <c r="Y111" s="1">
        <f>IF(L111&gt;0,1,0)</f>
        <v>0</v>
      </c>
      <c r="Z111" s="1">
        <f>IF(Y111=1,L111,0)</f>
        <v>0</v>
      </c>
      <c r="AA111" s="1">
        <f>IF(X111&lt;-100000000/100,1,0)</f>
        <v>0</v>
      </c>
      <c r="AB111" s="1">
        <f>IF(Z111&gt;100000000/100,1,0)</f>
        <v>0</v>
      </c>
    </row>
    <row r="112" spans="1:28" s="1" customFormat="1">
      <c r="A112" s="3">
        <v>45092</v>
      </c>
      <c r="B112" s="2" t="s">
        <v>16</v>
      </c>
      <c r="C112" s="1">
        <f>SUM(PL!E112:H112)</f>
        <v>0</v>
      </c>
      <c r="D112" s="1">
        <f>SUM(PL!I112:L112)</f>
        <v>0</v>
      </c>
      <c r="E112" s="1">
        <f>SUM(C112:D112)</f>
        <v>0</v>
      </c>
      <c r="F112" s="1">
        <f>IF(C112 + F111 &lt; 0, C112 + F111, 0)</f>
        <v>0</v>
      </c>
      <c r="G112" s="1">
        <f>IF(D112 + G111 &lt; 0, D112 + G111, 0)</f>
        <v>0</v>
      </c>
      <c r="H112" s="1">
        <f>IF(E112 + H111 &lt; 0, E112 + H111, 0)</f>
        <v>0</v>
      </c>
      <c r="I112" s="1">
        <f>IF(H112 &lt; 0, 1 + I111, 0)</f>
        <v>0</v>
      </c>
      <c r="J112" s="1">
        <f>C112-((ABS(SUM(PL!E112:H112)))*0.125)</f>
        <v>0</v>
      </c>
      <c r="K112" s="1">
        <f>D112-((ABS(SUM(PL!I112:L112)))*0.125)</f>
        <v>0</v>
      </c>
      <c r="L112" s="1">
        <f>J112 + K112</f>
        <v>0</v>
      </c>
      <c r="M112" s="1">
        <f>IF(J112 + M111 &lt; 0, J112 + M111, 0)</f>
        <v>0</v>
      </c>
      <c r="N112" s="1">
        <f>IF(K112 + N111 &lt; 0, K112 + N111, 0)</f>
        <v>0</v>
      </c>
      <c r="O112" s="1">
        <f>IF(L112 + O111 &lt; 0, L112 + O111, 0)</f>
        <v>0</v>
      </c>
      <c r="P112" s="1">
        <f>IF(O112 &lt; 0, 1 + P111, 0)</f>
        <v>0</v>
      </c>
      <c r="Q112" s="1">
        <f>IF(E112&lt;0,1,0)</f>
        <v>0</v>
      </c>
      <c r="R112" s="1">
        <f>IF(Q112=1,E112,0)</f>
        <v>0</v>
      </c>
      <c r="S112" s="1">
        <f>IF(E112&gt;0,1,0)</f>
        <v>0</v>
      </c>
      <c r="T112" s="1">
        <f>IF(S112=1,E112,0)</f>
        <v>0</v>
      </c>
      <c r="U112" s="1">
        <f>IF(R112&lt;-100000000/100,1,0)</f>
        <v>0</v>
      </c>
      <c r="V112" s="1">
        <f>IF(T112&gt;100000000/100,1,0)</f>
        <v>0</v>
      </c>
      <c r="W112" s="1">
        <f>IF(L112&lt;0,1,0)</f>
        <v>0</v>
      </c>
      <c r="X112" s="1">
        <f>IF(W112=1,L112,0)</f>
        <v>0</v>
      </c>
      <c r="Y112" s="1">
        <f>IF(L112&gt;0,1,0)</f>
        <v>0</v>
      </c>
      <c r="Z112" s="1">
        <f>IF(Y112=1,L112,0)</f>
        <v>0</v>
      </c>
      <c r="AA112" s="1">
        <f>IF(X112&lt;-100000000/100,1,0)</f>
        <v>0</v>
      </c>
      <c r="AB112" s="1">
        <f>IF(Z112&gt;100000000/100,1,0)</f>
        <v>0</v>
      </c>
    </row>
    <row r="113" spans="1:28" s="1" customFormat="1">
      <c r="A113" s="3">
        <v>45093</v>
      </c>
      <c r="B113" s="2" t="s">
        <v>15</v>
      </c>
      <c r="C113" s="1">
        <f>SUM(PL!E113:H113)</f>
        <v>0</v>
      </c>
      <c r="D113" s="1">
        <f>SUM(PL!I113:L113)</f>
        <v>0</v>
      </c>
      <c r="E113" s="1">
        <f>SUM(C113:D113)</f>
        <v>0</v>
      </c>
      <c r="F113" s="1">
        <f>IF(C113 + F112 &lt; 0, C113 + F112, 0)</f>
        <v>0</v>
      </c>
      <c r="G113" s="1">
        <f>IF(D113 + G112 &lt; 0, D113 + G112, 0)</f>
        <v>0</v>
      </c>
      <c r="H113" s="1">
        <f>IF(E113 + H112 &lt; 0, E113 + H112, 0)</f>
        <v>0</v>
      </c>
      <c r="I113" s="1">
        <f>IF(H113 &lt; 0, 1 + I112, 0)</f>
        <v>0</v>
      </c>
      <c r="J113" s="1">
        <f>C113-((ABS(SUM(PL!E113:H113)))*0.125)</f>
        <v>0</v>
      </c>
      <c r="K113" s="1">
        <f>D113-((ABS(SUM(PL!I113:L113)))*0.125)</f>
        <v>0</v>
      </c>
      <c r="L113" s="1">
        <f>J113 + K113</f>
        <v>0</v>
      </c>
      <c r="M113" s="1">
        <f>IF(J113 + M112 &lt; 0, J113 + M112, 0)</f>
        <v>0</v>
      </c>
      <c r="N113" s="1">
        <f>IF(K113 + N112 &lt; 0, K113 + N112, 0)</f>
        <v>0</v>
      </c>
      <c r="O113" s="1">
        <f>IF(L113 + O112 &lt; 0, L113 + O112, 0)</f>
        <v>0</v>
      </c>
      <c r="P113" s="1">
        <f>IF(O113 &lt; 0, 1 + P112, 0)</f>
        <v>0</v>
      </c>
      <c r="Q113" s="1">
        <f>IF(E113&lt;0,1,0)</f>
        <v>0</v>
      </c>
      <c r="R113" s="1">
        <f>IF(Q113=1,E113,0)</f>
        <v>0</v>
      </c>
      <c r="S113" s="1">
        <f>IF(E113&gt;0,1,0)</f>
        <v>0</v>
      </c>
      <c r="T113" s="1">
        <f>IF(S113=1,E113,0)</f>
        <v>0</v>
      </c>
      <c r="U113" s="1">
        <f>IF(R113&lt;-100000000/100,1,0)</f>
        <v>0</v>
      </c>
      <c r="V113" s="1">
        <f>IF(T113&gt;100000000/100,1,0)</f>
        <v>0</v>
      </c>
      <c r="W113" s="1">
        <f>IF(L113&lt;0,1,0)</f>
        <v>0</v>
      </c>
      <c r="X113" s="1">
        <f>IF(W113=1,L113,0)</f>
        <v>0</v>
      </c>
      <c r="Y113" s="1">
        <f>IF(L113&gt;0,1,0)</f>
        <v>0</v>
      </c>
      <c r="Z113" s="1">
        <f>IF(Y113=1,L113,0)</f>
        <v>0</v>
      </c>
      <c r="AA113" s="1">
        <f>IF(X113&lt;-100000000/100,1,0)</f>
        <v>0</v>
      </c>
      <c r="AB113" s="1">
        <f>IF(Z113&gt;100000000/100,1,0)</f>
        <v>0</v>
      </c>
    </row>
    <row r="114" spans="1:28" s="1" customFormat="1">
      <c r="A114" s="3">
        <v>45096</v>
      </c>
      <c r="B114" s="2" t="s">
        <v>12</v>
      </c>
      <c r="C114" s="1">
        <f>SUM(PL!E114:H114)</f>
        <v>0</v>
      </c>
      <c r="D114" s="1">
        <f>SUM(PL!I114:L114)</f>
        <v>0</v>
      </c>
      <c r="E114" s="1">
        <f>SUM(C114:D114)</f>
        <v>0</v>
      </c>
      <c r="F114" s="1">
        <f>IF(C114 + F113 &lt; 0, C114 + F113, 0)</f>
        <v>0</v>
      </c>
      <c r="G114" s="1">
        <f>IF(D114 + G113 &lt; 0, D114 + G113, 0)</f>
        <v>0</v>
      </c>
      <c r="H114" s="1">
        <f>IF(E114 + H113 &lt; 0, E114 + H113, 0)</f>
        <v>0</v>
      </c>
      <c r="I114" s="1">
        <f>IF(H114 &lt; 0, 1 + I113, 0)</f>
        <v>0</v>
      </c>
      <c r="J114" s="1">
        <f>C114-((ABS(SUM(PL!E114:H114)))*0.125)</f>
        <v>0</v>
      </c>
      <c r="K114" s="1">
        <f>D114-((ABS(SUM(PL!I114:L114)))*0.125)</f>
        <v>0</v>
      </c>
      <c r="L114" s="1">
        <f>J114 + K114</f>
        <v>0</v>
      </c>
      <c r="M114" s="1">
        <f>IF(J114 + M113 &lt; 0, J114 + M113, 0)</f>
        <v>0</v>
      </c>
      <c r="N114" s="1">
        <f>IF(K114 + N113 &lt; 0, K114 + N113, 0)</f>
        <v>0</v>
      </c>
      <c r="O114" s="1">
        <f>IF(L114 + O113 &lt; 0, L114 + O113, 0)</f>
        <v>0</v>
      </c>
      <c r="P114" s="1">
        <f>IF(O114 &lt; 0, 1 + P113, 0)</f>
        <v>0</v>
      </c>
      <c r="Q114" s="1">
        <f>IF(E114&lt;0,1,0)</f>
        <v>0</v>
      </c>
      <c r="R114" s="1">
        <f>IF(Q114=1,E114,0)</f>
        <v>0</v>
      </c>
      <c r="S114" s="1">
        <f>IF(E114&gt;0,1,0)</f>
        <v>0</v>
      </c>
      <c r="T114" s="1">
        <f>IF(S114=1,E114,0)</f>
        <v>0</v>
      </c>
      <c r="U114" s="1">
        <f>IF(R114&lt;-100000000/100,1,0)</f>
        <v>0</v>
      </c>
      <c r="V114" s="1">
        <f>IF(T114&gt;100000000/100,1,0)</f>
        <v>0</v>
      </c>
      <c r="W114" s="1">
        <f>IF(L114&lt;0,1,0)</f>
        <v>0</v>
      </c>
      <c r="X114" s="1">
        <f>IF(W114=1,L114,0)</f>
        <v>0</v>
      </c>
      <c r="Y114" s="1">
        <f>IF(L114&gt;0,1,0)</f>
        <v>0</v>
      </c>
      <c r="Z114" s="1">
        <f>IF(Y114=1,L114,0)</f>
        <v>0</v>
      </c>
      <c r="AA114" s="1">
        <f>IF(X114&lt;-100000000/100,1,0)</f>
        <v>0</v>
      </c>
      <c r="AB114" s="1">
        <f>IF(Z114&gt;100000000/100,1,0)</f>
        <v>0</v>
      </c>
    </row>
    <row r="115" spans="1:28" s="1" customFormat="1">
      <c r="A115" s="3">
        <v>45097</v>
      </c>
      <c r="B115" s="2" t="s">
        <v>13</v>
      </c>
      <c r="C115" s="1">
        <f>SUM(PL!E115:H115)</f>
        <v>0</v>
      </c>
      <c r="D115" s="1">
        <f>SUM(PL!I115:L115)</f>
        <v>0</v>
      </c>
      <c r="E115" s="1">
        <f>SUM(C115:D115)</f>
        <v>0</v>
      </c>
      <c r="F115" s="1">
        <f>IF(C115 + F114 &lt; 0, C115 + F114, 0)</f>
        <v>0</v>
      </c>
      <c r="G115" s="1">
        <f>IF(D115 + G114 &lt; 0, D115 + G114, 0)</f>
        <v>0</v>
      </c>
      <c r="H115" s="1">
        <f>IF(E115 + H114 &lt; 0, E115 + H114, 0)</f>
        <v>0</v>
      </c>
      <c r="I115" s="1">
        <f>IF(H115 &lt; 0, 1 + I114, 0)</f>
        <v>0</v>
      </c>
      <c r="J115" s="1">
        <f>C115-((ABS(SUM(PL!E115:H115)))*0.125)</f>
        <v>0</v>
      </c>
      <c r="K115" s="1">
        <f>D115-((ABS(SUM(PL!I115:L115)))*0.125)</f>
        <v>0</v>
      </c>
      <c r="L115" s="1">
        <f>J115 + K115</f>
        <v>0</v>
      </c>
      <c r="M115" s="1">
        <f>IF(J115 + M114 &lt; 0, J115 + M114, 0)</f>
        <v>0</v>
      </c>
      <c r="N115" s="1">
        <f>IF(K115 + N114 &lt; 0, K115 + N114, 0)</f>
        <v>0</v>
      </c>
      <c r="O115" s="1">
        <f>IF(L115 + O114 &lt; 0, L115 + O114, 0)</f>
        <v>0</v>
      </c>
      <c r="P115" s="1">
        <f>IF(O115 &lt; 0, 1 + P114, 0)</f>
        <v>0</v>
      </c>
      <c r="Q115" s="1">
        <f>IF(E115&lt;0,1,0)</f>
        <v>0</v>
      </c>
      <c r="R115" s="1">
        <f>IF(Q115=1,E115,0)</f>
        <v>0</v>
      </c>
      <c r="S115" s="1">
        <f>IF(E115&gt;0,1,0)</f>
        <v>0</v>
      </c>
      <c r="T115" s="1">
        <f>IF(S115=1,E115,0)</f>
        <v>0</v>
      </c>
      <c r="U115" s="1">
        <f>IF(R115&lt;-100000000/100,1,0)</f>
        <v>0</v>
      </c>
      <c r="V115" s="1">
        <f>IF(T115&gt;100000000/100,1,0)</f>
        <v>0</v>
      </c>
      <c r="W115" s="1">
        <f>IF(L115&lt;0,1,0)</f>
        <v>0</v>
      </c>
      <c r="X115" s="1">
        <f>IF(W115=1,L115,0)</f>
        <v>0</v>
      </c>
      <c r="Y115" s="1">
        <f>IF(L115&gt;0,1,0)</f>
        <v>0</v>
      </c>
      <c r="Z115" s="1">
        <f>IF(Y115=1,L115,0)</f>
        <v>0</v>
      </c>
      <c r="AA115" s="1">
        <f>IF(X115&lt;-100000000/100,1,0)</f>
        <v>0</v>
      </c>
      <c r="AB115" s="1">
        <f>IF(Z115&gt;100000000/100,1,0)</f>
        <v>0</v>
      </c>
    </row>
    <row r="116" spans="1:28" s="1" customFormat="1">
      <c r="A116" s="3">
        <v>45098</v>
      </c>
      <c r="B116" s="2" t="s">
        <v>14</v>
      </c>
      <c r="C116" s="1">
        <f>SUM(PL!E116:H116)</f>
        <v>0</v>
      </c>
      <c r="D116" s="1">
        <f>SUM(PL!I116:L116)</f>
        <v>0</v>
      </c>
      <c r="E116" s="1">
        <f>SUM(C116:D116)</f>
        <v>0</v>
      </c>
      <c r="F116" s="1">
        <f>IF(C116 + F115 &lt; 0, C116 + F115, 0)</f>
        <v>0</v>
      </c>
      <c r="G116" s="1">
        <f>IF(D116 + G115 &lt; 0, D116 + G115, 0)</f>
        <v>0</v>
      </c>
      <c r="H116" s="1">
        <f>IF(E116 + H115 &lt; 0, E116 + H115, 0)</f>
        <v>0</v>
      </c>
      <c r="I116" s="1">
        <f>IF(H116 &lt; 0, 1 + I115, 0)</f>
        <v>0</v>
      </c>
      <c r="J116" s="1">
        <f>C116-((ABS(SUM(PL!E116:H116)))*0.125)</f>
        <v>0</v>
      </c>
      <c r="K116" s="1">
        <f>D116-((ABS(SUM(PL!I116:L116)))*0.125)</f>
        <v>0</v>
      </c>
      <c r="L116" s="1">
        <f>J116 + K116</f>
        <v>0</v>
      </c>
      <c r="M116" s="1">
        <f>IF(J116 + M115 &lt; 0, J116 + M115, 0)</f>
        <v>0</v>
      </c>
      <c r="N116" s="1">
        <f>IF(K116 + N115 &lt; 0, K116 + N115, 0)</f>
        <v>0</v>
      </c>
      <c r="O116" s="1">
        <f>IF(L116 + O115 &lt; 0, L116 + O115, 0)</f>
        <v>0</v>
      </c>
      <c r="P116" s="1">
        <f>IF(O116 &lt; 0, 1 + P115, 0)</f>
        <v>0</v>
      </c>
      <c r="Q116" s="1">
        <f>IF(E116&lt;0,1,0)</f>
        <v>0</v>
      </c>
      <c r="R116" s="1">
        <f>IF(Q116=1,E116,0)</f>
        <v>0</v>
      </c>
      <c r="S116" s="1">
        <f>IF(E116&gt;0,1,0)</f>
        <v>0</v>
      </c>
      <c r="T116" s="1">
        <f>IF(S116=1,E116,0)</f>
        <v>0</v>
      </c>
      <c r="U116" s="1">
        <f>IF(R116&lt;-100000000/100,1,0)</f>
        <v>0</v>
      </c>
      <c r="V116" s="1">
        <f>IF(T116&gt;100000000/100,1,0)</f>
        <v>0</v>
      </c>
      <c r="W116" s="1">
        <f>IF(L116&lt;0,1,0)</f>
        <v>0</v>
      </c>
      <c r="X116" s="1">
        <f>IF(W116=1,L116,0)</f>
        <v>0</v>
      </c>
      <c r="Y116" s="1">
        <f>IF(L116&gt;0,1,0)</f>
        <v>0</v>
      </c>
      <c r="Z116" s="1">
        <f>IF(Y116=1,L116,0)</f>
        <v>0</v>
      </c>
      <c r="AA116" s="1">
        <f>IF(X116&lt;-100000000/100,1,0)</f>
        <v>0</v>
      </c>
      <c r="AB116" s="1">
        <f>IF(Z116&gt;100000000/100,1,0)</f>
        <v>0</v>
      </c>
    </row>
    <row r="117" spans="1:28" s="1" customFormat="1">
      <c r="A117" s="3">
        <v>45099</v>
      </c>
      <c r="B117" s="2" t="s">
        <v>16</v>
      </c>
      <c r="C117" s="1">
        <f>SUM(PL!E117:H117)</f>
        <v>0</v>
      </c>
      <c r="D117" s="1">
        <f>SUM(PL!I117:L117)</f>
        <v>0</v>
      </c>
      <c r="E117" s="1">
        <f>SUM(C117:D117)</f>
        <v>0</v>
      </c>
      <c r="F117" s="1">
        <f>IF(C117 + F116 &lt; 0, C117 + F116, 0)</f>
        <v>0</v>
      </c>
      <c r="G117" s="1">
        <f>IF(D117 + G116 &lt; 0, D117 + G116, 0)</f>
        <v>0</v>
      </c>
      <c r="H117" s="1">
        <f>IF(E117 + H116 &lt; 0, E117 + H116, 0)</f>
        <v>0</v>
      </c>
      <c r="I117" s="1">
        <f>IF(H117 &lt; 0, 1 + I116, 0)</f>
        <v>0</v>
      </c>
      <c r="J117" s="1">
        <f>C117-((ABS(SUM(PL!E117:H117)))*0.125)</f>
        <v>0</v>
      </c>
      <c r="K117" s="1">
        <f>D117-((ABS(SUM(PL!I117:L117)))*0.125)</f>
        <v>0</v>
      </c>
      <c r="L117" s="1">
        <f>J117 + K117</f>
        <v>0</v>
      </c>
      <c r="M117" s="1">
        <f>IF(J117 + M116 &lt; 0, J117 + M116, 0)</f>
        <v>0</v>
      </c>
      <c r="N117" s="1">
        <f>IF(K117 + N116 &lt; 0, K117 + N116, 0)</f>
        <v>0</v>
      </c>
      <c r="O117" s="1">
        <f>IF(L117 + O116 &lt; 0, L117 + O116, 0)</f>
        <v>0</v>
      </c>
      <c r="P117" s="1">
        <f>IF(O117 &lt; 0, 1 + P116, 0)</f>
        <v>0</v>
      </c>
      <c r="Q117" s="1">
        <f>IF(E117&lt;0,1,0)</f>
        <v>0</v>
      </c>
      <c r="R117" s="1">
        <f>IF(Q117=1,E117,0)</f>
        <v>0</v>
      </c>
      <c r="S117" s="1">
        <f>IF(E117&gt;0,1,0)</f>
        <v>0</v>
      </c>
      <c r="T117" s="1">
        <f>IF(S117=1,E117,0)</f>
        <v>0</v>
      </c>
      <c r="U117" s="1">
        <f>IF(R117&lt;-100000000/100,1,0)</f>
        <v>0</v>
      </c>
      <c r="V117" s="1">
        <f>IF(T117&gt;100000000/100,1,0)</f>
        <v>0</v>
      </c>
      <c r="W117" s="1">
        <f>IF(L117&lt;0,1,0)</f>
        <v>0</v>
      </c>
      <c r="X117" s="1">
        <f>IF(W117=1,L117,0)</f>
        <v>0</v>
      </c>
      <c r="Y117" s="1">
        <f>IF(L117&gt;0,1,0)</f>
        <v>0</v>
      </c>
      <c r="Z117" s="1">
        <f>IF(Y117=1,L117,0)</f>
        <v>0</v>
      </c>
      <c r="AA117" s="1">
        <f>IF(X117&lt;-100000000/100,1,0)</f>
        <v>0</v>
      </c>
      <c r="AB117" s="1">
        <f>IF(Z117&gt;100000000/100,1,0)</f>
        <v>0</v>
      </c>
    </row>
    <row r="118" spans="1:28" s="1" customFormat="1">
      <c r="A118" s="3">
        <v>45100</v>
      </c>
      <c r="B118" s="2" t="s">
        <v>15</v>
      </c>
      <c r="C118" s="1">
        <f>SUM(PL!E118:H118)</f>
        <v>0</v>
      </c>
      <c r="D118" s="1">
        <f>SUM(PL!I118:L118)</f>
        <v>0</v>
      </c>
      <c r="E118" s="1">
        <f>SUM(C118:D118)</f>
        <v>0</v>
      </c>
      <c r="F118" s="1">
        <f>IF(C118 + F117 &lt; 0, C118 + F117, 0)</f>
        <v>0</v>
      </c>
      <c r="G118" s="1">
        <f>IF(D118 + G117 &lt; 0, D118 + G117, 0)</f>
        <v>0</v>
      </c>
      <c r="H118" s="1">
        <f>IF(E118 + H117 &lt; 0, E118 + H117, 0)</f>
        <v>0</v>
      </c>
      <c r="I118" s="1">
        <f>IF(H118 &lt; 0, 1 + I117, 0)</f>
        <v>0</v>
      </c>
      <c r="J118" s="1">
        <f>C118-((ABS(SUM(PL!E118:H118)))*0.125)</f>
        <v>0</v>
      </c>
      <c r="K118" s="1">
        <f>D118-((ABS(SUM(PL!I118:L118)))*0.125)</f>
        <v>0</v>
      </c>
      <c r="L118" s="1">
        <f>J118 + K118</f>
        <v>0</v>
      </c>
      <c r="M118" s="1">
        <f>IF(J118 + M117 &lt; 0, J118 + M117, 0)</f>
        <v>0</v>
      </c>
      <c r="N118" s="1">
        <f>IF(K118 + N117 &lt; 0, K118 + N117, 0)</f>
        <v>0</v>
      </c>
      <c r="O118" s="1">
        <f>IF(L118 + O117 &lt; 0, L118 + O117, 0)</f>
        <v>0</v>
      </c>
      <c r="P118" s="1">
        <f>IF(O118 &lt; 0, 1 + P117, 0)</f>
        <v>0</v>
      </c>
      <c r="Q118" s="1">
        <f>IF(E118&lt;0,1,0)</f>
        <v>0</v>
      </c>
      <c r="R118" s="1">
        <f>IF(Q118=1,E118,0)</f>
        <v>0</v>
      </c>
      <c r="S118" s="1">
        <f>IF(E118&gt;0,1,0)</f>
        <v>0</v>
      </c>
      <c r="T118" s="1">
        <f>IF(S118=1,E118,0)</f>
        <v>0</v>
      </c>
      <c r="U118" s="1">
        <f>IF(R118&lt;-100000000/100,1,0)</f>
        <v>0</v>
      </c>
      <c r="V118" s="1">
        <f>IF(T118&gt;100000000/100,1,0)</f>
        <v>0</v>
      </c>
      <c r="W118" s="1">
        <f>IF(L118&lt;0,1,0)</f>
        <v>0</v>
      </c>
      <c r="X118" s="1">
        <f>IF(W118=1,L118,0)</f>
        <v>0</v>
      </c>
      <c r="Y118" s="1">
        <f>IF(L118&gt;0,1,0)</f>
        <v>0</v>
      </c>
      <c r="Z118" s="1">
        <f>IF(Y118=1,L118,0)</f>
        <v>0</v>
      </c>
      <c r="AA118" s="1">
        <f>IF(X118&lt;-100000000/100,1,0)</f>
        <v>0</v>
      </c>
      <c r="AB118" s="1">
        <f>IF(Z118&gt;100000000/100,1,0)</f>
        <v>0</v>
      </c>
    </row>
    <row r="119" spans="1:28" s="1" customFormat="1">
      <c r="A119" s="3">
        <v>45103</v>
      </c>
      <c r="B119" s="2" t="s">
        <v>12</v>
      </c>
      <c r="C119" s="1">
        <f>SUM(PL!E119:H119)</f>
        <v>0</v>
      </c>
      <c r="D119" s="1">
        <f>SUM(PL!I119:L119)</f>
        <v>0</v>
      </c>
      <c r="E119" s="1">
        <f>SUM(C119:D119)</f>
        <v>0</v>
      </c>
      <c r="F119" s="1">
        <f>IF(C119 + F118 &lt; 0, C119 + F118, 0)</f>
        <v>0</v>
      </c>
      <c r="G119" s="1">
        <f>IF(D119 + G118 &lt; 0, D119 + G118, 0)</f>
        <v>0</v>
      </c>
      <c r="H119" s="1">
        <f>IF(E119 + H118 &lt; 0, E119 + H118, 0)</f>
        <v>0</v>
      </c>
      <c r="I119" s="1">
        <f>IF(H119 &lt; 0, 1 + I118, 0)</f>
        <v>0</v>
      </c>
      <c r="J119" s="1">
        <f>C119-((ABS(SUM(PL!E119:H119)))*0.125)</f>
        <v>0</v>
      </c>
      <c r="K119" s="1">
        <f>D119-((ABS(SUM(PL!I119:L119)))*0.125)</f>
        <v>0</v>
      </c>
      <c r="L119" s="1">
        <f>J119 + K119</f>
        <v>0</v>
      </c>
      <c r="M119" s="1">
        <f>IF(J119 + M118 &lt; 0, J119 + M118, 0)</f>
        <v>0</v>
      </c>
      <c r="N119" s="1">
        <f>IF(K119 + N118 &lt; 0, K119 + N118, 0)</f>
        <v>0</v>
      </c>
      <c r="O119" s="1">
        <f>IF(L119 + O118 &lt; 0, L119 + O118, 0)</f>
        <v>0</v>
      </c>
      <c r="P119" s="1">
        <f>IF(O119 &lt; 0, 1 + P118, 0)</f>
        <v>0</v>
      </c>
      <c r="Q119" s="1">
        <f>IF(E119&lt;0,1,0)</f>
        <v>0</v>
      </c>
      <c r="R119" s="1">
        <f>IF(Q119=1,E119,0)</f>
        <v>0</v>
      </c>
      <c r="S119" s="1">
        <f>IF(E119&gt;0,1,0)</f>
        <v>0</v>
      </c>
      <c r="T119" s="1">
        <f>IF(S119=1,E119,0)</f>
        <v>0</v>
      </c>
      <c r="U119" s="1">
        <f>IF(R119&lt;-100000000/100,1,0)</f>
        <v>0</v>
      </c>
      <c r="V119" s="1">
        <f>IF(T119&gt;100000000/100,1,0)</f>
        <v>0</v>
      </c>
      <c r="W119" s="1">
        <f>IF(L119&lt;0,1,0)</f>
        <v>0</v>
      </c>
      <c r="X119" s="1">
        <f>IF(W119=1,L119,0)</f>
        <v>0</v>
      </c>
      <c r="Y119" s="1">
        <f>IF(L119&gt;0,1,0)</f>
        <v>0</v>
      </c>
      <c r="Z119" s="1">
        <f>IF(Y119=1,L119,0)</f>
        <v>0</v>
      </c>
      <c r="AA119" s="1">
        <f>IF(X119&lt;-100000000/100,1,0)</f>
        <v>0</v>
      </c>
      <c r="AB119" s="1">
        <f>IF(Z119&gt;100000000/100,1,0)</f>
        <v>0</v>
      </c>
    </row>
    <row r="120" spans="1:28" s="1" customFormat="1">
      <c r="A120" s="3">
        <v>45104</v>
      </c>
      <c r="B120" s="2" t="s">
        <v>13</v>
      </c>
      <c r="C120" s="1">
        <f>SUM(PL!E120:H120)</f>
        <v>0</v>
      </c>
      <c r="D120" s="1">
        <f>SUM(PL!I120:L120)</f>
        <v>0</v>
      </c>
      <c r="E120" s="1">
        <f>SUM(C120:D120)</f>
        <v>0</v>
      </c>
      <c r="F120" s="1">
        <f>IF(C120 + F119 &lt; 0, C120 + F119, 0)</f>
        <v>0</v>
      </c>
      <c r="G120" s="1">
        <f>IF(D120 + G119 &lt; 0, D120 + G119, 0)</f>
        <v>0</v>
      </c>
      <c r="H120" s="1">
        <f>IF(E120 + H119 &lt; 0, E120 + H119, 0)</f>
        <v>0</v>
      </c>
      <c r="I120" s="1">
        <f>IF(H120 &lt; 0, 1 + I119, 0)</f>
        <v>0</v>
      </c>
      <c r="J120" s="1">
        <f>C120-((ABS(SUM(PL!E120:H120)))*0.125)</f>
        <v>0</v>
      </c>
      <c r="K120" s="1">
        <f>D120-((ABS(SUM(PL!I120:L120)))*0.125)</f>
        <v>0</v>
      </c>
      <c r="L120" s="1">
        <f>J120 + K120</f>
        <v>0</v>
      </c>
      <c r="M120" s="1">
        <f>IF(J120 + M119 &lt; 0, J120 + M119, 0)</f>
        <v>0</v>
      </c>
      <c r="N120" s="1">
        <f>IF(K120 + N119 &lt; 0, K120 + N119, 0)</f>
        <v>0</v>
      </c>
      <c r="O120" s="1">
        <f>IF(L120 + O119 &lt; 0, L120 + O119, 0)</f>
        <v>0</v>
      </c>
      <c r="P120" s="1">
        <f>IF(O120 &lt; 0, 1 + P119, 0)</f>
        <v>0</v>
      </c>
      <c r="Q120" s="1">
        <f>IF(E120&lt;0,1,0)</f>
        <v>0</v>
      </c>
      <c r="R120" s="1">
        <f>IF(Q120=1,E120,0)</f>
        <v>0</v>
      </c>
      <c r="S120" s="1">
        <f>IF(E120&gt;0,1,0)</f>
        <v>0</v>
      </c>
      <c r="T120" s="1">
        <f>IF(S120=1,E120,0)</f>
        <v>0</v>
      </c>
      <c r="U120" s="1">
        <f>IF(R120&lt;-100000000/100,1,0)</f>
        <v>0</v>
      </c>
      <c r="V120" s="1">
        <f>IF(T120&gt;100000000/100,1,0)</f>
        <v>0</v>
      </c>
      <c r="W120" s="1">
        <f>IF(L120&lt;0,1,0)</f>
        <v>0</v>
      </c>
      <c r="X120" s="1">
        <f>IF(W120=1,L120,0)</f>
        <v>0</v>
      </c>
      <c r="Y120" s="1">
        <f>IF(L120&gt;0,1,0)</f>
        <v>0</v>
      </c>
      <c r="Z120" s="1">
        <f>IF(Y120=1,L120,0)</f>
        <v>0</v>
      </c>
      <c r="AA120" s="1">
        <f>IF(X120&lt;-100000000/100,1,0)</f>
        <v>0</v>
      </c>
      <c r="AB120" s="1">
        <f>IF(Z120&gt;100000000/100,1,0)</f>
        <v>0</v>
      </c>
    </row>
    <row r="121" spans="1:28" s="1" customFormat="1">
      <c r="A121" s="3">
        <v>45105</v>
      </c>
      <c r="B121" s="2" t="s">
        <v>14</v>
      </c>
      <c r="C121" s="1">
        <f>SUM(PL!E121:H121)</f>
        <v>0</v>
      </c>
      <c r="D121" s="1">
        <f>SUM(PL!I121:L121)</f>
        <v>0</v>
      </c>
      <c r="E121" s="1">
        <f>SUM(C121:D121)</f>
        <v>0</v>
      </c>
      <c r="F121" s="1">
        <f>IF(C121 + F120 &lt; 0, C121 + F120, 0)</f>
        <v>0</v>
      </c>
      <c r="G121" s="1">
        <f>IF(D121 + G120 &lt; 0, D121 + G120, 0)</f>
        <v>0</v>
      </c>
      <c r="H121" s="1">
        <f>IF(E121 + H120 &lt; 0, E121 + H120, 0)</f>
        <v>0</v>
      </c>
      <c r="I121" s="1">
        <f>IF(H121 &lt; 0, 1 + I120, 0)</f>
        <v>0</v>
      </c>
      <c r="J121" s="1">
        <f>C121-((ABS(SUM(PL!E121:H121)))*0.125)</f>
        <v>0</v>
      </c>
      <c r="K121" s="1">
        <f>D121-((ABS(SUM(PL!I121:L121)))*0.125)</f>
        <v>0</v>
      </c>
      <c r="L121" s="1">
        <f>J121 + K121</f>
        <v>0</v>
      </c>
      <c r="M121" s="1">
        <f>IF(J121 + M120 &lt; 0, J121 + M120, 0)</f>
        <v>0</v>
      </c>
      <c r="N121" s="1">
        <f>IF(K121 + N120 &lt; 0, K121 + N120, 0)</f>
        <v>0</v>
      </c>
      <c r="O121" s="1">
        <f>IF(L121 + O120 &lt; 0, L121 + O120, 0)</f>
        <v>0</v>
      </c>
      <c r="P121" s="1">
        <f>IF(O121 &lt; 0, 1 + P120, 0)</f>
        <v>0</v>
      </c>
      <c r="Q121" s="1">
        <f>IF(E121&lt;0,1,0)</f>
        <v>0</v>
      </c>
      <c r="R121" s="1">
        <f>IF(Q121=1,E121,0)</f>
        <v>0</v>
      </c>
      <c r="S121" s="1">
        <f>IF(E121&gt;0,1,0)</f>
        <v>0</v>
      </c>
      <c r="T121" s="1">
        <f>IF(S121=1,E121,0)</f>
        <v>0</v>
      </c>
      <c r="U121" s="1">
        <f>IF(R121&lt;-100000000/100,1,0)</f>
        <v>0</v>
      </c>
      <c r="V121" s="1">
        <f>IF(T121&gt;100000000/100,1,0)</f>
        <v>0</v>
      </c>
      <c r="W121" s="1">
        <f>IF(L121&lt;0,1,0)</f>
        <v>0</v>
      </c>
      <c r="X121" s="1">
        <f>IF(W121=1,L121,0)</f>
        <v>0</v>
      </c>
      <c r="Y121" s="1">
        <f>IF(L121&gt;0,1,0)</f>
        <v>0</v>
      </c>
      <c r="Z121" s="1">
        <f>IF(Y121=1,L121,0)</f>
        <v>0</v>
      </c>
      <c r="AA121" s="1">
        <f>IF(X121&lt;-100000000/100,1,0)</f>
        <v>0</v>
      </c>
      <c r="AB121" s="1">
        <f>IF(Z121&gt;100000000/100,1,0)</f>
        <v>0</v>
      </c>
    </row>
    <row r="122" spans="1:28" s="1" customFormat="1">
      <c r="A122" s="3">
        <v>45106</v>
      </c>
      <c r="B122" s="2" t="s">
        <v>16</v>
      </c>
      <c r="C122" s="1">
        <f>SUM(PL!E122:H122)</f>
        <v>0</v>
      </c>
      <c r="D122" s="1">
        <f>SUM(PL!I122:L122)</f>
        <v>0</v>
      </c>
      <c r="E122" s="1">
        <f>SUM(C122:D122)</f>
        <v>0</v>
      </c>
      <c r="F122" s="1">
        <f>IF(C122 + F121 &lt; 0, C122 + F121, 0)</f>
        <v>0</v>
      </c>
      <c r="G122" s="1">
        <f>IF(D122 + G121 &lt; 0, D122 + G121, 0)</f>
        <v>0</v>
      </c>
      <c r="H122" s="1">
        <f>IF(E122 + H121 &lt; 0, E122 + H121, 0)</f>
        <v>0</v>
      </c>
      <c r="I122" s="1">
        <f>IF(H122 &lt; 0, 1 + I121, 0)</f>
        <v>0</v>
      </c>
      <c r="J122" s="1">
        <f>C122-((ABS(SUM(PL!E122:H122)))*0.125)</f>
        <v>0</v>
      </c>
      <c r="K122" s="1">
        <f>D122-((ABS(SUM(PL!I122:L122)))*0.125)</f>
        <v>0</v>
      </c>
      <c r="L122" s="1">
        <f>J122 + K122</f>
        <v>0</v>
      </c>
      <c r="M122" s="1">
        <f>IF(J122 + M121 &lt; 0, J122 + M121, 0)</f>
        <v>0</v>
      </c>
      <c r="N122" s="1">
        <f>IF(K122 + N121 &lt; 0, K122 + N121, 0)</f>
        <v>0</v>
      </c>
      <c r="O122" s="1">
        <f>IF(L122 + O121 &lt; 0, L122 + O121, 0)</f>
        <v>0</v>
      </c>
      <c r="P122" s="1">
        <f>IF(O122 &lt; 0, 1 + P121, 0)</f>
        <v>0</v>
      </c>
      <c r="Q122" s="1">
        <f>IF(E122&lt;0,1,0)</f>
        <v>0</v>
      </c>
      <c r="R122" s="1">
        <f>IF(Q122=1,E122,0)</f>
        <v>0</v>
      </c>
      <c r="S122" s="1">
        <f>IF(E122&gt;0,1,0)</f>
        <v>0</v>
      </c>
      <c r="T122" s="1">
        <f>IF(S122=1,E122,0)</f>
        <v>0</v>
      </c>
      <c r="U122" s="1">
        <f>IF(R122&lt;-100000000/100,1,0)</f>
        <v>0</v>
      </c>
      <c r="V122" s="1">
        <f>IF(T122&gt;100000000/100,1,0)</f>
        <v>0</v>
      </c>
      <c r="W122" s="1">
        <f>IF(L122&lt;0,1,0)</f>
        <v>0</v>
      </c>
      <c r="X122" s="1">
        <f>IF(W122=1,L122,0)</f>
        <v>0</v>
      </c>
      <c r="Y122" s="1">
        <f>IF(L122&gt;0,1,0)</f>
        <v>0</v>
      </c>
      <c r="Z122" s="1">
        <f>IF(Y122=1,L122,0)</f>
        <v>0</v>
      </c>
      <c r="AA122" s="1">
        <f>IF(X122&lt;-100000000/100,1,0)</f>
        <v>0</v>
      </c>
      <c r="AB122" s="1">
        <f>IF(Z122&gt;100000000/100,1,0)</f>
        <v>0</v>
      </c>
    </row>
    <row r="123" spans="1:28" s="1" customFormat="1">
      <c r="A123" s="3">
        <v>45107</v>
      </c>
      <c r="B123" s="2" t="s">
        <v>15</v>
      </c>
      <c r="C123" s="1">
        <f>SUM(PL!E123:H123)</f>
        <v>0</v>
      </c>
      <c r="D123" s="1">
        <f>SUM(PL!I123:L123)</f>
        <v>0</v>
      </c>
      <c r="E123" s="1">
        <f>SUM(C123:D123)</f>
        <v>0</v>
      </c>
      <c r="F123" s="1">
        <f>IF(C123 + F122 &lt; 0, C123 + F122, 0)</f>
        <v>0</v>
      </c>
      <c r="G123" s="1">
        <f>IF(D123 + G122 &lt; 0, D123 + G122, 0)</f>
        <v>0</v>
      </c>
      <c r="H123" s="1">
        <f>IF(E123 + H122 &lt; 0, E123 + H122, 0)</f>
        <v>0</v>
      </c>
      <c r="I123" s="1">
        <f>IF(H123 &lt; 0, 1 + I122, 0)</f>
        <v>0</v>
      </c>
      <c r="J123" s="1">
        <f>C123-((ABS(SUM(PL!E123:H123)))*0.125)</f>
        <v>0</v>
      </c>
      <c r="K123" s="1">
        <f>D123-((ABS(SUM(PL!I123:L123)))*0.125)</f>
        <v>0</v>
      </c>
      <c r="L123" s="1">
        <f>J123 + K123</f>
        <v>0</v>
      </c>
      <c r="M123" s="1">
        <f>IF(J123 + M122 &lt; 0, J123 + M122, 0)</f>
        <v>0</v>
      </c>
      <c r="N123" s="1">
        <f>IF(K123 + N122 &lt; 0, K123 + N122, 0)</f>
        <v>0</v>
      </c>
      <c r="O123" s="1">
        <f>IF(L123 + O122 &lt; 0, L123 + O122, 0)</f>
        <v>0</v>
      </c>
      <c r="P123" s="1">
        <f>IF(O123 &lt; 0, 1 + P122, 0)</f>
        <v>0</v>
      </c>
      <c r="Q123" s="1">
        <f>IF(E123&lt;0,1,0)</f>
        <v>0</v>
      </c>
      <c r="R123" s="1">
        <f>IF(Q123=1,E123,0)</f>
        <v>0</v>
      </c>
      <c r="S123" s="1">
        <f>IF(E123&gt;0,1,0)</f>
        <v>0</v>
      </c>
      <c r="T123" s="1">
        <f>IF(S123=1,E123,0)</f>
        <v>0</v>
      </c>
      <c r="U123" s="1">
        <f>IF(R123&lt;-100000000/100,1,0)</f>
        <v>0</v>
      </c>
      <c r="V123" s="1">
        <f>IF(T123&gt;100000000/100,1,0)</f>
        <v>0</v>
      </c>
      <c r="W123" s="1">
        <f>IF(L123&lt;0,1,0)</f>
        <v>0</v>
      </c>
      <c r="X123" s="1">
        <f>IF(W123=1,L123,0)</f>
        <v>0</v>
      </c>
      <c r="Y123" s="1">
        <f>IF(L123&gt;0,1,0)</f>
        <v>0</v>
      </c>
      <c r="Z123" s="1">
        <f>IF(Y123=1,L123,0)</f>
        <v>0</v>
      </c>
      <c r="AA123" s="1">
        <f>IF(X123&lt;-100000000/100,1,0)</f>
        <v>0</v>
      </c>
      <c r="AB123" s="1">
        <f>IF(Z123&gt;100000000/100,1,0)</f>
        <v>0</v>
      </c>
    </row>
    <row r="124" spans="1:28" s="1" customFormat="1">
      <c r="A124" s="3">
        <v>45110</v>
      </c>
      <c r="B124" s="2" t="s">
        <v>12</v>
      </c>
      <c r="C124" s="1">
        <f>SUM(PL!E124:H124)</f>
        <v>0</v>
      </c>
      <c r="D124" s="1">
        <f>SUM(PL!I124:L124)</f>
        <v>0</v>
      </c>
      <c r="E124" s="1">
        <f>SUM(C124:D124)</f>
        <v>0</v>
      </c>
      <c r="F124" s="1">
        <f>IF(C124 + F123 &lt; 0, C124 + F123, 0)</f>
        <v>0</v>
      </c>
      <c r="G124" s="1">
        <f>IF(D124 + G123 &lt; 0, D124 + G123, 0)</f>
        <v>0</v>
      </c>
      <c r="H124" s="1">
        <f>IF(E124 + H123 &lt; 0, E124 + H123, 0)</f>
        <v>0</v>
      </c>
      <c r="I124" s="1">
        <f>IF(H124 &lt; 0, 1 + I123, 0)</f>
        <v>0</v>
      </c>
      <c r="J124" s="1">
        <f>C124-((ABS(SUM(PL!E124:H124)))*0.125)</f>
        <v>0</v>
      </c>
      <c r="K124" s="1">
        <f>D124-((ABS(SUM(PL!I124:L124)))*0.125)</f>
        <v>0</v>
      </c>
      <c r="L124" s="1">
        <f>J124 + K124</f>
        <v>0</v>
      </c>
      <c r="M124" s="1">
        <f>IF(J124 + M123 &lt; 0, J124 + M123, 0)</f>
        <v>0</v>
      </c>
      <c r="N124" s="1">
        <f>IF(K124 + N123 &lt; 0, K124 + N123, 0)</f>
        <v>0</v>
      </c>
      <c r="O124" s="1">
        <f>IF(L124 + O123 &lt; 0, L124 + O123, 0)</f>
        <v>0</v>
      </c>
      <c r="P124" s="1">
        <f>IF(O124 &lt; 0, 1 + P123, 0)</f>
        <v>0</v>
      </c>
      <c r="Q124" s="1">
        <f>IF(E124&lt;0,1,0)</f>
        <v>0</v>
      </c>
      <c r="R124" s="1">
        <f>IF(Q124=1,E124,0)</f>
        <v>0</v>
      </c>
      <c r="S124" s="1">
        <f>IF(E124&gt;0,1,0)</f>
        <v>0</v>
      </c>
      <c r="T124" s="1">
        <f>IF(S124=1,E124,0)</f>
        <v>0</v>
      </c>
      <c r="U124" s="1">
        <f>IF(R124&lt;-100000000/100,1,0)</f>
        <v>0</v>
      </c>
      <c r="V124" s="1">
        <f>IF(T124&gt;100000000/100,1,0)</f>
        <v>0</v>
      </c>
      <c r="W124" s="1">
        <f>IF(L124&lt;0,1,0)</f>
        <v>0</v>
      </c>
      <c r="X124" s="1">
        <f>IF(W124=1,L124,0)</f>
        <v>0</v>
      </c>
      <c r="Y124" s="1">
        <f>IF(L124&gt;0,1,0)</f>
        <v>0</v>
      </c>
      <c r="Z124" s="1">
        <f>IF(Y124=1,L124,0)</f>
        <v>0</v>
      </c>
      <c r="AA124" s="1">
        <f>IF(X124&lt;-100000000/100,1,0)</f>
        <v>0</v>
      </c>
      <c r="AB124" s="1">
        <f>IF(Z124&gt;100000000/100,1,0)</f>
        <v>0</v>
      </c>
    </row>
    <row r="125" spans="1:28" s="1" customFormat="1">
      <c r="A125" s="3">
        <v>45112</v>
      </c>
      <c r="B125" s="2" t="s">
        <v>14</v>
      </c>
      <c r="C125" s="1">
        <f>SUM(PL!E125:H125)</f>
        <v>0</v>
      </c>
      <c r="D125" s="1">
        <f>SUM(PL!I125:L125)</f>
        <v>0</v>
      </c>
      <c r="E125" s="1">
        <f>SUM(C125:D125)</f>
        <v>0</v>
      </c>
      <c r="F125" s="1">
        <f>IF(C125 + F124 &lt; 0, C125 + F124, 0)</f>
        <v>0</v>
      </c>
      <c r="G125" s="1">
        <f>IF(D125 + G124 &lt; 0, D125 + G124, 0)</f>
        <v>0</v>
      </c>
      <c r="H125" s="1">
        <f>IF(E125 + H124 &lt; 0, E125 + H124, 0)</f>
        <v>0</v>
      </c>
      <c r="I125" s="1">
        <f>IF(H125 &lt; 0, 1 + I124, 0)</f>
        <v>0</v>
      </c>
      <c r="J125" s="1">
        <f>C125-((ABS(SUM(PL!E125:H125)))*0.125)</f>
        <v>0</v>
      </c>
      <c r="K125" s="1">
        <f>D125-((ABS(SUM(PL!I125:L125)))*0.125)</f>
        <v>0</v>
      </c>
      <c r="L125" s="1">
        <f>J125 + K125</f>
        <v>0</v>
      </c>
      <c r="M125" s="1">
        <f>IF(J125 + M124 &lt; 0, J125 + M124, 0)</f>
        <v>0</v>
      </c>
      <c r="N125" s="1">
        <f>IF(K125 + N124 &lt; 0, K125 + N124, 0)</f>
        <v>0</v>
      </c>
      <c r="O125" s="1">
        <f>IF(L125 + O124 &lt; 0, L125 + O124, 0)</f>
        <v>0</v>
      </c>
      <c r="P125" s="1">
        <f>IF(O125 &lt; 0, 1 + P124, 0)</f>
        <v>0</v>
      </c>
      <c r="Q125" s="1">
        <f>IF(E125&lt;0,1,0)</f>
        <v>0</v>
      </c>
      <c r="R125" s="1">
        <f>IF(Q125=1,E125,0)</f>
        <v>0</v>
      </c>
      <c r="S125" s="1">
        <f>IF(E125&gt;0,1,0)</f>
        <v>0</v>
      </c>
      <c r="T125" s="1">
        <f>IF(S125=1,E125,0)</f>
        <v>0</v>
      </c>
      <c r="U125" s="1">
        <f>IF(R125&lt;-100000000/100,1,0)</f>
        <v>0</v>
      </c>
      <c r="V125" s="1">
        <f>IF(T125&gt;100000000/100,1,0)</f>
        <v>0</v>
      </c>
      <c r="W125" s="1">
        <f>IF(L125&lt;0,1,0)</f>
        <v>0</v>
      </c>
      <c r="X125" s="1">
        <f>IF(W125=1,L125,0)</f>
        <v>0</v>
      </c>
      <c r="Y125" s="1">
        <f>IF(L125&gt;0,1,0)</f>
        <v>0</v>
      </c>
      <c r="Z125" s="1">
        <f>IF(Y125=1,L125,0)</f>
        <v>0</v>
      </c>
      <c r="AA125" s="1">
        <f>IF(X125&lt;-100000000/100,1,0)</f>
        <v>0</v>
      </c>
      <c r="AB125" s="1">
        <f>IF(Z125&gt;100000000/100,1,0)</f>
        <v>0</v>
      </c>
    </row>
    <row r="126" spans="1:28" s="1" customFormat="1">
      <c r="A126" s="3">
        <v>45113</v>
      </c>
      <c r="B126" s="2" t="s">
        <v>16</v>
      </c>
      <c r="C126" s="1">
        <f>SUM(PL!E126:H126)</f>
        <v>0</v>
      </c>
      <c r="D126" s="1">
        <f>SUM(PL!I126:L126)</f>
        <v>0</v>
      </c>
      <c r="E126" s="1">
        <f>SUM(C126:D126)</f>
        <v>0</v>
      </c>
      <c r="F126" s="1">
        <f>IF(C126 + F125 &lt; 0, C126 + F125, 0)</f>
        <v>0</v>
      </c>
      <c r="G126" s="1">
        <f>IF(D126 + G125 &lt; 0, D126 + G125, 0)</f>
        <v>0</v>
      </c>
      <c r="H126" s="1">
        <f>IF(E126 + H125 &lt; 0, E126 + H125, 0)</f>
        <v>0</v>
      </c>
      <c r="I126" s="1">
        <f>IF(H126 &lt; 0, 1 + I125, 0)</f>
        <v>0</v>
      </c>
      <c r="J126" s="1">
        <f>C126-((ABS(SUM(PL!E126:H126)))*0.125)</f>
        <v>0</v>
      </c>
      <c r="K126" s="1">
        <f>D126-((ABS(SUM(PL!I126:L126)))*0.125)</f>
        <v>0</v>
      </c>
      <c r="L126" s="1">
        <f>J126 + K126</f>
        <v>0</v>
      </c>
      <c r="M126" s="1">
        <f>IF(J126 + M125 &lt; 0, J126 + M125, 0)</f>
        <v>0</v>
      </c>
      <c r="N126" s="1">
        <f>IF(K126 + N125 &lt; 0, K126 + N125, 0)</f>
        <v>0</v>
      </c>
      <c r="O126" s="1">
        <f>IF(L126 + O125 &lt; 0, L126 + O125, 0)</f>
        <v>0</v>
      </c>
      <c r="P126" s="1">
        <f>IF(O126 &lt; 0, 1 + P125, 0)</f>
        <v>0</v>
      </c>
      <c r="Q126" s="1">
        <f>IF(E126&lt;0,1,0)</f>
        <v>0</v>
      </c>
      <c r="R126" s="1">
        <f>IF(Q126=1,E126,0)</f>
        <v>0</v>
      </c>
      <c r="S126" s="1">
        <f>IF(E126&gt;0,1,0)</f>
        <v>0</v>
      </c>
      <c r="T126" s="1">
        <f>IF(S126=1,E126,0)</f>
        <v>0</v>
      </c>
      <c r="U126" s="1">
        <f>IF(R126&lt;-100000000/100,1,0)</f>
        <v>0</v>
      </c>
      <c r="V126" s="1">
        <f>IF(T126&gt;100000000/100,1,0)</f>
        <v>0</v>
      </c>
      <c r="W126" s="1">
        <f>IF(L126&lt;0,1,0)</f>
        <v>0</v>
      </c>
      <c r="X126" s="1">
        <f>IF(W126=1,L126,0)</f>
        <v>0</v>
      </c>
      <c r="Y126" s="1">
        <f>IF(L126&gt;0,1,0)</f>
        <v>0</v>
      </c>
      <c r="Z126" s="1">
        <f>IF(Y126=1,L126,0)</f>
        <v>0</v>
      </c>
      <c r="AA126" s="1">
        <f>IF(X126&lt;-100000000/100,1,0)</f>
        <v>0</v>
      </c>
      <c r="AB126" s="1">
        <f>IF(Z126&gt;100000000/100,1,0)</f>
        <v>0</v>
      </c>
    </row>
    <row r="127" spans="1:28" s="1" customFormat="1">
      <c r="A127" s="3">
        <v>45114</v>
      </c>
      <c r="B127" s="2" t="s">
        <v>15</v>
      </c>
      <c r="C127" s="1">
        <f>SUM(PL!E127:H127)</f>
        <v>0</v>
      </c>
      <c r="D127" s="1">
        <f>SUM(PL!I127:L127)</f>
        <v>0</v>
      </c>
      <c r="E127" s="1">
        <f>SUM(C127:D127)</f>
        <v>0</v>
      </c>
      <c r="F127" s="1">
        <f>IF(C127 + F126 &lt; 0, C127 + F126, 0)</f>
        <v>0</v>
      </c>
      <c r="G127" s="1">
        <f>IF(D127 + G126 &lt; 0, D127 + G126, 0)</f>
        <v>0</v>
      </c>
      <c r="H127" s="1">
        <f>IF(E127 + H126 &lt; 0, E127 + H126, 0)</f>
        <v>0</v>
      </c>
      <c r="I127" s="1">
        <f>IF(H127 &lt; 0, 1 + I126, 0)</f>
        <v>0</v>
      </c>
      <c r="J127" s="1">
        <f>C127-((ABS(SUM(PL!E127:H127)))*0.125)</f>
        <v>0</v>
      </c>
      <c r="K127" s="1">
        <f>D127-((ABS(SUM(PL!I127:L127)))*0.125)</f>
        <v>0</v>
      </c>
      <c r="L127" s="1">
        <f>J127 + K127</f>
        <v>0</v>
      </c>
      <c r="M127" s="1">
        <f>IF(J127 + M126 &lt; 0, J127 + M126, 0)</f>
        <v>0</v>
      </c>
      <c r="N127" s="1">
        <f>IF(K127 + N126 &lt; 0, K127 + N126, 0)</f>
        <v>0</v>
      </c>
      <c r="O127" s="1">
        <f>IF(L127 + O126 &lt; 0, L127 + O126, 0)</f>
        <v>0</v>
      </c>
      <c r="P127" s="1">
        <f>IF(O127 &lt; 0, 1 + P126, 0)</f>
        <v>0</v>
      </c>
      <c r="Q127" s="1">
        <f>IF(E127&lt;0,1,0)</f>
        <v>0</v>
      </c>
      <c r="R127" s="1">
        <f>IF(Q127=1,E127,0)</f>
        <v>0</v>
      </c>
      <c r="S127" s="1">
        <f>IF(E127&gt;0,1,0)</f>
        <v>0</v>
      </c>
      <c r="T127" s="1">
        <f>IF(S127=1,E127,0)</f>
        <v>0</v>
      </c>
      <c r="U127" s="1">
        <f>IF(R127&lt;-100000000/100,1,0)</f>
        <v>0</v>
      </c>
      <c r="V127" s="1">
        <f>IF(T127&gt;100000000/100,1,0)</f>
        <v>0</v>
      </c>
      <c r="W127" s="1">
        <f>IF(L127&lt;0,1,0)</f>
        <v>0</v>
      </c>
      <c r="X127" s="1">
        <f>IF(W127=1,L127,0)</f>
        <v>0</v>
      </c>
      <c r="Y127" s="1">
        <f>IF(L127&gt;0,1,0)</f>
        <v>0</v>
      </c>
      <c r="Z127" s="1">
        <f>IF(Y127=1,L127,0)</f>
        <v>0</v>
      </c>
      <c r="AA127" s="1">
        <f>IF(X127&lt;-100000000/100,1,0)</f>
        <v>0</v>
      </c>
      <c r="AB127" s="1">
        <f>IF(Z127&gt;100000000/100,1,0)</f>
        <v>0</v>
      </c>
    </row>
    <row r="128" spans="1:28" s="1" customFormat="1">
      <c r="A128" s="3">
        <v>45117</v>
      </c>
      <c r="B128" s="2" t="s">
        <v>12</v>
      </c>
      <c r="C128" s="1">
        <f>SUM(PL!E128:H128)</f>
        <v>0</v>
      </c>
      <c r="D128" s="1">
        <f>SUM(PL!I128:L128)</f>
        <v>0</v>
      </c>
      <c r="E128" s="1">
        <f>SUM(C128:D128)</f>
        <v>0</v>
      </c>
      <c r="F128" s="1">
        <f>IF(C128 + F127 &lt; 0, C128 + F127, 0)</f>
        <v>0</v>
      </c>
      <c r="G128" s="1">
        <f>IF(D128 + G127 &lt; 0, D128 + G127, 0)</f>
        <v>0</v>
      </c>
      <c r="H128" s="1">
        <f>IF(E128 + H127 &lt; 0, E128 + H127, 0)</f>
        <v>0</v>
      </c>
      <c r="I128" s="1">
        <f>IF(H128 &lt; 0, 1 + I127, 0)</f>
        <v>0</v>
      </c>
      <c r="J128" s="1">
        <f>C128-((ABS(SUM(PL!E128:H128)))*0.125)</f>
        <v>0</v>
      </c>
      <c r="K128" s="1">
        <f>D128-((ABS(SUM(PL!I128:L128)))*0.125)</f>
        <v>0</v>
      </c>
      <c r="L128" s="1">
        <f>J128 + K128</f>
        <v>0</v>
      </c>
      <c r="M128" s="1">
        <f>IF(J128 + M127 &lt; 0, J128 + M127, 0)</f>
        <v>0</v>
      </c>
      <c r="N128" s="1">
        <f>IF(K128 + N127 &lt; 0, K128 + N127, 0)</f>
        <v>0</v>
      </c>
      <c r="O128" s="1">
        <f>IF(L128 + O127 &lt; 0, L128 + O127, 0)</f>
        <v>0</v>
      </c>
      <c r="P128" s="1">
        <f>IF(O128 &lt; 0, 1 + P127, 0)</f>
        <v>0</v>
      </c>
      <c r="Q128" s="1">
        <f>IF(E128&lt;0,1,0)</f>
        <v>0</v>
      </c>
      <c r="R128" s="1">
        <f>IF(Q128=1,E128,0)</f>
        <v>0</v>
      </c>
      <c r="S128" s="1">
        <f>IF(E128&gt;0,1,0)</f>
        <v>0</v>
      </c>
      <c r="T128" s="1">
        <f>IF(S128=1,E128,0)</f>
        <v>0</v>
      </c>
      <c r="U128" s="1">
        <f>IF(R128&lt;-100000000/100,1,0)</f>
        <v>0</v>
      </c>
      <c r="V128" s="1">
        <f>IF(T128&gt;100000000/100,1,0)</f>
        <v>0</v>
      </c>
      <c r="W128" s="1">
        <f>IF(L128&lt;0,1,0)</f>
        <v>0</v>
      </c>
      <c r="X128" s="1">
        <f>IF(W128=1,L128,0)</f>
        <v>0</v>
      </c>
      <c r="Y128" s="1">
        <f>IF(L128&gt;0,1,0)</f>
        <v>0</v>
      </c>
      <c r="Z128" s="1">
        <f>IF(Y128=1,L128,0)</f>
        <v>0</v>
      </c>
      <c r="AA128" s="1">
        <f>IF(X128&lt;-100000000/100,1,0)</f>
        <v>0</v>
      </c>
      <c r="AB128" s="1">
        <f>IF(Z128&gt;100000000/100,1,0)</f>
        <v>0</v>
      </c>
    </row>
    <row r="129" spans="1:28" s="1" customFormat="1">
      <c r="A129" s="3">
        <v>45118</v>
      </c>
      <c r="B129" s="2" t="s">
        <v>13</v>
      </c>
      <c r="C129" s="1">
        <f>SUM(PL!E129:H129)</f>
        <v>0</v>
      </c>
      <c r="D129" s="1">
        <f>SUM(PL!I129:L129)</f>
        <v>0</v>
      </c>
      <c r="E129" s="1">
        <f>SUM(C129:D129)</f>
        <v>0</v>
      </c>
      <c r="F129" s="1">
        <f>IF(C129 + F128 &lt; 0, C129 + F128, 0)</f>
        <v>0</v>
      </c>
      <c r="G129" s="1">
        <f>IF(D129 + G128 &lt; 0, D129 + G128, 0)</f>
        <v>0</v>
      </c>
      <c r="H129" s="1">
        <f>IF(E129 + H128 &lt; 0, E129 + H128, 0)</f>
        <v>0</v>
      </c>
      <c r="I129" s="1">
        <f>IF(H129 &lt; 0, 1 + I128, 0)</f>
        <v>0</v>
      </c>
      <c r="J129" s="1">
        <f>C129-((ABS(SUM(PL!E129:H129)))*0.125)</f>
        <v>0</v>
      </c>
      <c r="K129" s="1">
        <f>D129-((ABS(SUM(PL!I129:L129)))*0.125)</f>
        <v>0</v>
      </c>
      <c r="L129" s="1">
        <f>J129 + K129</f>
        <v>0</v>
      </c>
      <c r="M129" s="1">
        <f>IF(J129 + M128 &lt; 0, J129 + M128, 0)</f>
        <v>0</v>
      </c>
      <c r="N129" s="1">
        <f>IF(K129 + N128 &lt; 0, K129 + N128, 0)</f>
        <v>0</v>
      </c>
      <c r="O129" s="1">
        <f>IF(L129 + O128 &lt; 0, L129 + O128, 0)</f>
        <v>0</v>
      </c>
      <c r="P129" s="1">
        <f>IF(O129 &lt; 0, 1 + P128, 0)</f>
        <v>0</v>
      </c>
      <c r="Q129" s="1">
        <f>IF(E129&lt;0,1,0)</f>
        <v>0</v>
      </c>
      <c r="R129" s="1">
        <f>IF(Q129=1,E129,0)</f>
        <v>0</v>
      </c>
      <c r="S129" s="1">
        <f>IF(E129&gt;0,1,0)</f>
        <v>0</v>
      </c>
      <c r="T129" s="1">
        <f>IF(S129=1,E129,0)</f>
        <v>0</v>
      </c>
      <c r="U129" s="1">
        <f>IF(R129&lt;-100000000/100,1,0)</f>
        <v>0</v>
      </c>
      <c r="V129" s="1">
        <f>IF(T129&gt;100000000/100,1,0)</f>
        <v>0</v>
      </c>
      <c r="W129" s="1">
        <f>IF(L129&lt;0,1,0)</f>
        <v>0</v>
      </c>
      <c r="X129" s="1">
        <f>IF(W129=1,L129,0)</f>
        <v>0</v>
      </c>
      <c r="Y129" s="1">
        <f>IF(L129&gt;0,1,0)</f>
        <v>0</v>
      </c>
      <c r="Z129" s="1">
        <f>IF(Y129=1,L129,0)</f>
        <v>0</v>
      </c>
      <c r="AA129" s="1">
        <f>IF(X129&lt;-100000000/100,1,0)</f>
        <v>0</v>
      </c>
      <c r="AB129" s="1">
        <f>IF(Z129&gt;100000000/100,1,0)</f>
        <v>0</v>
      </c>
    </row>
    <row r="130" spans="1:28" s="1" customFormat="1">
      <c r="A130" s="3">
        <v>45119</v>
      </c>
      <c r="B130" s="2" t="s">
        <v>14</v>
      </c>
      <c r="C130" s="1">
        <f>SUM(PL!E130:H130)</f>
        <v>0</v>
      </c>
      <c r="D130" s="1">
        <f>SUM(PL!I130:L130)</f>
        <v>0</v>
      </c>
      <c r="E130" s="1">
        <f>SUM(C130:D130)</f>
        <v>0</v>
      </c>
      <c r="F130" s="1">
        <f>IF(C130 + F129 &lt; 0, C130 + F129, 0)</f>
        <v>0</v>
      </c>
      <c r="G130" s="1">
        <f>IF(D130 + G129 &lt; 0, D130 + G129, 0)</f>
        <v>0</v>
      </c>
      <c r="H130" s="1">
        <f>IF(E130 + H129 &lt; 0, E130 + H129, 0)</f>
        <v>0</v>
      </c>
      <c r="I130" s="1">
        <f>IF(H130 &lt; 0, 1 + I129, 0)</f>
        <v>0</v>
      </c>
      <c r="J130" s="1">
        <f>C130-((ABS(SUM(PL!E130:H130)))*0.125)</f>
        <v>0</v>
      </c>
      <c r="K130" s="1">
        <f>D130-((ABS(SUM(PL!I130:L130)))*0.125)</f>
        <v>0</v>
      </c>
      <c r="L130" s="1">
        <f>J130 + K130</f>
        <v>0</v>
      </c>
      <c r="M130" s="1">
        <f>IF(J130 + M129 &lt; 0, J130 + M129, 0)</f>
        <v>0</v>
      </c>
      <c r="N130" s="1">
        <f>IF(K130 + N129 &lt; 0, K130 + N129, 0)</f>
        <v>0</v>
      </c>
      <c r="O130" s="1">
        <f>IF(L130 + O129 &lt; 0, L130 + O129, 0)</f>
        <v>0</v>
      </c>
      <c r="P130" s="1">
        <f>IF(O130 &lt; 0, 1 + P129, 0)</f>
        <v>0</v>
      </c>
      <c r="Q130" s="1">
        <f>IF(E130&lt;0,1,0)</f>
        <v>0</v>
      </c>
      <c r="R130" s="1">
        <f>IF(Q130=1,E130,0)</f>
        <v>0</v>
      </c>
      <c r="S130" s="1">
        <f>IF(E130&gt;0,1,0)</f>
        <v>0</v>
      </c>
      <c r="T130" s="1">
        <f>IF(S130=1,E130,0)</f>
        <v>0</v>
      </c>
      <c r="U130" s="1">
        <f>IF(R130&lt;-100000000/100,1,0)</f>
        <v>0</v>
      </c>
      <c r="V130" s="1">
        <f>IF(T130&gt;100000000/100,1,0)</f>
        <v>0</v>
      </c>
      <c r="W130" s="1">
        <f>IF(L130&lt;0,1,0)</f>
        <v>0</v>
      </c>
      <c r="X130" s="1">
        <f>IF(W130=1,L130,0)</f>
        <v>0</v>
      </c>
      <c r="Y130" s="1">
        <f>IF(L130&gt;0,1,0)</f>
        <v>0</v>
      </c>
      <c r="Z130" s="1">
        <f>IF(Y130=1,L130,0)</f>
        <v>0</v>
      </c>
      <c r="AA130" s="1">
        <f>IF(X130&lt;-100000000/100,1,0)</f>
        <v>0</v>
      </c>
      <c r="AB130" s="1">
        <f>IF(Z130&gt;100000000/100,1,0)</f>
        <v>0</v>
      </c>
    </row>
    <row r="131" spans="1:28" s="1" customFormat="1">
      <c r="A131" s="3">
        <v>45120</v>
      </c>
      <c r="B131" s="2" t="s">
        <v>16</v>
      </c>
      <c r="C131" s="1">
        <f>SUM(PL!E131:H131)</f>
        <v>0</v>
      </c>
      <c r="D131" s="1">
        <f>SUM(PL!I131:L131)</f>
        <v>0</v>
      </c>
      <c r="E131" s="1">
        <f>SUM(C131:D131)</f>
        <v>0</v>
      </c>
      <c r="F131" s="1">
        <f>IF(C131 + F130 &lt; 0, C131 + F130, 0)</f>
        <v>0</v>
      </c>
      <c r="G131" s="1">
        <f>IF(D131 + G130 &lt; 0, D131 + G130, 0)</f>
        <v>0</v>
      </c>
      <c r="H131" s="1">
        <f>IF(E131 + H130 &lt; 0, E131 + H130, 0)</f>
        <v>0</v>
      </c>
      <c r="I131" s="1">
        <f>IF(H131 &lt; 0, 1 + I130, 0)</f>
        <v>0</v>
      </c>
      <c r="J131" s="1">
        <f>C131-((ABS(SUM(PL!E131:H131)))*0.125)</f>
        <v>0</v>
      </c>
      <c r="K131" s="1">
        <f>D131-((ABS(SUM(PL!I131:L131)))*0.125)</f>
        <v>0</v>
      </c>
      <c r="L131" s="1">
        <f>J131 + K131</f>
        <v>0</v>
      </c>
      <c r="M131" s="1">
        <f>IF(J131 + M130 &lt; 0, J131 + M130, 0)</f>
        <v>0</v>
      </c>
      <c r="N131" s="1">
        <f>IF(K131 + N130 &lt; 0, K131 + N130, 0)</f>
        <v>0</v>
      </c>
      <c r="O131" s="1">
        <f>IF(L131 + O130 &lt; 0, L131 + O130, 0)</f>
        <v>0</v>
      </c>
      <c r="P131" s="1">
        <f>IF(O131 &lt; 0, 1 + P130, 0)</f>
        <v>0</v>
      </c>
      <c r="Q131" s="1">
        <f>IF(E131&lt;0,1,0)</f>
        <v>0</v>
      </c>
      <c r="R131" s="1">
        <f>IF(Q131=1,E131,0)</f>
        <v>0</v>
      </c>
      <c r="S131" s="1">
        <f>IF(E131&gt;0,1,0)</f>
        <v>0</v>
      </c>
      <c r="T131" s="1">
        <f>IF(S131=1,E131,0)</f>
        <v>0</v>
      </c>
      <c r="U131" s="1">
        <f>IF(R131&lt;-100000000/100,1,0)</f>
        <v>0</v>
      </c>
      <c r="V131" s="1">
        <f>IF(T131&gt;100000000/100,1,0)</f>
        <v>0</v>
      </c>
      <c r="W131" s="1">
        <f>IF(L131&lt;0,1,0)</f>
        <v>0</v>
      </c>
      <c r="X131" s="1">
        <f>IF(W131=1,L131,0)</f>
        <v>0</v>
      </c>
      <c r="Y131" s="1">
        <f>IF(L131&gt;0,1,0)</f>
        <v>0</v>
      </c>
      <c r="Z131" s="1">
        <f>IF(Y131=1,L131,0)</f>
        <v>0</v>
      </c>
      <c r="AA131" s="1">
        <f>IF(X131&lt;-100000000/100,1,0)</f>
        <v>0</v>
      </c>
      <c r="AB131" s="1">
        <f>IF(Z131&gt;100000000/100,1,0)</f>
        <v>0</v>
      </c>
    </row>
    <row r="132" spans="1:28" s="1" customFormat="1">
      <c r="A132" s="3">
        <v>45124</v>
      </c>
      <c r="B132" s="2" t="s">
        <v>12</v>
      </c>
      <c r="C132" s="1">
        <f>SUM(PL!E132:H132)</f>
        <v>0</v>
      </c>
      <c r="D132" s="1">
        <f>SUM(PL!I132:L132)</f>
        <v>0</v>
      </c>
      <c r="E132" s="1">
        <f>SUM(C132:D132)</f>
        <v>0</v>
      </c>
      <c r="F132" s="1">
        <f>IF(C132 + F131 &lt; 0, C132 + F131, 0)</f>
        <v>0</v>
      </c>
      <c r="G132" s="1">
        <f>IF(D132 + G131 &lt; 0, D132 + G131, 0)</f>
        <v>0</v>
      </c>
      <c r="H132" s="1">
        <f>IF(E132 + H131 &lt; 0, E132 + H131, 0)</f>
        <v>0</v>
      </c>
      <c r="I132" s="1">
        <f>IF(H132 &lt; 0, 1 + I131, 0)</f>
        <v>0</v>
      </c>
      <c r="J132" s="1">
        <f>C132-((ABS(SUM(PL!E132:H132)))*0.125)</f>
        <v>0</v>
      </c>
      <c r="K132" s="1">
        <f>D132-((ABS(SUM(PL!I132:L132)))*0.125)</f>
        <v>0</v>
      </c>
      <c r="L132" s="1">
        <f>J132 + K132</f>
        <v>0</v>
      </c>
      <c r="M132" s="1">
        <f>IF(J132 + M131 &lt; 0, J132 + M131, 0)</f>
        <v>0</v>
      </c>
      <c r="N132" s="1">
        <f>IF(K132 + N131 &lt; 0, K132 + N131, 0)</f>
        <v>0</v>
      </c>
      <c r="O132" s="1">
        <f>IF(L132 + O131 &lt; 0, L132 + O131, 0)</f>
        <v>0</v>
      </c>
      <c r="P132" s="1">
        <f>IF(O132 &lt; 0, 1 + P131, 0)</f>
        <v>0</v>
      </c>
      <c r="Q132" s="1">
        <f>IF(E132&lt;0,1,0)</f>
        <v>0</v>
      </c>
      <c r="R132" s="1">
        <f>IF(Q132=1,E132,0)</f>
        <v>0</v>
      </c>
      <c r="S132" s="1">
        <f>IF(E132&gt;0,1,0)</f>
        <v>0</v>
      </c>
      <c r="T132" s="1">
        <f>IF(S132=1,E132,0)</f>
        <v>0</v>
      </c>
      <c r="U132" s="1">
        <f>IF(R132&lt;-100000000/100,1,0)</f>
        <v>0</v>
      </c>
      <c r="V132" s="1">
        <f>IF(T132&gt;100000000/100,1,0)</f>
        <v>0</v>
      </c>
      <c r="W132" s="1">
        <f>IF(L132&lt;0,1,0)</f>
        <v>0</v>
      </c>
      <c r="X132" s="1">
        <f>IF(W132=1,L132,0)</f>
        <v>0</v>
      </c>
      <c r="Y132" s="1">
        <f>IF(L132&gt;0,1,0)</f>
        <v>0</v>
      </c>
      <c r="Z132" s="1">
        <f>IF(Y132=1,L132,0)</f>
        <v>0</v>
      </c>
      <c r="AA132" s="1">
        <f>IF(X132&lt;-100000000/100,1,0)</f>
        <v>0</v>
      </c>
      <c r="AB132" s="1">
        <f>IF(Z132&gt;100000000/100,1,0)</f>
        <v>0</v>
      </c>
    </row>
    <row r="133" spans="1:28" s="1" customFormat="1">
      <c r="A133" s="3">
        <v>45125</v>
      </c>
      <c r="B133" s="2" t="s">
        <v>13</v>
      </c>
      <c r="C133" s="1">
        <f>SUM(PL!E133:H133)</f>
        <v>0</v>
      </c>
      <c r="D133" s="1">
        <f>SUM(PL!I133:L133)</f>
        <v>0</v>
      </c>
      <c r="E133" s="1">
        <f>SUM(C133:D133)</f>
        <v>0</v>
      </c>
      <c r="F133" s="1">
        <f>IF(C133 + F132 &lt; 0, C133 + F132, 0)</f>
        <v>0</v>
      </c>
      <c r="G133" s="1">
        <f>IF(D133 + G132 &lt; 0, D133 + G132, 0)</f>
        <v>0</v>
      </c>
      <c r="H133" s="1">
        <f>IF(E133 + H132 &lt; 0, E133 + H132, 0)</f>
        <v>0</v>
      </c>
      <c r="I133" s="1">
        <f>IF(H133 &lt; 0, 1 + I132, 0)</f>
        <v>0</v>
      </c>
      <c r="J133" s="1">
        <f>C133-((ABS(SUM(PL!E133:H133)))*0.125)</f>
        <v>0</v>
      </c>
      <c r="K133" s="1">
        <f>D133-((ABS(SUM(PL!I133:L133)))*0.125)</f>
        <v>0</v>
      </c>
      <c r="L133" s="1">
        <f>J133 + K133</f>
        <v>0</v>
      </c>
      <c r="M133" s="1">
        <f>IF(J133 + M132 &lt; 0, J133 + M132, 0)</f>
        <v>0</v>
      </c>
      <c r="N133" s="1">
        <f>IF(K133 + N132 &lt; 0, K133 + N132, 0)</f>
        <v>0</v>
      </c>
      <c r="O133" s="1">
        <f>IF(L133 + O132 &lt; 0, L133 + O132, 0)</f>
        <v>0</v>
      </c>
      <c r="P133" s="1">
        <f>IF(O133 &lt; 0, 1 + P132, 0)</f>
        <v>0</v>
      </c>
      <c r="Q133" s="1">
        <f>IF(E133&lt;0,1,0)</f>
        <v>0</v>
      </c>
      <c r="R133" s="1">
        <f>IF(Q133=1,E133,0)</f>
        <v>0</v>
      </c>
      <c r="S133" s="1">
        <f>IF(E133&gt;0,1,0)</f>
        <v>0</v>
      </c>
      <c r="T133" s="1">
        <f>IF(S133=1,E133,0)</f>
        <v>0</v>
      </c>
      <c r="U133" s="1">
        <f>IF(R133&lt;-100000000/100,1,0)</f>
        <v>0</v>
      </c>
      <c r="V133" s="1">
        <f>IF(T133&gt;100000000/100,1,0)</f>
        <v>0</v>
      </c>
      <c r="W133" s="1">
        <f>IF(L133&lt;0,1,0)</f>
        <v>0</v>
      </c>
      <c r="X133" s="1">
        <f>IF(W133=1,L133,0)</f>
        <v>0</v>
      </c>
      <c r="Y133" s="1">
        <f>IF(L133&gt;0,1,0)</f>
        <v>0</v>
      </c>
      <c r="Z133" s="1">
        <f>IF(Y133=1,L133,0)</f>
        <v>0</v>
      </c>
      <c r="AA133" s="1">
        <f>IF(X133&lt;-100000000/100,1,0)</f>
        <v>0</v>
      </c>
      <c r="AB133" s="1">
        <f>IF(Z133&gt;100000000/100,1,0)</f>
        <v>0</v>
      </c>
    </row>
    <row r="134" spans="1:28" s="1" customFormat="1">
      <c r="A134" s="3">
        <v>45126</v>
      </c>
      <c r="B134" s="2" t="s">
        <v>14</v>
      </c>
      <c r="C134" s="1">
        <f>SUM(PL!E134:H134)</f>
        <v>0</v>
      </c>
      <c r="D134" s="1">
        <f>SUM(PL!I134:L134)</f>
        <v>0</v>
      </c>
      <c r="E134" s="1">
        <f>SUM(C134:D134)</f>
        <v>0</v>
      </c>
      <c r="F134" s="1">
        <f>IF(C134 + F133 &lt; 0, C134 + F133, 0)</f>
        <v>0</v>
      </c>
      <c r="G134" s="1">
        <f>IF(D134 + G133 &lt; 0, D134 + G133, 0)</f>
        <v>0</v>
      </c>
      <c r="H134" s="1">
        <f>IF(E134 + H133 &lt; 0, E134 + H133, 0)</f>
        <v>0</v>
      </c>
      <c r="I134" s="1">
        <f>IF(H134 &lt; 0, 1 + I133, 0)</f>
        <v>0</v>
      </c>
      <c r="J134" s="1">
        <f>C134-((ABS(SUM(PL!E134:H134)))*0.125)</f>
        <v>0</v>
      </c>
      <c r="K134" s="1">
        <f>D134-((ABS(SUM(PL!I134:L134)))*0.125)</f>
        <v>0</v>
      </c>
      <c r="L134" s="1">
        <f>J134 + K134</f>
        <v>0</v>
      </c>
      <c r="M134" s="1">
        <f>IF(J134 + M133 &lt; 0, J134 + M133, 0)</f>
        <v>0</v>
      </c>
      <c r="N134" s="1">
        <f>IF(K134 + N133 &lt; 0, K134 + N133, 0)</f>
        <v>0</v>
      </c>
      <c r="O134" s="1">
        <f>IF(L134 + O133 &lt; 0, L134 + O133, 0)</f>
        <v>0</v>
      </c>
      <c r="P134" s="1">
        <f>IF(O134 &lt; 0, 1 + P133, 0)</f>
        <v>0</v>
      </c>
      <c r="Q134" s="1">
        <f>IF(E134&lt;0,1,0)</f>
        <v>0</v>
      </c>
      <c r="R134" s="1">
        <f>IF(Q134=1,E134,0)</f>
        <v>0</v>
      </c>
      <c r="S134" s="1">
        <f>IF(E134&gt;0,1,0)</f>
        <v>0</v>
      </c>
      <c r="T134" s="1">
        <f>IF(S134=1,E134,0)</f>
        <v>0</v>
      </c>
      <c r="U134" s="1">
        <f>IF(R134&lt;-100000000/100,1,0)</f>
        <v>0</v>
      </c>
      <c r="V134" s="1">
        <f>IF(T134&gt;100000000/100,1,0)</f>
        <v>0</v>
      </c>
      <c r="W134" s="1">
        <f>IF(L134&lt;0,1,0)</f>
        <v>0</v>
      </c>
      <c r="X134" s="1">
        <f>IF(W134=1,L134,0)</f>
        <v>0</v>
      </c>
      <c r="Y134" s="1">
        <f>IF(L134&gt;0,1,0)</f>
        <v>0</v>
      </c>
      <c r="Z134" s="1">
        <f>IF(Y134=1,L134,0)</f>
        <v>0</v>
      </c>
      <c r="AA134" s="1">
        <f>IF(X134&lt;-100000000/100,1,0)</f>
        <v>0</v>
      </c>
      <c r="AB134" s="1">
        <f>IF(Z134&gt;100000000/100,1,0)</f>
        <v>0</v>
      </c>
    </row>
    <row r="135" spans="1:28" s="1" customFormat="1">
      <c r="A135" s="3">
        <v>45127</v>
      </c>
      <c r="B135" s="2" t="s">
        <v>16</v>
      </c>
      <c r="C135" s="1">
        <f>SUM(PL!E135:H135)</f>
        <v>0</v>
      </c>
      <c r="D135" s="1">
        <f>SUM(PL!I135:L135)</f>
        <v>0</v>
      </c>
      <c r="E135" s="1">
        <f>SUM(C135:D135)</f>
        <v>0</v>
      </c>
      <c r="F135" s="1">
        <f>IF(C135 + F134 &lt; 0, C135 + F134, 0)</f>
        <v>0</v>
      </c>
      <c r="G135" s="1">
        <f>IF(D135 + G134 &lt; 0, D135 + G134, 0)</f>
        <v>0</v>
      </c>
      <c r="H135" s="1">
        <f>IF(E135 + H134 &lt; 0, E135 + H134, 0)</f>
        <v>0</v>
      </c>
      <c r="I135" s="1">
        <f>IF(H135 &lt; 0, 1 + I134, 0)</f>
        <v>0</v>
      </c>
      <c r="J135" s="1">
        <f>C135-((ABS(SUM(PL!E135:H135)))*0.125)</f>
        <v>0</v>
      </c>
      <c r="K135" s="1">
        <f>D135-((ABS(SUM(PL!I135:L135)))*0.125)</f>
        <v>0</v>
      </c>
      <c r="L135" s="1">
        <f>J135 + K135</f>
        <v>0</v>
      </c>
      <c r="M135" s="1">
        <f>IF(J135 + M134 &lt; 0, J135 + M134, 0)</f>
        <v>0</v>
      </c>
      <c r="N135" s="1">
        <f>IF(K135 + N134 &lt; 0, K135 + N134, 0)</f>
        <v>0</v>
      </c>
      <c r="O135" s="1">
        <f>IF(L135 + O134 &lt; 0, L135 + O134, 0)</f>
        <v>0</v>
      </c>
      <c r="P135" s="1">
        <f>IF(O135 &lt; 0, 1 + P134, 0)</f>
        <v>0</v>
      </c>
      <c r="Q135" s="1">
        <f>IF(E135&lt;0,1,0)</f>
        <v>0</v>
      </c>
      <c r="R135" s="1">
        <f>IF(Q135=1,E135,0)</f>
        <v>0</v>
      </c>
      <c r="S135" s="1">
        <f>IF(E135&gt;0,1,0)</f>
        <v>0</v>
      </c>
      <c r="T135" s="1">
        <f>IF(S135=1,E135,0)</f>
        <v>0</v>
      </c>
      <c r="U135" s="1">
        <f>IF(R135&lt;-100000000/100,1,0)</f>
        <v>0</v>
      </c>
      <c r="V135" s="1">
        <f>IF(T135&gt;100000000/100,1,0)</f>
        <v>0</v>
      </c>
      <c r="W135" s="1">
        <f>IF(L135&lt;0,1,0)</f>
        <v>0</v>
      </c>
      <c r="X135" s="1">
        <f>IF(W135=1,L135,0)</f>
        <v>0</v>
      </c>
      <c r="Y135" s="1">
        <f>IF(L135&gt;0,1,0)</f>
        <v>0</v>
      </c>
      <c r="Z135" s="1">
        <f>IF(Y135=1,L135,0)</f>
        <v>0</v>
      </c>
      <c r="AA135" s="1">
        <f>IF(X135&lt;-100000000/100,1,0)</f>
        <v>0</v>
      </c>
      <c r="AB135" s="1">
        <f>IF(Z135&gt;100000000/100,1,0)</f>
        <v>0</v>
      </c>
    </row>
    <row r="136" spans="1:28" s="1" customFormat="1">
      <c r="A136" s="3">
        <v>45128</v>
      </c>
      <c r="B136" s="2" t="s">
        <v>15</v>
      </c>
      <c r="C136" s="1">
        <f>SUM(PL!E136:H136)</f>
        <v>0</v>
      </c>
      <c r="D136" s="1">
        <f>SUM(PL!I136:L136)</f>
        <v>0</v>
      </c>
      <c r="E136" s="1">
        <f>SUM(C136:D136)</f>
        <v>0</v>
      </c>
      <c r="F136" s="1">
        <f>IF(C136 + F135 &lt; 0, C136 + F135, 0)</f>
        <v>0</v>
      </c>
      <c r="G136" s="1">
        <f>IF(D136 + G135 &lt; 0, D136 + G135, 0)</f>
        <v>0</v>
      </c>
      <c r="H136" s="1">
        <f>IF(E136 + H135 &lt; 0, E136 + H135, 0)</f>
        <v>0</v>
      </c>
      <c r="I136" s="1">
        <f>IF(H136 &lt; 0, 1 + I135, 0)</f>
        <v>0</v>
      </c>
      <c r="J136" s="1">
        <f>C136-((ABS(SUM(PL!E136:H136)))*0.125)</f>
        <v>0</v>
      </c>
      <c r="K136" s="1">
        <f>D136-((ABS(SUM(PL!I136:L136)))*0.125)</f>
        <v>0</v>
      </c>
      <c r="L136" s="1">
        <f>J136 + K136</f>
        <v>0</v>
      </c>
      <c r="M136" s="1">
        <f>IF(J136 + M135 &lt; 0, J136 + M135, 0)</f>
        <v>0</v>
      </c>
      <c r="N136" s="1">
        <f>IF(K136 + N135 &lt; 0, K136 + N135, 0)</f>
        <v>0</v>
      </c>
      <c r="O136" s="1">
        <f>IF(L136 + O135 &lt; 0, L136 + O135, 0)</f>
        <v>0</v>
      </c>
      <c r="P136" s="1">
        <f>IF(O136 &lt; 0, 1 + P135, 0)</f>
        <v>0</v>
      </c>
      <c r="Q136" s="1">
        <f>IF(E136&lt;0,1,0)</f>
        <v>0</v>
      </c>
      <c r="R136" s="1">
        <f>IF(Q136=1,E136,0)</f>
        <v>0</v>
      </c>
      <c r="S136" s="1">
        <f>IF(E136&gt;0,1,0)</f>
        <v>0</v>
      </c>
      <c r="T136" s="1">
        <f>IF(S136=1,E136,0)</f>
        <v>0</v>
      </c>
      <c r="U136" s="1">
        <f>IF(R136&lt;-100000000/100,1,0)</f>
        <v>0</v>
      </c>
      <c r="V136" s="1">
        <f>IF(T136&gt;100000000/100,1,0)</f>
        <v>0</v>
      </c>
      <c r="W136" s="1">
        <f>IF(L136&lt;0,1,0)</f>
        <v>0</v>
      </c>
      <c r="X136" s="1">
        <f>IF(W136=1,L136,0)</f>
        <v>0</v>
      </c>
      <c r="Y136" s="1">
        <f>IF(L136&gt;0,1,0)</f>
        <v>0</v>
      </c>
      <c r="Z136" s="1">
        <f>IF(Y136=1,L136,0)</f>
        <v>0</v>
      </c>
      <c r="AA136" s="1">
        <f>IF(X136&lt;-100000000/100,1,0)</f>
        <v>0</v>
      </c>
      <c r="AB136" s="1">
        <f>IF(Z136&gt;100000000/100,1,0)</f>
        <v>0</v>
      </c>
    </row>
    <row r="137" spans="1:28" s="1" customFormat="1">
      <c r="A137" s="3">
        <v>45131</v>
      </c>
      <c r="B137" s="2" t="s">
        <v>12</v>
      </c>
      <c r="C137" s="1">
        <f>SUM(PL!E137:H137)</f>
        <v>0</v>
      </c>
      <c r="D137" s="1">
        <f>SUM(PL!I137:L137)</f>
        <v>0</v>
      </c>
      <c r="E137" s="1">
        <f>SUM(C137:D137)</f>
        <v>0</v>
      </c>
      <c r="F137" s="1">
        <f>IF(C137 + F136 &lt; 0, C137 + F136, 0)</f>
        <v>0</v>
      </c>
      <c r="G137" s="1">
        <f>IF(D137 + G136 &lt; 0, D137 + G136, 0)</f>
        <v>0</v>
      </c>
      <c r="H137" s="1">
        <f>IF(E137 + H136 &lt; 0, E137 + H136, 0)</f>
        <v>0</v>
      </c>
      <c r="I137" s="1">
        <f>IF(H137 &lt; 0, 1 + I136, 0)</f>
        <v>0</v>
      </c>
      <c r="J137" s="1">
        <f>C137-((ABS(SUM(PL!E137:H137)))*0.125)</f>
        <v>0</v>
      </c>
      <c r="K137" s="1">
        <f>D137-((ABS(SUM(PL!I137:L137)))*0.125)</f>
        <v>0</v>
      </c>
      <c r="L137" s="1">
        <f>J137 + K137</f>
        <v>0</v>
      </c>
      <c r="M137" s="1">
        <f>IF(J137 + M136 &lt; 0, J137 + M136, 0)</f>
        <v>0</v>
      </c>
      <c r="N137" s="1">
        <f>IF(K137 + N136 &lt; 0, K137 + N136, 0)</f>
        <v>0</v>
      </c>
      <c r="O137" s="1">
        <f>IF(L137 + O136 &lt; 0, L137 + O136, 0)</f>
        <v>0</v>
      </c>
      <c r="P137" s="1">
        <f>IF(O137 &lt; 0, 1 + P136, 0)</f>
        <v>0</v>
      </c>
      <c r="Q137" s="1">
        <f>IF(E137&lt;0,1,0)</f>
        <v>0</v>
      </c>
      <c r="R137" s="1">
        <f>IF(Q137=1,E137,0)</f>
        <v>0</v>
      </c>
      <c r="S137" s="1">
        <f>IF(E137&gt;0,1,0)</f>
        <v>0</v>
      </c>
      <c r="T137" s="1">
        <f>IF(S137=1,E137,0)</f>
        <v>0</v>
      </c>
      <c r="U137" s="1">
        <f>IF(R137&lt;-100000000/100,1,0)</f>
        <v>0</v>
      </c>
      <c r="V137" s="1">
        <f>IF(T137&gt;100000000/100,1,0)</f>
        <v>0</v>
      </c>
      <c r="W137" s="1">
        <f>IF(L137&lt;0,1,0)</f>
        <v>0</v>
      </c>
      <c r="X137" s="1">
        <f>IF(W137=1,L137,0)</f>
        <v>0</v>
      </c>
      <c r="Y137" s="1">
        <f>IF(L137&gt;0,1,0)</f>
        <v>0</v>
      </c>
      <c r="Z137" s="1">
        <f>IF(Y137=1,L137,0)</f>
        <v>0</v>
      </c>
      <c r="AA137" s="1">
        <f>IF(X137&lt;-100000000/100,1,0)</f>
        <v>0</v>
      </c>
      <c r="AB137" s="1">
        <f>IF(Z137&gt;100000000/100,1,0)</f>
        <v>0</v>
      </c>
    </row>
    <row r="138" spans="1:28" s="1" customFormat="1">
      <c r="A138" s="3">
        <v>45132</v>
      </c>
      <c r="B138" s="2" t="s">
        <v>13</v>
      </c>
      <c r="C138" s="1">
        <f>SUM(PL!E138:H138)</f>
        <v>0</v>
      </c>
      <c r="D138" s="1">
        <f>SUM(PL!I138:L138)</f>
        <v>0</v>
      </c>
      <c r="E138" s="1">
        <f>SUM(C138:D138)</f>
        <v>0</v>
      </c>
      <c r="F138" s="1">
        <f>IF(C138 + F137 &lt; 0, C138 + F137, 0)</f>
        <v>0</v>
      </c>
      <c r="G138" s="1">
        <f>IF(D138 + G137 &lt; 0, D138 + G137, 0)</f>
        <v>0</v>
      </c>
      <c r="H138" s="1">
        <f>IF(E138 + H137 &lt; 0, E138 + H137, 0)</f>
        <v>0</v>
      </c>
      <c r="I138" s="1">
        <f>IF(H138 &lt; 0, 1 + I137, 0)</f>
        <v>0</v>
      </c>
      <c r="J138" s="1">
        <f>C138-((ABS(SUM(PL!E138:H138)))*0.125)</f>
        <v>0</v>
      </c>
      <c r="K138" s="1">
        <f>D138-((ABS(SUM(PL!I138:L138)))*0.125)</f>
        <v>0</v>
      </c>
      <c r="L138" s="1">
        <f>J138 + K138</f>
        <v>0</v>
      </c>
      <c r="M138" s="1">
        <f>IF(J138 + M137 &lt; 0, J138 + M137, 0)</f>
        <v>0</v>
      </c>
      <c r="N138" s="1">
        <f>IF(K138 + N137 &lt; 0, K138 + N137, 0)</f>
        <v>0</v>
      </c>
      <c r="O138" s="1">
        <f>IF(L138 + O137 &lt; 0, L138 + O137, 0)</f>
        <v>0</v>
      </c>
      <c r="P138" s="1">
        <f>IF(O138 &lt; 0, 1 + P137, 0)</f>
        <v>0</v>
      </c>
      <c r="Q138" s="1">
        <f>IF(E138&lt;0,1,0)</f>
        <v>0</v>
      </c>
      <c r="R138" s="1">
        <f>IF(Q138=1,E138,0)</f>
        <v>0</v>
      </c>
      <c r="S138" s="1">
        <f>IF(E138&gt;0,1,0)</f>
        <v>0</v>
      </c>
      <c r="T138" s="1">
        <f>IF(S138=1,E138,0)</f>
        <v>0</v>
      </c>
      <c r="U138" s="1">
        <f>IF(R138&lt;-100000000/100,1,0)</f>
        <v>0</v>
      </c>
      <c r="V138" s="1">
        <f>IF(T138&gt;100000000/100,1,0)</f>
        <v>0</v>
      </c>
      <c r="W138" s="1">
        <f>IF(L138&lt;0,1,0)</f>
        <v>0</v>
      </c>
      <c r="X138" s="1">
        <f>IF(W138=1,L138,0)</f>
        <v>0</v>
      </c>
      <c r="Y138" s="1">
        <f>IF(L138&gt;0,1,0)</f>
        <v>0</v>
      </c>
      <c r="Z138" s="1">
        <f>IF(Y138=1,L138,0)</f>
        <v>0</v>
      </c>
      <c r="AA138" s="1">
        <f>IF(X138&lt;-100000000/100,1,0)</f>
        <v>0</v>
      </c>
      <c r="AB138" s="1">
        <f>IF(Z138&gt;100000000/100,1,0)</f>
        <v>0</v>
      </c>
    </row>
    <row r="139" spans="1:28" s="1" customFormat="1">
      <c r="A139" s="3">
        <v>45133</v>
      </c>
      <c r="B139" s="2" t="s">
        <v>14</v>
      </c>
      <c r="C139" s="1">
        <f>SUM(PL!E139:H139)</f>
        <v>0</v>
      </c>
      <c r="D139" s="1">
        <f>SUM(PL!I139:L139)</f>
        <v>0</v>
      </c>
      <c r="E139" s="1">
        <f>SUM(C139:D139)</f>
        <v>0</v>
      </c>
      <c r="F139" s="1">
        <f>IF(C139 + F138 &lt; 0, C139 + F138, 0)</f>
        <v>0</v>
      </c>
      <c r="G139" s="1">
        <f>IF(D139 + G138 &lt; 0, D139 + G138, 0)</f>
        <v>0</v>
      </c>
      <c r="H139" s="1">
        <f>IF(E139 + H138 &lt; 0, E139 + H138, 0)</f>
        <v>0</v>
      </c>
      <c r="I139" s="1">
        <f>IF(H139 &lt; 0, 1 + I138, 0)</f>
        <v>0</v>
      </c>
      <c r="J139" s="1">
        <f>C139-((ABS(SUM(PL!E139:H139)))*0.125)</f>
        <v>0</v>
      </c>
      <c r="K139" s="1">
        <f>D139-((ABS(SUM(PL!I139:L139)))*0.125)</f>
        <v>0</v>
      </c>
      <c r="L139" s="1">
        <f>J139 + K139</f>
        <v>0</v>
      </c>
      <c r="M139" s="1">
        <f>IF(J139 + M138 &lt; 0, J139 + M138, 0)</f>
        <v>0</v>
      </c>
      <c r="N139" s="1">
        <f>IF(K139 + N138 &lt; 0, K139 + N138, 0)</f>
        <v>0</v>
      </c>
      <c r="O139" s="1">
        <f>IF(L139 + O138 &lt; 0, L139 + O138, 0)</f>
        <v>0</v>
      </c>
      <c r="P139" s="1">
        <f>IF(O139 &lt; 0, 1 + P138, 0)</f>
        <v>0</v>
      </c>
      <c r="Q139" s="1">
        <f>IF(E139&lt;0,1,0)</f>
        <v>0</v>
      </c>
      <c r="R139" s="1">
        <f>IF(Q139=1,E139,0)</f>
        <v>0</v>
      </c>
      <c r="S139" s="1">
        <f>IF(E139&gt;0,1,0)</f>
        <v>0</v>
      </c>
      <c r="T139" s="1">
        <f>IF(S139=1,E139,0)</f>
        <v>0</v>
      </c>
      <c r="U139" s="1">
        <f>IF(R139&lt;-100000000/100,1,0)</f>
        <v>0</v>
      </c>
      <c r="V139" s="1">
        <f>IF(T139&gt;100000000/100,1,0)</f>
        <v>0</v>
      </c>
      <c r="W139" s="1">
        <f>IF(L139&lt;0,1,0)</f>
        <v>0</v>
      </c>
      <c r="X139" s="1">
        <f>IF(W139=1,L139,0)</f>
        <v>0</v>
      </c>
      <c r="Y139" s="1">
        <f>IF(L139&gt;0,1,0)</f>
        <v>0</v>
      </c>
      <c r="Z139" s="1">
        <f>IF(Y139=1,L139,0)</f>
        <v>0</v>
      </c>
      <c r="AA139" s="1">
        <f>IF(X139&lt;-100000000/100,1,0)</f>
        <v>0</v>
      </c>
      <c r="AB139" s="1">
        <f>IF(Z139&gt;100000000/100,1,0)</f>
        <v>0</v>
      </c>
    </row>
    <row r="140" spans="1:28" s="1" customFormat="1">
      <c r="A140" s="3">
        <v>45134</v>
      </c>
      <c r="B140" s="2" t="s">
        <v>16</v>
      </c>
      <c r="C140" s="1">
        <f>SUM(PL!E140:H140)</f>
        <v>0</v>
      </c>
      <c r="D140" s="1">
        <f>SUM(PL!I140:L140)</f>
        <v>0</v>
      </c>
      <c r="E140" s="1">
        <f>SUM(C140:D140)</f>
        <v>0</v>
      </c>
      <c r="F140" s="1">
        <f>IF(C140 + F139 &lt; 0, C140 + F139, 0)</f>
        <v>0</v>
      </c>
      <c r="G140" s="1">
        <f>IF(D140 + G139 &lt; 0, D140 + G139, 0)</f>
        <v>0</v>
      </c>
      <c r="H140" s="1">
        <f>IF(E140 + H139 &lt; 0, E140 + H139, 0)</f>
        <v>0</v>
      </c>
      <c r="I140" s="1">
        <f>IF(H140 &lt; 0, 1 + I139, 0)</f>
        <v>0</v>
      </c>
      <c r="J140" s="1">
        <f>C140-((ABS(SUM(PL!E140:H140)))*0.125)</f>
        <v>0</v>
      </c>
      <c r="K140" s="1">
        <f>D140-((ABS(SUM(PL!I140:L140)))*0.125)</f>
        <v>0</v>
      </c>
      <c r="L140" s="1">
        <f>J140 + K140</f>
        <v>0</v>
      </c>
      <c r="M140" s="1">
        <f>IF(J140 + M139 &lt; 0, J140 + M139, 0)</f>
        <v>0</v>
      </c>
      <c r="N140" s="1">
        <f>IF(K140 + N139 &lt; 0, K140 + N139, 0)</f>
        <v>0</v>
      </c>
      <c r="O140" s="1">
        <f>IF(L140 + O139 &lt; 0, L140 + O139, 0)</f>
        <v>0</v>
      </c>
      <c r="P140" s="1">
        <f>IF(O140 &lt; 0, 1 + P139, 0)</f>
        <v>0</v>
      </c>
      <c r="Q140" s="1">
        <f>IF(E140&lt;0,1,0)</f>
        <v>0</v>
      </c>
      <c r="R140" s="1">
        <f>IF(Q140=1,E140,0)</f>
        <v>0</v>
      </c>
      <c r="S140" s="1">
        <f>IF(E140&gt;0,1,0)</f>
        <v>0</v>
      </c>
      <c r="T140" s="1">
        <f>IF(S140=1,E140,0)</f>
        <v>0</v>
      </c>
      <c r="U140" s="1">
        <f>IF(R140&lt;-100000000/100,1,0)</f>
        <v>0</v>
      </c>
      <c r="V140" s="1">
        <f>IF(T140&gt;100000000/100,1,0)</f>
        <v>0</v>
      </c>
      <c r="W140" s="1">
        <f>IF(L140&lt;0,1,0)</f>
        <v>0</v>
      </c>
      <c r="X140" s="1">
        <f>IF(W140=1,L140,0)</f>
        <v>0</v>
      </c>
      <c r="Y140" s="1">
        <f>IF(L140&gt;0,1,0)</f>
        <v>0</v>
      </c>
      <c r="Z140" s="1">
        <f>IF(Y140=1,L140,0)</f>
        <v>0</v>
      </c>
      <c r="AA140" s="1">
        <f>IF(X140&lt;-100000000/100,1,0)</f>
        <v>0</v>
      </c>
      <c r="AB140" s="1">
        <f>IF(Z140&gt;100000000/100,1,0)</f>
        <v>0</v>
      </c>
    </row>
    <row r="141" spans="1:28" s="1" customFormat="1">
      <c r="A141" s="3">
        <v>45135</v>
      </c>
      <c r="B141" s="2" t="s">
        <v>15</v>
      </c>
      <c r="C141" s="1">
        <f>SUM(PL!E141:H141)</f>
        <v>0</v>
      </c>
      <c r="D141" s="1">
        <f>SUM(PL!I141:L141)</f>
        <v>0</v>
      </c>
      <c r="E141" s="1">
        <f>SUM(C141:D141)</f>
        <v>0</v>
      </c>
      <c r="F141" s="1">
        <f>IF(C141 + F140 &lt; 0, C141 + F140, 0)</f>
        <v>0</v>
      </c>
      <c r="G141" s="1">
        <f>IF(D141 + G140 &lt; 0, D141 + G140, 0)</f>
        <v>0</v>
      </c>
      <c r="H141" s="1">
        <f>IF(E141 + H140 &lt; 0, E141 + H140, 0)</f>
        <v>0</v>
      </c>
      <c r="I141" s="1">
        <f>IF(H141 &lt; 0, 1 + I140, 0)</f>
        <v>0</v>
      </c>
      <c r="J141" s="1">
        <f>C141-((ABS(SUM(PL!E141:H141)))*0.125)</f>
        <v>0</v>
      </c>
      <c r="K141" s="1">
        <f>D141-((ABS(SUM(PL!I141:L141)))*0.125)</f>
        <v>0</v>
      </c>
      <c r="L141" s="1">
        <f>J141 + K141</f>
        <v>0</v>
      </c>
      <c r="M141" s="1">
        <f>IF(J141 + M140 &lt; 0, J141 + M140, 0)</f>
        <v>0</v>
      </c>
      <c r="N141" s="1">
        <f>IF(K141 + N140 &lt; 0, K141 + N140, 0)</f>
        <v>0</v>
      </c>
      <c r="O141" s="1">
        <f>IF(L141 + O140 &lt; 0, L141 + O140, 0)</f>
        <v>0</v>
      </c>
      <c r="P141" s="1">
        <f>IF(O141 &lt; 0, 1 + P140, 0)</f>
        <v>0</v>
      </c>
      <c r="Q141" s="1">
        <f>IF(E141&lt;0,1,0)</f>
        <v>0</v>
      </c>
      <c r="R141" s="1">
        <f>IF(Q141=1,E141,0)</f>
        <v>0</v>
      </c>
      <c r="S141" s="1">
        <f>IF(E141&gt;0,1,0)</f>
        <v>0</v>
      </c>
      <c r="T141" s="1">
        <f>IF(S141=1,E141,0)</f>
        <v>0</v>
      </c>
      <c r="U141" s="1">
        <f>IF(R141&lt;-100000000/100,1,0)</f>
        <v>0</v>
      </c>
      <c r="V141" s="1">
        <f>IF(T141&gt;100000000/100,1,0)</f>
        <v>0</v>
      </c>
      <c r="W141" s="1">
        <f>IF(L141&lt;0,1,0)</f>
        <v>0</v>
      </c>
      <c r="X141" s="1">
        <f>IF(W141=1,L141,0)</f>
        <v>0</v>
      </c>
      <c r="Y141" s="1">
        <f>IF(L141&gt;0,1,0)</f>
        <v>0</v>
      </c>
      <c r="Z141" s="1">
        <f>IF(Y141=1,L141,0)</f>
        <v>0</v>
      </c>
      <c r="AA141" s="1">
        <f>IF(X141&lt;-100000000/100,1,0)</f>
        <v>0</v>
      </c>
      <c r="AB141" s="1">
        <f>IF(Z141&gt;100000000/100,1,0)</f>
        <v>0</v>
      </c>
    </row>
    <row r="142" spans="1:28" s="1" customFormat="1">
      <c r="A142" s="3">
        <v>45138</v>
      </c>
      <c r="B142" s="2" t="s">
        <v>12</v>
      </c>
      <c r="C142" s="1">
        <f>SUM(PL!E142:H142)</f>
        <v>0</v>
      </c>
      <c r="D142" s="1">
        <f>SUM(PL!I142:L142)</f>
        <v>0</v>
      </c>
      <c r="E142" s="1">
        <f>SUM(C142:D142)</f>
        <v>0</v>
      </c>
      <c r="F142" s="1">
        <f>IF(C142 + F141 &lt; 0, C142 + F141, 0)</f>
        <v>0</v>
      </c>
      <c r="G142" s="1">
        <f>IF(D142 + G141 &lt; 0, D142 + G141, 0)</f>
        <v>0</v>
      </c>
      <c r="H142" s="1">
        <f>IF(E142 + H141 &lt; 0, E142 + H141, 0)</f>
        <v>0</v>
      </c>
      <c r="I142" s="1">
        <f>IF(H142 &lt; 0, 1 + I141, 0)</f>
        <v>0</v>
      </c>
      <c r="J142" s="1">
        <f>C142-((ABS(SUM(PL!E142:H142)))*0.125)</f>
        <v>0</v>
      </c>
      <c r="K142" s="1">
        <f>D142-((ABS(SUM(PL!I142:L142)))*0.125)</f>
        <v>0</v>
      </c>
      <c r="L142" s="1">
        <f>J142 + K142</f>
        <v>0</v>
      </c>
      <c r="M142" s="1">
        <f>IF(J142 + M141 &lt; 0, J142 + M141, 0)</f>
        <v>0</v>
      </c>
      <c r="N142" s="1">
        <f>IF(K142 + N141 &lt; 0, K142 + N141, 0)</f>
        <v>0</v>
      </c>
      <c r="O142" s="1">
        <f>IF(L142 + O141 &lt; 0, L142 + O141, 0)</f>
        <v>0</v>
      </c>
      <c r="P142" s="1">
        <f>IF(O142 &lt; 0, 1 + P141, 0)</f>
        <v>0</v>
      </c>
      <c r="Q142" s="1">
        <f>IF(E142&lt;0,1,0)</f>
        <v>0</v>
      </c>
      <c r="R142" s="1">
        <f>IF(Q142=1,E142,0)</f>
        <v>0</v>
      </c>
      <c r="S142" s="1">
        <f>IF(E142&gt;0,1,0)</f>
        <v>0</v>
      </c>
      <c r="T142" s="1">
        <f>IF(S142=1,E142,0)</f>
        <v>0</v>
      </c>
      <c r="U142" s="1">
        <f>IF(R142&lt;-100000000/100,1,0)</f>
        <v>0</v>
      </c>
      <c r="V142" s="1">
        <f>IF(T142&gt;100000000/100,1,0)</f>
        <v>0</v>
      </c>
      <c r="W142" s="1">
        <f>IF(L142&lt;0,1,0)</f>
        <v>0</v>
      </c>
      <c r="X142" s="1">
        <f>IF(W142=1,L142,0)</f>
        <v>0</v>
      </c>
      <c r="Y142" s="1">
        <f>IF(L142&gt;0,1,0)</f>
        <v>0</v>
      </c>
      <c r="Z142" s="1">
        <f>IF(Y142=1,L142,0)</f>
        <v>0</v>
      </c>
      <c r="AA142" s="1">
        <f>IF(X142&lt;-100000000/100,1,0)</f>
        <v>0</v>
      </c>
      <c r="AB142" s="1">
        <f>IF(Z142&gt;100000000/100,1,0)</f>
        <v>0</v>
      </c>
    </row>
    <row r="143" spans="1:28" s="1" customFormat="1">
      <c r="A143" s="3">
        <v>45139</v>
      </c>
      <c r="B143" s="2" t="s">
        <v>13</v>
      </c>
      <c r="C143" s="1">
        <f>SUM(PL!E143:H143)</f>
        <v>0</v>
      </c>
      <c r="D143" s="1">
        <f>SUM(PL!I143:L143)</f>
        <v>0</v>
      </c>
      <c r="E143" s="1">
        <f>SUM(C143:D143)</f>
        <v>0</v>
      </c>
      <c r="F143" s="1">
        <f>IF(C143 + F142 &lt; 0, C143 + F142, 0)</f>
        <v>0</v>
      </c>
      <c r="G143" s="1">
        <f>IF(D143 + G142 &lt; 0, D143 + G142, 0)</f>
        <v>0</v>
      </c>
      <c r="H143" s="1">
        <f>IF(E143 + H142 &lt; 0, E143 + H142, 0)</f>
        <v>0</v>
      </c>
      <c r="I143" s="1">
        <f>IF(H143 &lt; 0, 1 + I142, 0)</f>
        <v>0</v>
      </c>
      <c r="J143" s="1">
        <f>C143-((ABS(SUM(PL!E143:H143)))*0.125)</f>
        <v>0</v>
      </c>
      <c r="K143" s="1">
        <f>D143-((ABS(SUM(PL!I143:L143)))*0.125)</f>
        <v>0</v>
      </c>
      <c r="L143" s="1">
        <f>J143 + K143</f>
        <v>0</v>
      </c>
      <c r="M143" s="1">
        <f>IF(J143 + M142 &lt; 0, J143 + M142, 0)</f>
        <v>0</v>
      </c>
      <c r="N143" s="1">
        <f>IF(K143 + N142 &lt; 0, K143 + N142, 0)</f>
        <v>0</v>
      </c>
      <c r="O143" s="1">
        <f>IF(L143 + O142 &lt; 0, L143 + O142, 0)</f>
        <v>0</v>
      </c>
      <c r="P143" s="1">
        <f>IF(O143 &lt; 0, 1 + P142, 0)</f>
        <v>0</v>
      </c>
      <c r="Q143" s="1">
        <f>IF(E143&lt;0,1,0)</f>
        <v>0</v>
      </c>
      <c r="R143" s="1">
        <f>IF(Q143=1,E143,0)</f>
        <v>0</v>
      </c>
      <c r="S143" s="1">
        <f>IF(E143&gt;0,1,0)</f>
        <v>0</v>
      </c>
      <c r="T143" s="1">
        <f>IF(S143=1,E143,0)</f>
        <v>0</v>
      </c>
      <c r="U143" s="1">
        <f>IF(R143&lt;-100000000/100,1,0)</f>
        <v>0</v>
      </c>
      <c r="V143" s="1">
        <f>IF(T143&gt;100000000/100,1,0)</f>
        <v>0</v>
      </c>
      <c r="W143" s="1">
        <f>IF(L143&lt;0,1,0)</f>
        <v>0</v>
      </c>
      <c r="X143" s="1">
        <f>IF(W143=1,L143,0)</f>
        <v>0</v>
      </c>
      <c r="Y143" s="1">
        <f>IF(L143&gt;0,1,0)</f>
        <v>0</v>
      </c>
      <c r="Z143" s="1">
        <f>IF(Y143=1,L143,0)</f>
        <v>0</v>
      </c>
      <c r="AA143" s="1">
        <f>IF(X143&lt;-100000000/100,1,0)</f>
        <v>0</v>
      </c>
      <c r="AB143" s="1">
        <f>IF(Z143&gt;100000000/100,1,0)</f>
        <v>0</v>
      </c>
    </row>
    <row r="144" spans="1:28" s="1" customFormat="1">
      <c r="A144" s="3">
        <v>45140</v>
      </c>
      <c r="B144" s="2" t="s">
        <v>14</v>
      </c>
      <c r="C144" s="1">
        <f>SUM(PL!E144:H144)</f>
        <v>0</v>
      </c>
      <c r="D144" s="1">
        <f>SUM(PL!I144:L144)</f>
        <v>0</v>
      </c>
      <c r="E144" s="1">
        <f>SUM(C144:D144)</f>
        <v>0</v>
      </c>
      <c r="F144" s="1">
        <f>IF(C144 + F143 &lt; 0, C144 + F143, 0)</f>
        <v>0</v>
      </c>
      <c r="G144" s="1">
        <f>IF(D144 + G143 &lt; 0, D144 + G143, 0)</f>
        <v>0</v>
      </c>
      <c r="H144" s="1">
        <f>IF(E144 + H143 &lt; 0, E144 + H143, 0)</f>
        <v>0</v>
      </c>
      <c r="I144" s="1">
        <f>IF(H144 &lt; 0, 1 + I143, 0)</f>
        <v>0</v>
      </c>
      <c r="J144" s="1">
        <f>C144-((ABS(SUM(PL!E144:H144)))*0.125)</f>
        <v>0</v>
      </c>
      <c r="K144" s="1">
        <f>D144-((ABS(SUM(PL!I144:L144)))*0.125)</f>
        <v>0</v>
      </c>
      <c r="L144" s="1">
        <f>J144 + K144</f>
        <v>0</v>
      </c>
      <c r="M144" s="1">
        <f>IF(J144 + M143 &lt; 0, J144 + M143, 0)</f>
        <v>0</v>
      </c>
      <c r="N144" s="1">
        <f>IF(K144 + N143 &lt; 0, K144 + N143, 0)</f>
        <v>0</v>
      </c>
      <c r="O144" s="1">
        <f>IF(L144 + O143 &lt; 0, L144 + O143, 0)</f>
        <v>0</v>
      </c>
      <c r="P144" s="1">
        <f>IF(O144 &lt; 0, 1 + P143, 0)</f>
        <v>0</v>
      </c>
      <c r="Q144" s="1">
        <f>IF(E144&lt;0,1,0)</f>
        <v>0</v>
      </c>
      <c r="R144" s="1">
        <f>IF(Q144=1,E144,0)</f>
        <v>0</v>
      </c>
      <c r="S144" s="1">
        <f>IF(E144&gt;0,1,0)</f>
        <v>0</v>
      </c>
      <c r="T144" s="1">
        <f>IF(S144=1,E144,0)</f>
        <v>0</v>
      </c>
      <c r="U144" s="1">
        <f>IF(R144&lt;-100000000/100,1,0)</f>
        <v>0</v>
      </c>
      <c r="V144" s="1">
        <f>IF(T144&gt;100000000/100,1,0)</f>
        <v>0</v>
      </c>
      <c r="W144" s="1">
        <f>IF(L144&lt;0,1,0)</f>
        <v>0</v>
      </c>
      <c r="X144" s="1">
        <f>IF(W144=1,L144,0)</f>
        <v>0</v>
      </c>
      <c r="Y144" s="1">
        <f>IF(L144&gt;0,1,0)</f>
        <v>0</v>
      </c>
      <c r="Z144" s="1">
        <f>IF(Y144=1,L144,0)</f>
        <v>0</v>
      </c>
      <c r="AA144" s="1">
        <f>IF(X144&lt;-100000000/100,1,0)</f>
        <v>0</v>
      </c>
      <c r="AB144" s="1">
        <f>IF(Z144&gt;100000000/100,1,0)</f>
        <v>0</v>
      </c>
    </row>
    <row r="145" spans="1:28" s="1" customFormat="1">
      <c r="A145" s="3">
        <v>45141</v>
      </c>
      <c r="B145" s="2" t="s">
        <v>16</v>
      </c>
      <c r="C145" s="1">
        <f>SUM(PL!E145:H145)</f>
        <v>0</v>
      </c>
      <c r="D145" s="1">
        <f>SUM(PL!I145:L145)</f>
        <v>0</v>
      </c>
      <c r="E145" s="1">
        <f>SUM(C145:D145)</f>
        <v>0</v>
      </c>
      <c r="F145" s="1">
        <f>IF(C145 + F144 &lt; 0, C145 + F144, 0)</f>
        <v>0</v>
      </c>
      <c r="G145" s="1">
        <f>IF(D145 + G144 &lt; 0, D145 + G144, 0)</f>
        <v>0</v>
      </c>
      <c r="H145" s="1">
        <f>IF(E145 + H144 &lt; 0, E145 + H144, 0)</f>
        <v>0</v>
      </c>
      <c r="I145" s="1">
        <f>IF(H145 &lt; 0, 1 + I144, 0)</f>
        <v>0</v>
      </c>
      <c r="J145" s="1">
        <f>C145-((ABS(SUM(PL!E145:H145)))*0.125)</f>
        <v>0</v>
      </c>
      <c r="K145" s="1">
        <f>D145-((ABS(SUM(PL!I145:L145)))*0.125)</f>
        <v>0</v>
      </c>
      <c r="L145" s="1">
        <f>J145 + K145</f>
        <v>0</v>
      </c>
      <c r="M145" s="1">
        <f>IF(J145 + M144 &lt; 0, J145 + M144, 0)</f>
        <v>0</v>
      </c>
      <c r="N145" s="1">
        <f>IF(K145 + N144 &lt; 0, K145 + N144, 0)</f>
        <v>0</v>
      </c>
      <c r="O145" s="1">
        <f>IF(L145 + O144 &lt; 0, L145 + O144, 0)</f>
        <v>0</v>
      </c>
      <c r="P145" s="1">
        <f>IF(O145 &lt; 0, 1 + P144, 0)</f>
        <v>0</v>
      </c>
      <c r="Q145" s="1">
        <f>IF(E145&lt;0,1,0)</f>
        <v>0</v>
      </c>
      <c r="R145" s="1">
        <f>IF(Q145=1,E145,0)</f>
        <v>0</v>
      </c>
      <c r="S145" s="1">
        <f>IF(E145&gt;0,1,0)</f>
        <v>0</v>
      </c>
      <c r="T145" s="1">
        <f>IF(S145=1,E145,0)</f>
        <v>0</v>
      </c>
      <c r="U145" s="1">
        <f>IF(R145&lt;-100000000/100,1,0)</f>
        <v>0</v>
      </c>
      <c r="V145" s="1">
        <f>IF(T145&gt;100000000/100,1,0)</f>
        <v>0</v>
      </c>
      <c r="W145" s="1">
        <f>IF(L145&lt;0,1,0)</f>
        <v>0</v>
      </c>
      <c r="X145" s="1">
        <f>IF(W145=1,L145,0)</f>
        <v>0</v>
      </c>
      <c r="Y145" s="1">
        <f>IF(L145&gt;0,1,0)</f>
        <v>0</v>
      </c>
      <c r="Z145" s="1">
        <f>IF(Y145=1,L145,0)</f>
        <v>0</v>
      </c>
      <c r="AA145" s="1">
        <f>IF(X145&lt;-100000000/100,1,0)</f>
        <v>0</v>
      </c>
      <c r="AB145" s="1">
        <f>IF(Z145&gt;100000000/100,1,0)</f>
        <v>0</v>
      </c>
    </row>
    <row r="146" spans="1:28" s="1" customFormat="1">
      <c r="A146" s="3">
        <v>45142</v>
      </c>
      <c r="B146" s="2" t="s">
        <v>15</v>
      </c>
      <c r="C146" s="1">
        <f>SUM(PL!E146:H146)</f>
        <v>0</v>
      </c>
      <c r="D146" s="1">
        <f>SUM(PL!I146:L146)</f>
        <v>0</v>
      </c>
      <c r="E146" s="1">
        <f>SUM(C146:D146)</f>
        <v>0</v>
      </c>
      <c r="F146" s="1">
        <f>IF(C146 + F145 &lt; 0, C146 + F145, 0)</f>
        <v>0</v>
      </c>
      <c r="G146" s="1">
        <f>IF(D146 + G145 &lt; 0, D146 + G145, 0)</f>
        <v>0</v>
      </c>
      <c r="H146" s="1">
        <f>IF(E146 + H145 &lt; 0, E146 + H145, 0)</f>
        <v>0</v>
      </c>
      <c r="I146" s="1">
        <f>IF(H146 &lt; 0, 1 + I145, 0)</f>
        <v>0</v>
      </c>
      <c r="J146" s="1">
        <f>C146-((ABS(SUM(PL!E146:H146)))*0.125)</f>
        <v>0</v>
      </c>
      <c r="K146" s="1">
        <f>D146-((ABS(SUM(PL!I146:L146)))*0.125)</f>
        <v>0</v>
      </c>
      <c r="L146" s="1">
        <f>J146 + K146</f>
        <v>0</v>
      </c>
      <c r="M146" s="1">
        <f>IF(J146 + M145 &lt; 0, J146 + M145, 0)</f>
        <v>0</v>
      </c>
      <c r="N146" s="1">
        <f>IF(K146 + N145 &lt; 0, K146 + N145, 0)</f>
        <v>0</v>
      </c>
      <c r="O146" s="1">
        <f>IF(L146 + O145 &lt; 0, L146 + O145, 0)</f>
        <v>0</v>
      </c>
      <c r="P146" s="1">
        <f>IF(O146 &lt; 0, 1 + P145, 0)</f>
        <v>0</v>
      </c>
      <c r="Q146" s="1">
        <f>IF(E146&lt;0,1,0)</f>
        <v>0</v>
      </c>
      <c r="R146" s="1">
        <f>IF(Q146=1,E146,0)</f>
        <v>0</v>
      </c>
      <c r="S146" s="1">
        <f>IF(E146&gt;0,1,0)</f>
        <v>0</v>
      </c>
      <c r="T146" s="1">
        <f>IF(S146=1,E146,0)</f>
        <v>0</v>
      </c>
      <c r="U146" s="1">
        <f>IF(R146&lt;-100000000/100,1,0)</f>
        <v>0</v>
      </c>
      <c r="V146" s="1">
        <f>IF(T146&gt;100000000/100,1,0)</f>
        <v>0</v>
      </c>
      <c r="W146" s="1">
        <f>IF(L146&lt;0,1,0)</f>
        <v>0</v>
      </c>
      <c r="X146" s="1">
        <f>IF(W146=1,L146,0)</f>
        <v>0</v>
      </c>
      <c r="Y146" s="1">
        <f>IF(L146&gt;0,1,0)</f>
        <v>0</v>
      </c>
      <c r="Z146" s="1">
        <f>IF(Y146=1,L146,0)</f>
        <v>0</v>
      </c>
      <c r="AA146" s="1">
        <f>IF(X146&lt;-100000000/100,1,0)</f>
        <v>0</v>
      </c>
      <c r="AB146" s="1">
        <f>IF(Z146&gt;100000000/100,1,0)</f>
        <v>0</v>
      </c>
    </row>
    <row r="147" spans="1:28" s="1" customFormat="1">
      <c r="A147" s="3">
        <v>45145</v>
      </c>
      <c r="B147" s="2" t="s">
        <v>12</v>
      </c>
      <c r="C147" s="1">
        <f>SUM(PL!E147:H147)</f>
        <v>0</v>
      </c>
      <c r="D147" s="1">
        <f>SUM(PL!I147:L147)</f>
        <v>0</v>
      </c>
      <c r="E147" s="1">
        <f>SUM(C147:D147)</f>
        <v>0</v>
      </c>
      <c r="F147" s="1">
        <f>IF(C147 + F146 &lt; 0, C147 + F146, 0)</f>
        <v>0</v>
      </c>
      <c r="G147" s="1">
        <f>IF(D147 + G146 &lt; 0, D147 + G146, 0)</f>
        <v>0</v>
      </c>
      <c r="H147" s="1">
        <f>IF(E147 + H146 &lt; 0, E147 + H146, 0)</f>
        <v>0</v>
      </c>
      <c r="I147" s="1">
        <f>IF(H147 &lt; 0, 1 + I146, 0)</f>
        <v>0</v>
      </c>
      <c r="J147" s="1">
        <f>C147-((ABS(SUM(PL!E147:H147)))*0.125)</f>
        <v>0</v>
      </c>
      <c r="K147" s="1">
        <f>D147-((ABS(SUM(PL!I147:L147)))*0.125)</f>
        <v>0</v>
      </c>
      <c r="L147" s="1">
        <f>J147 + K147</f>
        <v>0</v>
      </c>
      <c r="M147" s="1">
        <f>IF(J147 + M146 &lt; 0, J147 + M146, 0)</f>
        <v>0</v>
      </c>
      <c r="N147" s="1">
        <f>IF(K147 + N146 &lt; 0, K147 + N146, 0)</f>
        <v>0</v>
      </c>
      <c r="O147" s="1">
        <f>IF(L147 + O146 &lt; 0, L147 + O146, 0)</f>
        <v>0</v>
      </c>
      <c r="P147" s="1">
        <f>IF(O147 &lt; 0, 1 + P146, 0)</f>
        <v>0</v>
      </c>
      <c r="Q147" s="1">
        <f>IF(E147&lt;0,1,0)</f>
        <v>0</v>
      </c>
      <c r="R147" s="1">
        <f>IF(Q147=1,E147,0)</f>
        <v>0</v>
      </c>
      <c r="S147" s="1">
        <f>IF(E147&gt;0,1,0)</f>
        <v>0</v>
      </c>
      <c r="T147" s="1">
        <f>IF(S147=1,E147,0)</f>
        <v>0</v>
      </c>
      <c r="U147" s="1">
        <f>IF(R147&lt;-100000000/100,1,0)</f>
        <v>0</v>
      </c>
      <c r="V147" s="1">
        <f>IF(T147&gt;100000000/100,1,0)</f>
        <v>0</v>
      </c>
      <c r="W147" s="1">
        <f>IF(L147&lt;0,1,0)</f>
        <v>0</v>
      </c>
      <c r="X147" s="1">
        <f>IF(W147=1,L147,0)</f>
        <v>0</v>
      </c>
      <c r="Y147" s="1">
        <f>IF(L147&gt;0,1,0)</f>
        <v>0</v>
      </c>
      <c r="Z147" s="1">
        <f>IF(Y147=1,L147,0)</f>
        <v>0</v>
      </c>
      <c r="AA147" s="1">
        <f>IF(X147&lt;-100000000/100,1,0)</f>
        <v>0</v>
      </c>
      <c r="AB147" s="1">
        <f>IF(Z147&gt;100000000/100,1,0)</f>
        <v>0</v>
      </c>
    </row>
    <row r="148" spans="1:28" s="1" customFormat="1">
      <c r="A148" s="3">
        <v>45146</v>
      </c>
      <c r="B148" s="2" t="s">
        <v>13</v>
      </c>
      <c r="C148" s="1">
        <f>SUM(PL!E148:H148)</f>
        <v>0</v>
      </c>
      <c r="D148" s="1">
        <f>SUM(PL!I148:L148)</f>
        <v>0</v>
      </c>
      <c r="E148" s="1">
        <f>SUM(C148:D148)</f>
        <v>0</v>
      </c>
      <c r="F148" s="1">
        <f>IF(C148 + F147 &lt; 0, C148 + F147, 0)</f>
        <v>0</v>
      </c>
      <c r="G148" s="1">
        <f>IF(D148 + G147 &lt; 0, D148 + G147, 0)</f>
        <v>0</v>
      </c>
      <c r="H148" s="1">
        <f>IF(E148 + H147 &lt; 0, E148 + H147, 0)</f>
        <v>0</v>
      </c>
      <c r="I148" s="1">
        <f>IF(H148 &lt; 0, 1 + I147, 0)</f>
        <v>0</v>
      </c>
      <c r="J148" s="1">
        <f>C148-((ABS(SUM(PL!E148:H148)))*0.125)</f>
        <v>0</v>
      </c>
      <c r="K148" s="1">
        <f>D148-((ABS(SUM(PL!I148:L148)))*0.125)</f>
        <v>0</v>
      </c>
      <c r="L148" s="1">
        <f>J148 + K148</f>
        <v>0</v>
      </c>
      <c r="M148" s="1">
        <f>IF(J148 + M147 &lt; 0, J148 + M147, 0)</f>
        <v>0</v>
      </c>
      <c r="N148" s="1">
        <f>IF(K148 + N147 &lt; 0, K148 + N147, 0)</f>
        <v>0</v>
      </c>
      <c r="O148" s="1">
        <f>IF(L148 + O147 &lt; 0, L148 + O147, 0)</f>
        <v>0</v>
      </c>
      <c r="P148" s="1">
        <f>IF(O148 &lt; 0, 1 + P147, 0)</f>
        <v>0</v>
      </c>
      <c r="Q148" s="1">
        <f>IF(E148&lt;0,1,0)</f>
        <v>0</v>
      </c>
      <c r="R148" s="1">
        <f>IF(Q148=1,E148,0)</f>
        <v>0</v>
      </c>
      <c r="S148" s="1">
        <f>IF(E148&gt;0,1,0)</f>
        <v>0</v>
      </c>
      <c r="T148" s="1">
        <f>IF(S148=1,E148,0)</f>
        <v>0</v>
      </c>
      <c r="U148" s="1">
        <f>IF(R148&lt;-100000000/100,1,0)</f>
        <v>0</v>
      </c>
      <c r="V148" s="1">
        <f>IF(T148&gt;100000000/100,1,0)</f>
        <v>0</v>
      </c>
      <c r="W148" s="1">
        <f>IF(L148&lt;0,1,0)</f>
        <v>0</v>
      </c>
      <c r="X148" s="1">
        <f>IF(W148=1,L148,0)</f>
        <v>0</v>
      </c>
      <c r="Y148" s="1">
        <f>IF(L148&gt;0,1,0)</f>
        <v>0</v>
      </c>
      <c r="Z148" s="1">
        <f>IF(Y148=1,L148,0)</f>
        <v>0</v>
      </c>
      <c r="AA148" s="1">
        <f>IF(X148&lt;-100000000/100,1,0)</f>
        <v>0</v>
      </c>
      <c r="AB148" s="1">
        <f>IF(Z148&gt;100000000/100,1,0)</f>
        <v>0</v>
      </c>
    </row>
    <row r="149" spans="1:28" s="1" customFormat="1">
      <c r="A149" s="3">
        <v>45147</v>
      </c>
      <c r="B149" s="2" t="s">
        <v>14</v>
      </c>
      <c r="C149" s="1">
        <f>SUM(PL!E149:H149)</f>
        <v>0</v>
      </c>
      <c r="D149" s="1">
        <f>SUM(PL!I149:L149)</f>
        <v>0</v>
      </c>
      <c r="E149" s="1">
        <f>SUM(C149:D149)</f>
        <v>0</v>
      </c>
      <c r="F149" s="1">
        <f>IF(C149 + F148 &lt; 0, C149 + F148, 0)</f>
        <v>0</v>
      </c>
      <c r="G149" s="1">
        <f>IF(D149 + G148 &lt; 0, D149 + G148, 0)</f>
        <v>0</v>
      </c>
      <c r="H149" s="1">
        <f>IF(E149 + H148 &lt; 0, E149 + H148, 0)</f>
        <v>0</v>
      </c>
      <c r="I149" s="1">
        <f>IF(H149 &lt; 0, 1 + I148, 0)</f>
        <v>0</v>
      </c>
      <c r="J149" s="1">
        <f>C149-((ABS(SUM(PL!E149:H149)))*0.125)</f>
        <v>0</v>
      </c>
      <c r="K149" s="1">
        <f>D149-((ABS(SUM(PL!I149:L149)))*0.125)</f>
        <v>0</v>
      </c>
      <c r="L149" s="1">
        <f>J149 + K149</f>
        <v>0</v>
      </c>
      <c r="M149" s="1">
        <f>IF(J149 + M148 &lt; 0, J149 + M148, 0)</f>
        <v>0</v>
      </c>
      <c r="N149" s="1">
        <f>IF(K149 + N148 &lt; 0, K149 + N148, 0)</f>
        <v>0</v>
      </c>
      <c r="O149" s="1">
        <f>IF(L149 + O148 &lt; 0, L149 + O148, 0)</f>
        <v>0</v>
      </c>
      <c r="P149" s="1">
        <f>IF(O149 &lt; 0, 1 + P148, 0)</f>
        <v>0</v>
      </c>
      <c r="Q149" s="1">
        <f>IF(E149&lt;0,1,0)</f>
        <v>0</v>
      </c>
      <c r="R149" s="1">
        <f>IF(Q149=1,E149,0)</f>
        <v>0</v>
      </c>
      <c r="S149" s="1">
        <f>IF(E149&gt;0,1,0)</f>
        <v>0</v>
      </c>
      <c r="T149" s="1">
        <f>IF(S149=1,E149,0)</f>
        <v>0</v>
      </c>
      <c r="U149" s="1">
        <f>IF(R149&lt;-100000000/100,1,0)</f>
        <v>0</v>
      </c>
      <c r="V149" s="1">
        <f>IF(T149&gt;100000000/100,1,0)</f>
        <v>0</v>
      </c>
      <c r="W149" s="1">
        <f>IF(L149&lt;0,1,0)</f>
        <v>0</v>
      </c>
      <c r="X149" s="1">
        <f>IF(W149=1,L149,0)</f>
        <v>0</v>
      </c>
      <c r="Y149" s="1">
        <f>IF(L149&gt;0,1,0)</f>
        <v>0</v>
      </c>
      <c r="Z149" s="1">
        <f>IF(Y149=1,L149,0)</f>
        <v>0</v>
      </c>
      <c r="AA149" s="1">
        <f>IF(X149&lt;-100000000/100,1,0)</f>
        <v>0</v>
      </c>
      <c r="AB149" s="1">
        <f>IF(Z149&gt;100000000/100,1,0)</f>
        <v>0</v>
      </c>
    </row>
    <row r="150" spans="1:28" s="1" customFormat="1">
      <c r="A150" s="3">
        <v>45148</v>
      </c>
      <c r="B150" s="2" t="s">
        <v>16</v>
      </c>
      <c r="C150" s="1">
        <f>SUM(PL!E150:H150)</f>
        <v>0</v>
      </c>
      <c r="D150" s="1">
        <f>SUM(PL!I150:L150)</f>
        <v>0</v>
      </c>
      <c r="E150" s="1">
        <f>SUM(C150:D150)</f>
        <v>0</v>
      </c>
      <c r="F150" s="1">
        <f>IF(C150 + F149 &lt; 0, C150 + F149, 0)</f>
        <v>0</v>
      </c>
      <c r="G150" s="1">
        <f>IF(D150 + G149 &lt; 0, D150 + G149, 0)</f>
        <v>0</v>
      </c>
      <c r="H150" s="1">
        <f>IF(E150 + H149 &lt; 0, E150 + H149, 0)</f>
        <v>0</v>
      </c>
      <c r="I150" s="1">
        <f>IF(H150 &lt; 0, 1 + I149, 0)</f>
        <v>0</v>
      </c>
      <c r="J150" s="1">
        <f>C150-((ABS(SUM(PL!E150:H150)))*0.125)</f>
        <v>0</v>
      </c>
      <c r="K150" s="1">
        <f>D150-((ABS(SUM(PL!I150:L150)))*0.125)</f>
        <v>0</v>
      </c>
      <c r="L150" s="1">
        <f>J150 + K150</f>
        <v>0</v>
      </c>
      <c r="M150" s="1">
        <f>IF(J150 + M149 &lt; 0, J150 + M149, 0)</f>
        <v>0</v>
      </c>
      <c r="N150" s="1">
        <f>IF(K150 + N149 &lt; 0, K150 + N149, 0)</f>
        <v>0</v>
      </c>
      <c r="O150" s="1">
        <f>IF(L150 + O149 &lt; 0, L150 + O149, 0)</f>
        <v>0</v>
      </c>
      <c r="P150" s="1">
        <f>IF(O150 &lt; 0, 1 + P149, 0)</f>
        <v>0</v>
      </c>
      <c r="Q150" s="1">
        <f>IF(E150&lt;0,1,0)</f>
        <v>0</v>
      </c>
      <c r="R150" s="1">
        <f>IF(Q150=1,E150,0)</f>
        <v>0</v>
      </c>
      <c r="S150" s="1">
        <f>IF(E150&gt;0,1,0)</f>
        <v>0</v>
      </c>
      <c r="T150" s="1">
        <f>IF(S150=1,E150,0)</f>
        <v>0</v>
      </c>
      <c r="U150" s="1">
        <f>IF(R150&lt;-100000000/100,1,0)</f>
        <v>0</v>
      </c>
      <c r="V150" s="1">
        <f>IF(T150&gt;100000000/100,1,0)</f>
        <v>0</v>
      </c>
      <c r="W150" s="1">
        <f>IF(L150&lt;0,1,0)</f>
        <v>0</v>
      </c>
      <c r="X150" s="1">
        <f>IF(W150=1,L150,0)</f>
        <v>0</v>
      </c>
      <c r="Y150" s="1">
        <f>IF(L150&gt;0,1,0)</f>
        <v>0</v>
      </c>
      <c r="Z150" s="1">
        <f>IF(Y150=1,L150,0)</f>
        <v>0</v>
      </c>
      <c r="AA150" s="1">
        <f>IF(X150&lt;-100000000/100,1,0)</f>
        <v>0</v>
      </c>
      <c r="AB150" s="1">
        <f>IF(Z150&gt;100000000/100,1,0)</f>
        <v>0</v>
      </c>
    </row>
    <row r="151" spans="1:28" s="1" customFormat="1">
      <c r="A151" s="3">
        <v>45149</v>
      </c>
      <c r="B151" s="2" t="s">
        <v>15</v>
      </c>
      <c r="C151" s="1">
        <f>SUM(PL!E151:H151)</f>
        <v>0</v>
      </c>
      <c r="D151" s="1">
        <f>SUM(PL!I151:L151)</f>
        <v>0</v>
      </c>
      <c r="E151" s="1">
        <f>SUM(C151:D151)</f>
        <v>0</v>
      </c>
      <c r="F151" s="1">
        <f>IF(C151 + F150 &lt; 0, C151 + F150, 0)</f>
        <v>0</v>
      </c>
      <c r="G151" s="1">
        <f>IF(D151 + G150 &lt; 0, D151 + G150, 0)</f>
        <v>0</v>
      </c>
      <c r="H151" s="1">
        <f>IF(E151 + H150 &lt; 0, E151 + H150, 0)</f>
        <v>0</v>
      </c>
      <c r="I151" s="1">
        <f>IF(H151 &lt; 0, 1 + I150, 0)</f>
        <v>0</v>
      </c>
      <c r="J151" s="1">
        <f>C151-((ABS(SUM(PL!E151:H151)))*0.125)</f>
        <v>0</v>
      </c>
      <c r="K151" s="1">
        <f>D151-((ABS(SUM(PL!I151:L151)))*0.125)</f>
        <v>0</v>
      </c>
      <c r="L151" s="1">
        <f>J151 + K151</f>
        <v>0</v>
      </c>
      <c r="M151" s="1">
        <f>IF(J151 + M150 &lt; 0, J151 + M150, 0)</f>
        <v>0</v>
      </c>
      <c r="N151" s="1">
        <f>IF(K151 + N150 &lt; 0, K151 + N150, 0)</f>
        <v>0</v>
      </c>
      <c r="O151" s="1">
        <f>IF(L151 + O150 &lt; 0, L151 + O150, 0)</f>
        <v>0</v>
      </c>
      <c r="P151" s="1">
        <f>IF(O151 &lt; 0, 1 + P150, 0)</f>
        <v>0</v>
      </c>
      <c r="Q151" s="1">
        <f>IF(E151&lt;0,1,0)</f>
        <v>0</v>
      </c>
      <c r="R151" s="1">
        <f>IF(Q151=1,E151,0)</f>
        <v>0</v>
      </c>
      <c r="S151" s="1">
        <f>IF(E151&gt;0,1,0)</f>
        <v>0</v>
      </c>
      <c r="T151" s="1">
        <f>IF(S151=1,E151,0)</f>
        <v>0</v>
      </c>
      <c r="U151" s="1">
        <f>IF(R151&lt;-100000000/100,1,0)</f>
        <v>0</v>
      </c>
      <c r="V151" s="1">
        <f>IF(T151&gt;100000000/100,1,0)</f>
        <v>0</v>
      </c>
      <c r="W151" s="1">
        <f>IF(L151&lt;0,1,0)</f>
        <v>0</v>
      </c>
      <c r="X151" s="1">
        <f>IF(W151=1,L151,0)</f>
        <v>0</v>
      </c>
      <c r="Y151" s="1">
        <f>IF(L151&gt;0,1,0)</f>
        <v>0</v>
      </c>
      <c r="Z151" s="1">
        <f>IF(Y151=1,L151,0)</f>
        <v>0</v>
      </c>
      <c r="AA151" s="1">
        <f>IF(X151&lt;-100000000/100,1,0)</f>
        <v>0</v>
      </c>
      <c r="AB151" s="1">
        <f>IF(Z151&gt;100000000/100,1,0)</f>
        <v>0</v>
      </c>
    </row>
    <row r="152" spans="1:28" s="1" customFormat="1">
      <c r="A152" s="3">
        <v>45152</v>
      </c>
      <c r="B152" s="2" t="s">
        <v>12</v>
      </c>
      <c r="C152" s="1">
        <f>SUM(PL!E152:H152)</f>
        <v>0</v>
      </c>
      <c r="D152" s="1">
        <f>SUM(PL!I152:L152)</f>
        <v>0</v>
      </c>
      <c r="E152" s="1">
        <f>SUM(C152:D152)</f>
        <v>0</v>
      </c>
      <c r="F152" s="1">
        <f>IF(C152 + F151 &lt; 0, C152 + F151, 0)</f>
        <v>0</v>
      </c>
      <c r="G152" s="1">
        <f>IF(D152 + G151 &lt; 0, D152 + G151, 0)</f>
        <v>0</v>
      </c>
      <c r="H152" s="1">
        <f>IF(E152 + H151 &lt; 0, E152 + H151, 0)</f>
        <v>0</v>
      </c>
      <c r="I152" s="1">
        <f>IF(H152 &lt; 0, 1 + I151, 0)</f>
        <v>0</v>
      </c>
      <c r="J152" s="1">
        <f>C152-((ABS(SUM(PL!E152:H152)))*0.125)</f>
        <v>0</v>
      </c>
      <c r="K152" s="1">
        <f>D152-((ABS(SUM(PL!I152:L152)))*0.125)</f>
        <v>0</v>
      </c>
      <c r="L152" s="1">
        <f>J152 + K152</f>
        <v>0</v>
      </c>
      <c r="M152" s="1">
        <f>IF(J152 + M151 &lt; 0, J152 + M151, 0)</f>
        <v>0</v>
      </c>
      <c r="N152" s="1">
        <f>IF(K152 + N151 &lt; 0, K152 + N151, 0)</f>
        <v>0</v>
      </c>
      <c r="O152" s="1">
        <f>IF(L152 + O151 &lt; 0, L152 + O151, 0)</f>
        <v>0</v>
      </c>
      <c r="P152" s="1">
        <f>IF(O152 &lt; 0, 1 + P151, 0)</f>
        <v>0</v>
      </c>
      <c r="Q152" s="1">
        <f>IF(E152&lt;0,1,0)</f>
        <v>0</v>
      </c>
      <c r="R152" s="1">
        <f>IF(Q152=1,E152,0)</f>
        <v>0</v>
      </c>
      <c r="S152" s="1">
        <f>IF(E152&gt;0,1,0)</f>
        <v>0</v>
      </c>
      <c r="T152" s="1">
        <f>IF(S152=1,E152,0)</f>
        <v>0</v>
      </c>
      <c r="U152" s="1">
        <f>IF(R152&lt;-100000000/100,1,0)</f>
        <v>0</v>
      </c>
      <c r="V152" s="1">
        <f>IF(T152&gt;100000000/100,1,0)</f>
        <v>0</v>
      </c>
      <c r="W152" s="1">
        <f>IF(L152&lt;0,1,0)</f>
        <v>0</v>
      </c>
      <c r="X152" s="1">
        <f>IF(W152=1,L152,0)</f>
        <v>0</v>
      </c>
      <c r="Y152" s="1">
        <f>IF(L152&gt;0,1,0)</f>
        <v>0</v>
      </c>
      <c r="Z152" s="1">
        <f>IF(Y152=1,L152,0)</f>
        <v>0</v>
      </c>
      <c r="AA152" s="1">
        <f>IF(X152&lt;-100000000/100,1,0)</f>
        <v>0</v>
      </c>
      <c r="AB152" s="1">
        <f>IF(Z152&gt;100000000/100,1,0)</f>
        <v>0</v>
      </c>
    </row>
    <row r="153" spans="1:28" s="1" customFormat="1">
      <c r="A153" s="3">
        <v>45154</v>
      </c>
      <c r="B153" s="2" t="s">
        <v>14</v>
      </c>
      <c r="C153" s="1">
        <f>SUM(PL!E153:H153)</f>
        <v>0</v>
      </c>
      <c r="D153" s="1">
        <f>SUM(PL!I153:L153)</f>
        <v>0</v>
      </c>
      <c r="E153" s="1">
        <f>SUM(C153:D153)</f>
        <v>0</v>
      </c>
      <c r="F153" s="1">
        <f>IF(C153 + F152 &lt; 0, C153 + F152, 0)</f>
        <v>0</v>
      </c>
      <c r="G153" s="1">
        <f>IF(D153 + G152 &lt; 0, D153 + G152, 0)</f>
        <v>0</v>
      </c>
      <c r="H153" s="1">
        <f>IF(E153 + H152 &lt; 0, E153 + H152, 0)</f>
        <v>0</v>
      </c>
      <c r="I153" s="1">
        <f>IF(H153 &lt; 0, 1 + I152, 0)</f>
        <v>0</v>
      </c>
      <c r="J153" s="1">
        <f>C153-((ABS(SUM(PL!E153:H153)))*0.125)</f>
        <v>0</v>
      </c>
      <c r="K153" s="1">
        <f>D153-((ABS(SUM(PL!I153:L153)))*0.125)</f>
        <v>0</v>
      </c>
      <c r="L153" s="1">
        <f>J153 + K153</f>
        <v>0</v>
      </c>
      <c r="M153" s="1">
        <f>IF(J153 + M152 &lt; 0, J153 + M152, 0)</f>
        <v>0</v>
      </c>
      <c r="N153" s="1">
        <f>IF(K153 + N152 &lt; 0, K153 + N152, 0)</f>
        <v>0</v>
      </c>
      <c r="O153" s="1">
        <f>IF(L153 + O152 &lt; 0, L153 + O152, 0)</f>
        <v>0</v>
      </c>
      <c r="P153" s="1">
        <f>IF(O153 &lt; 0, 1 + P152, 0)</f>
        <v>0</v>
      </c>
      <c r="Q153" s="1">
        <f>IF(E153&lt;0,1,0)</f>
        <v>0</v>
      </c>
      <c r="R153" s="1">
        <f>IF(Q153=1,E153,0)</f>
        <v>0</v>
      </c>
      <c r="S153" s="1">
        <f>IF(E153&gt;0,1,0)</f>
        <v>0</v>
      </c>
      <c r="T153" s="1">
        <f>IF(S153=1,E153,0)</f>
        <v>0</v>
      </c>
      <c r="U153" s="1">
        <f>IF(R153&lt;-100000000/100,1,0)</f>
        <v>0</v>
      </c>
      <c r="V153" s="1">
        <f>IF(T153&gt;100000000/100,1,0)</f>
        <v>0</v>
      </c>
      <c r="W153" s="1">
        <f>IF(L153&lt;0,1,0)</f>
        <v>0</v>
      </c>
      <c r="X153" s="1">
        <f>IF(W153=1,L153,0)</f>
        <v>0</v>
      </c>
      <c r="Y153" s="1">
        <f>IF(L153&gt;0,1,0)</f>
        <v>0</v>
      </c>
      <c r="Z153" s="1">
        <f>IF(Y153=1,L153,0)</f>
        <v>0</v>
      </c>
      <c r="AA153" s="1">
        <f>IF(X153&lt;-100000000/100,1,0)</f>
        <v>0</v>
      </c>
      <c r="AB153" s="1">
        <f>IF(Z153&gt;100000000/100,1,0)</f>
        <v>0</v>
      </c>
    </row>
    <row r="154" spans="1:28" s="1" customFormat="1">
      <c r="A154" s="3">
        <v>45155</v>
      </c>
      <c r="B154" s="2" t="s">
        <v>16</v>
      </c>
      <c r="C154" s="1">
        <f>SUM(PL!E154:H154)</f>
        <v>0</v>
      </c>
      <c r="D154" s="1">
        <f>SUM(PL!I154:L154)</f>
        <v>0</v>
      </c>
      <c r="E154" s="1">
        <f>SUM(C154:D154)</f>
        <v>0</v>
      </c>
      <c r="F154" s="1">
        <f>IF(C154 + F153 &lt; 0, C154 + F153, 0)</f>
        <v>0</v>
      </c>
      <c r="G154" s="1">
        <f>IF(D154 + G153 &lt; 0, D154 + G153, 0)</f>
        <v>0</v>
      </c>
      <c r="H154" s="1">
        <f>IF(E154 + H153 &lt; 0, E154 + H153, 0)</f>
        <v>0</v>
      </c>
      <c r="I154" s="1">
        <f>IF(H154 &lt; 0, 1 + I153, 0)</f>
        <v>0</v>
      </c>
      <c r="J154" s="1">
        <f>C154-((ABS(SUM(PL!E154:H154)))*0.125)</f>
        <v>0</v>
      </c>
      <c r="K154" s="1">
        <f>D154-((ABS(SUM(PL!I154:L154)))*0.125)</f>
        <v>0</v>
      </c>
      <c r="L154" s="1">
        <f>J154 + K154</f>
        <v>0</v>
      </c>
      <c r="M154" s="1">
        <f>IF(J154 + M153 &lt; 0, J154 + M153, 0)</f>
        <v>0</v>
      </c>
      <c r="N154" s="1">
        <f>IF(K154 + N153 &lt; 0, K154 + N153, 0)</f>
        <v>0</v>
      </c>
      <c r="O154" s="1">
        <f>IF(L154 + O153 &lt; 0, L154 + O153, 0)</f>
        <v>0</v>
      </c>
      <c r="P154" s="1">
        <f>IF(O154 &lt; 0, 1 + P153, 0)</f>
        <v>0</v>
      </c>
      <c r="Q154" s="1">
        <f>IF(E154&lt;0,1,0)</f>
        <v>0</v>
      </c>
      <c r="R154" s="1">
        <f>IF(Q154=1,E154,0)</f>
        <v>0</v>
      </c>
      <c r="S154" s="1">
        <f>IF(E154&gt;0,1,0)</f>
        <v>0</v>
      </c>
      <c r="T154" s="1">
        <f>IF(S154=1,E154,0)</f>
        <v>0</v>
      </c>
      <c r="U154" s="1">
        <f>IF(R154&lt;-100000000/100,1,0)</f>
        <v>0</v>
      </c>
      <c r="V154" s="1">
        <f>IF(T154&gt;100000000/100,1,0)</f>
        <v>0</v>
      </c>
      <c r="W154" s="1">
        <f>IF(L154&lt;0,1,0)</f>
        <v>0</v>
      </c>
      <c r="X154" s="1">
        <f>IF(W154=1,L154,0)</f>
        <v>0</v>
      </c>
      <c r="Y154" s="1">
        <f>IF(L154&gt;0,1,0)</f>
        <v>0</v>
      </c>
      <c r="Z154" s="1">
        <f>IF(Y154=1,L154,0)</f>
        <v>0</v>
      </c>
      <c r="AA154" s="1">
        <f>IF(X154&lt;-100000000/100,1,0)</f>
        <v>0</v>
      </c>
      <c r="AB154" s="1">
        <f>IF(Z154&gt;100000000/100,1,0)</f>
        <v>0</v>
      </c>
    </row>
    <row r="155" spans="1:28" s="1" customFormat="1">
      <c r="A155" s="3">
        <v>45156</v>
      </c>
      <c r="B155" s="2" t="s">
        <v>15</v>
      </c>
      <c r="C155" s="1">
        <f>SUM(PL!E155:H155)</f>
        <v>0</v>
      </c>
      <c r="D155" s="1">
        <f>SUM(PL!I155:L155)</f>
        <v>0</v>
      </c>
      <c r="E155" s="1">
        <f>SUM(C155:D155)</f>
        <v>0</v>
      </c>
      <c r="F155" s="1">
        <f>IF(C155 + F154 &lt; 0, C155 + F154, 0)</f>
        <v>0</v>
      </c>
      <c r="G155" s="1">
        <f>IF(D155 + G154 &lt; 0, D155 + G154, 0)</f>
        <v>0</v>
      </c>
      <c r="H155" s="1">
        <f>IF(E155 + H154 &lt; 0, E155 + H154, 0)</f>
        <v>0</v>
      </c>
      <c r="I155" s="1">
        <f>IF(H155 &lt; 0, 1 + I154, 0)</f>
        <v>0</v>
      </c>
      <c r="J155" s="1">
        <f>C155-((ABS(SUM(PL!E155:H155)))*0.125)</f>
        <v>0</v>
      </c>
      <c r="K155" s="1">
        <f>D155-((ABS(SUM(PL!I155:L155)))*0.125)</f>
        <v>0</v>
      </c>
      <c r="L155" s="1">
        <f>J155 + K155</f>
        <v>0</v>
      </c>
      <c r="M155" s="1">
        <f>IF(J155 + M154 &lt; 0, J155 + M154, 0)</f>
        <v>0</v>
      </c>
      <c r="N155" s="1">
        <f>IF(K155 + N154 &lt; 0, K155 + N154, 0)</f>
        <v>0</v>
      </c>
      <c r="O155" s="1">
        <f>IF(L155 + O154 &lt; 0, L155 + O154, 0)</f>
        <v>0</v>
      </c>
      <c r="P155" s="1">
        <f>IF(O155 &lt; 0, 1 + P154, 0)</f>
        <v>0</v>
      </c>
      <c r="Q155" s="1">
        <f>IF(E155&lt;0,1,0)</f>
        <v>0</v>
      </c>
      <c r="R155" s="1">
        <f>IF(Q155=1,E155,0)</f>
        <v>0</v>
      </c>
      <c r="S155" s="1">
        <f>IF(E155&gt;0,1,0)</f>
        <v>0</v>
      </c>
      <c r="T155" s="1">
        <f>IF(S155=1,E155,0)</f>
        <v>0</v>
      </c>
      <c r="U155" s="1">
        <f>IF(R155&lt;-100000000/100,1,0)</f>
        <v>0</v>
      </c>
      <c r="V155" s="1">
        <f>IF(T155&gt;100000000/100,1,0)</f>
        <v>0</v>
      </c>
      <c r="W155" s="1">
        <f>IF(L155&lt;0,1,0)</f>
        <v>0</v>
      </c>
      <c r="X155" s="1">
        <f>IF(W155=1,L155,0)</f>
        <v>0</v>
      </c>
      <c r="Y155" s="1">
        <f>IF(L155&gt;0,1,0)</f>
        <v>0</v>
      </c>
      <c r="Z155" s="1">
        <f>IF(Y155=1,L155,0)</f>
        <v>0</v>
      </c>
      <c r="AA155" s="1">
        <f>IF(X155&lt;-100000000/100,1,0)</f>
        <v>0</v>
      </c>
      <c r="AB155" s="1">
        <f>IF(Z155&gt;100000000/100,1,0)</f>
        <v>0</v>
      </c>
    </row>
    <row r="156" spans="1:28" s="1" customFormat="1">
      <c r="A156" s="3">
        <v>45159</v>
      </c>
      <c r="B156" s="2" t="s">
        <v>12</v>
      </c>
      <c r="C156" s="1">
        <f>SUM(PL!E156:H156)</f>
        <v>0</v>
      </c>
      <c r="D156" s="1">
        <f>SUM(PL!I156:L156)</f>
        <v>0</v>
      </c>
      <c r="E156" s="1">
        <f>SUM(C156:D156)</f>
        <v>0</v>
      </c>
      <c r="F156" s="1">
        <f>IF(C156 + F155 &lt; 0, C156 + F155, 0)</f>
        <v>0</v>
      </c>
      <c r="G156" s="1">
        <f>IF(D156 + G155 &lt; 0, D156 + G155, 0)</f>
        <v>0</v>
      </c>
      <c r="H156" s="1">
        <f>IF(E156 + H155 &lt; 0, E156 + H155, 0)</f>
        <v>0</v>
      </c>
      <c r="I156" s="1">
        <f>IF(H156 &lt; 0, 1 + I155, 0)</f>
        <v>0</v>
      </c>
      <c r="J156" s="1">
        <f>C156-((ABS(SUM(PL!E156:H156)))*0.125)</f>
        <v>0</v>
      </c>
      <c r="K156" s="1">
        <f>D156-((ABS(SUM(PL!I156:L156)))*0.125)</f>
        <v>0</v>
      </c>
      <c r="L156" s="1">
        <f>J156 + K156</f>
        <v>0</v>
      </c>
      <c r="M156" s="1">
        <f>IF(J156 + M155 &lt; 0, J156 + M155, 0)</f>
        <v>0</v>
      </c>
      <c r="N156" s="1">
        <f>IF(K156 + N155 &lt; 0, K156 + N155, 0)</f>
        <v>0</v>
      </c>
      <c r="O156" s="1">
        <f>IF(L156 + O155 &lt; 0, L156 + O155, 0)</f>
        <v>0</v>
      </c>
      <c r="P156" s="1">
        <f>IF(O156 &lt; 0, 1 + P155, 0)</f>
        <v>0</v>
      </c>
      <c r="Q156" s="1">
        <f>IF(E156&lt;0,1,0)</f>
        <v>0</v>
      </c>
      <c r="R156" s="1">
        <f>IF(Q156=1,E156,0)</f>
        <v>0</v>
      </c>
      <c r="S156" s="1">
        <f>IF(E156&gt;0,1,0)</f>
        <v>0</v>
      </c>
      <c r="T156" s="1">
        <f>IF(S156=1,E156,0)</f>
        <v>0</v>
      </c>
      <c r="U156" s="1">
        <f>IF(R156&lt;-100000000/100,1,0)</f>
        <v>0</v>
      </c>
      <c r="V156" s="1">
        <f>IF(T156&gt;100000000/100,1,0)</f>
        <v>0</v>
      </c>
      <c r="W156" s="1">
        <f>IF(L156&lt;0,1,0)</f>
        <v>0</v>
      </c>
      <c r="X156" s="1">
        <f>IF(W156=1,L156,0)</f>
        <v>0</v>
      </c>
      <c r="Y156" s="1">
        <f>IF(L156&gt;0,1,0)</f>
        <v>0</v>
      </c>
      <c r="Z156" s="1">
        <f>IF(Y156=1,L156,0)</f>
        <v>0</v>
      </c>
      <c r="AA156" s="1">
        <f>IF(X156&lt;-100000000/100,1,0)</f>
        <v>0</v>
      </c>
      <c r="AB156" s="1">
        <f>IF(Z156&gt;100000000/100,1,0)</f>
        <v>0</v>
      </c>
    </row>
    <row r="157" spans="1:28" s="1" customFormat="1">
      <c r="A157" s="3">
        <v>45160</v>
      </c>
      <c r="B157" s="2" t="s">
        <v>13</v>
      </c>
      <c r="C157" s="1">
        <f>SUM(PL!E157:H157)</f>
        <v>0</v>
      </c>
      <c r="D157" s="1">
        <f>SUM(PL!I157:L157)</f>
        <v>0</v>
      </c>
      <c r="E157" s="1">
        <f>SUM(C157:D157)</f>
        <v>0</v>
      </c>
      <c r="F157" s="1">
        <f>IF(C157 + F156 &lt; 0, C157 + F156, 0)</f>
        <v>0</v>
      </c>
      <c r="G157" s="1">
        <f>IF(D157 + G156 &lt; 0, D157 + G156, 0)</f>
        <v>0</v>
      </c>
      <c r="H157" s="1">
        <f>IF(E157 + H156 &lt; 0, E157 + H156, 0)</f>
        <v>0</v>
      </c>
      <c r="I157" s="1">
        <f>IF(H157 &lt; 0, 1 + I156, 0)</f>
        <v>0</v>
      </c>
      <c r="J157" s="1">
        <f>C157-((ABS(SUM(PL!E157:H157)))*0.125)</f>
        <v>0</v>
      </c>
      <c r="K157" s="1">
        <f>D157-((ABS(SUM(PL!I157:L157)))*0.125)</f>
        <v>0</v>
      </c>
      <c r="L157" s="1">
        <f>J157 + K157</f>
        <v>0</v>
      </c>
      <c r="M157" s="1">
        <f>IF(J157 + M156 &lt; 0, J157 + M156, 0)</f>
        <v>0</v>
      </c>
      <c r="N157" s="1">
        <f>IF(K157 + N156 &lt; 0, K157 + N156, 0)</f>
        <v>0</v>
      </c>
      <c r="O157" s="1">
        <f>IF(L157 + O156 &lt; 0, L157 + O156, 0)</f>
        <v>0</v>
      </c>
      <c r="P157" s="1">
        <f>IF(O157 &lt; 0, 1 + P156, 0)</f>
        <v>0</v>
      </c>
      <c r="Q157" s="1">
        <f>IF(E157&lt;0,1,0)</f>
        <v>0</v>
      </c>
      <c r="R157" s="1">
        <f>IF(Q157=1,E157,0)</f>
        <v>0</v>
      </c>
      <c r="S157" s="1">
        <f>IF(E157&gt;0,1,0)</f>
        <v>0</v>
      </c>
      <c r="T157" s="1">
        <f>IF(S157=1,E157,0)</f>
        <v>0</v>
      </c>
      <c r="U157" s="1">
        <f>IF(R157&lt;-100000000/100,1,0)</f>
        <v>0</v>
      </c>
      <c r="V157" s="1">
        <f>IF(T157&gt;100000000/100,1,0)</f>
        <v>0</v>
      </c>
      <c r="W157" s="1">
        <f>IF(L157&lt;0,1,0)</f>
        <v>0</v>
      </c>
      <c r="X157" s="1">
        <f>IF(W157=1,L157,0)</f>
        <v>0</v>
      </c>
      <c r="Y157" s="1">
        <f>IF(L157&gt;0,1,0)</f>
        <v>0</v>
      </c>
      <c r="Z157" s="1">
        <f>IF(Y157=1,L157,0)</f>
        <v>0</v>
      </c>
      <c r="AA157" s="1">
        <f>IF(X157&lt;-100000000/100,1,0)</f>
        <v>0</v>
      </c>
      <c r="AB157" s="1">
        <f>IF(Z157&gt;100000000/100,1,0)</f>
        <v>0</v>
      </c>
    </row>
    <row r="158" spans="1:28" s="1" customFormat="1">
      <c r="A158" s="3">
        <v>45161</v>
      </c>
      <c r="B158" s="2" t="s">
        <v>14</v>
      </c>
      <c r="C158" s="1">
        <f>SUM(PL!E158:H158)</f>
        <v>0</v>
      </c>
      <c r="D158" s="1">
        <f>SUM(PL!I158:L158)</f>
        <v>0</v>
      </c>
      <c r="E158" s="1">
        <f>SUM(C158:D158)</f>
        <v>0</v>
      </c>
      <c r="F158" s="1">
        <f>IF(C158 + F157 &lt; 0, C158 + F157, 0)</f>
        <v>0</v>
      </c>
      <c r="G158" s="1">
        <f>IF(D158 + G157 &lt; 0, D158 + G157, 0)</f>
        <v>0</v>
      </c>
      <c r="H158" s="1">
        <f>IF(E158 + H157 &lt; 0, E158 + H157, 0)</f>
        <v>0</v>
      </c>
      <c r="I158" s="1">
        <f>IF(H158 &lt; 0, 1 + I157, 0)</f>
        <v>0</v>
      </c>
      <c r="J158" s="1">
        <f>C158-((ABS(SUM(PL!E158:H158)))*0.125)</f>
        <v>0</v>
      </c>
      <c r="K158" s="1">
        <f>D158-((ABS(SUM(PL!I158:L158)))*0.125)</f>
        <v>0</v>
      </c>
      <c r="L158" s="1">
        <f>J158 + K158</f>
        <v>0</v>
      </c>
      <c r="M158" s="1">
        <f>IF(J158 + M157 &lt; 0, J158 + M157, 0)</f>
        <v>0</v>
      </c>
      <c r="N158" s="1">
        <f>IF(K158 + N157 &lt; 0, K158 + N157, 0)</f>
        <v>0</v>
      </c>
      <c r="O158" s="1">
        <f>IF(L158 + O157 &lt; 0, L158 + O157, 0)</f>
        <v>0</v>
      </c>
      <c r="P158" s="1">
        <f>IF(O158 &lt; 0, 1 + P157, 0)</f>
        <v>0</v>
      </c>
      <c r="Q158" s="1">
        <f>IF(E158&lt;0,1,0)</f>
        <v>0</v>
      </c>
      <c r="R158" s="1">
        <f>IF(Q158=1,E158,0)</f>
        <v>0</v>
      </c>
      <c r="S158" s="1">
        <f>IF(E158&gt;0,1,0)</f>
        <v>0</v>
      </c>
      <c r="T158" s="1">
        <f>IF(S158=1,E158,0)</f>
        <v>0</v>
      </c>
      <c r="U158" s="1">
        <f>IF(R158&lt;-100000000/100,1,0)</f>
        <v>0</v>
      </c>
      <c r="V158" s="1">
        <f>IF(T158&gt;100000000/100,1,0)</f>
        <v>0</v>
      </c>
      <c r="W158" s="1">
        <f>IF(L158&lt;0,1,0)</f>
        <v>0</v>
      </c>
      <c r="X158" s="1">
        <f>IF(W158=1,L158,0)</f>
        <v>0</v>
      </c>
      <c r="Y158" s="1">
        <f>IF(L158&gt;0,1,0)</f>
        <v>0</v>
      </c>
      <c r="Z158" s="1">
        <f>IF(Y158=1,L158,0)</f>
        <v>0</v>
      </c>
      <c r="AA158" s="1">
        <f>IF(X158&lt;-100000000/100,1,0)</f>
        <v>0</v>
      </c>
      <c r="AB158" s="1">
        <f>IF(Z158&gt;100000000/100,1,0)</f>
        <v>0</v>
      </c>
    </row>
    <row r="159" spans="1:28" s="1" customFormat="1">
      <c r="A159" s="3">
        <v>45162</v>
      </c>
      <c r="B159" s="2" t="s">
        <v>16</v>
      </c>
      <c r="C159" s="1">
        <f>SUM(PL!E159:H159)</f>
        <v>0</v>
      </c>
      <c r="D159" s="1">
        <f>SUM(PL!I159:L159)</f>
        <v>0</v>
      </c>
      <c r="E159" s="1">
        <f>SUM(C159:D159)</f>
        <v>0</v>
      </c>
      <c r="F159" s="1">
        <f>IF(C159 + F158 &lt; 0, C159 + F158, 0)</f>
        <v>0</v>
      </c>
      <c r="G159" s="1">
        <f>IF(D159 + G158 &lt; 0, D159 + G158, 0)</f>
        <v>0</v>
      </c>
      <c r="H159" s="1">
        <f>IF(E159 + H158 &lt; 0, E159 + H158, 0)</f>
        <v>0</v>
      </c>
      <c r="I159" s="1">
        <f>IF(H159 &lt; 0, 1 + I158, 0)</f>
        <v>0</v>
      </c>
      <c r="J159" s="1">
        <f>C159-((ABS(SUM(PL!E159:H159)))*0.125)</f>
        <v>0</v>
      </c>
      <c r="K159" s="1">
        <f>D159-((ABS(SUM(PL!I159:L159)))*0.125)</f>
        <v>0</v>
      </c>
      <c r="L159" s="1">
        <f>J159 + K159</f>
        <v>0</v>
      </c>
      <c r="M159" s="1">
        <f>IF(J159 + M158 &lt; 0, J159 + M158, 0)</f>
        <v>0</v>
      </c>
      <c r="N159" s="1">
        <f>IF(K159 + N158 &lt; 0, K159 + N158, 0)</f>
        <v>0</v>
      </c>
      <c r="O159" s="1">
        <f>IF(L159 + O158 &lt; 0, L159 + O158, 0)</f>
        <v>0</v>
      </c>
      <c r="P159" s="1">
        <f>IF(O159 &lt; 0, 1 + P158, 0)</f>
        <v>0</v>
      </c>
      <c r="Q159" s="1">
        <f>IF(E159&lt;0,1,0)</f>
        <v>0</v>
      </c>
      <c r="R159" s="1">
        <f>IF(Q159=1,E159,0)</f>
        <v>0</v>
      </c>
      <c r="S159" s="1">
        <f>IF(E159&gt;0,1,0)</f>
        <v>0</v>
      </c>
      <c r="T159" s="1">
        <f>IF(S159=1,E159,0)</f>
        <v>0</v>
      </c>
      <c r="U159" s="1">
        <f>IF(R159&lt;-100000000/100,1,0)</f>
        <v>0</v>
      </c>
      <c r="V159" s="1">
        <f>IF(T159&gt;100000000/100,1,0)</f>
        <v>0</v>
      </c>
      <c r="W159" s="1">
        <f>IF(L159&lt;0,1,0)</f>
        <v>0</v>
      </c>
      <c r="X159" s="1">
        <f>IF(W159=1,L159,0)</f>
        <v>0</v>
      </c>
      <c r="Y159" s="1">
        <f>IF(L159&gt;0,1,0)</f>
        <v>0</v>
      </c>
      <c r="Z159" s="1">
        <f>IF(Y159=1,L159,0)</f>
        <v>0</v>
      </c>
      <c r="AA159" s="1">
        <f>IF(X159&lt;-100000000/100,1,0)</f>
        <v>0</v>
      </c>
      <c r="AB159" s="1">
        <f>IF(Z159&gt;100000000/100,1,0)</f>
        <v>0</v>
      </c>
    </row>
    <row r="160" spans="1:28" s="1" customFormat="1">
      <c r="A160" s="3">
        <v>45163</v>
      </c>
      <c r="B160" s="2" t="s">
        <v>15</v>
      </c>
      <c r="C160" s="1">
        <f>SUM(PL!E160:H160)</f>
        <v>0</v>
      </c>
      <c r="D160" s="1">
        <f>SUM(PL!I160:L160)</f>
        <v>0</v>
      </c>
      <c r="E160" s="1">
        <f>SUM(C160:D160)</f>
        <v>0</v>
      </c>
      <c r="F160" s="1">
        <f>IF(C160 + F159 &lt; 0, C160 + F159, 0)</f>
        <v>0</v>
      </c>
      <c r="G160" s="1">
        <f>IF(D160 + G159 &lt; 0, D160 + G159, 0)</f>
        <v>0</v>
      </c>
      <c r="H160" s="1">
        <f>IF(E160 + H159 &lt; 0, E160 + H159, 0)</f>
        <v>0</v>
      </c>
      <c r="I160" s="1">
        <f>IF(H160 &lt; 0, 1 + I159, 0)</f>
        <v>0</v>
      </c>
      <c r="J160" s="1">
        <f>C160-((ABS(SUM(PL!E160:H160)))*0.125)</f>
        <v>0</v>
      </c>
      <c r="K160" s="1">
        <f>D160-((ABS(SUM(PL!I160:L160)))*0.125)</f>
        <v>0</v>
      </c>
      <c r="L160" s="1">
        <f>J160 + K160</f>
        <v>0</v>
      </c>
      <c r="M160" s="1">
        <f>IF(J160 + M159 &lt; 0, J160 + M159, 0)</f>
        <v>0</v>
      </c>
      <c r="N160" s="1">
        <f>IF(K160 + N159 &lt; 0, K160 + N159, 0)</f>
        <v>0</v>
      </c>
      <c r="O160" s="1">
        <f>IF(L160 + O159 &lt; 0, L160 + O159, 0)</f>
        <v>0</v>
      </c>
      <c r="P160" s="1">
        <f>IF(O160 &lt; 0, 1 + P159, 0)</f>
        <v>0</v>
      </c>
      <c r="Q160" s="1">
        <f>IF(E160&lt;0,1,0)</f>
        <v>0</v>
      </c>
      <c r="R160" s="1">
        <f>IF(Q160=1,E160,0)</f>
        <v>0</v>
      </c>
      <c r="S160" s="1">
        <f>IF(E160&gt;0,1,0)</f>
        <v>0</v>
      </c>
      <c r="T160" s="1">
        <f>IF(S160=1,E160,0)</f>
        <v>0</v>
      </c>
      <c r="U160" s="1">
        <f>IF(R160&lt;-100000000/100,1,0)</f>
        <v>0</v>
      </c>
      <c r="V160" s="1">
        <f>IF(T160&gt;100000000/100,1,0)</f>
        <v>0</v>
      </c>
      <c r="W160" s="1">
        <f>IF(L160&lt;0,1,0)</f>
        <v>0</v>
      </c>
      <c r="X160" s="1">
        <f>IF(W160=1,L160,0)</f>
        <v>0</v>
      </c>
      <c r="Y160" s="1">
        <f>IF(L160&gt;0,1,0)</f>
        <v>0</v>
      </c>
      <c r="Z160" s="1">
        <f>IF(Y160=1,L160,0)</f>
        <v>0</v>
      </c>
      <c r="AA160" s="1">
        <f>IF(X160&lt;-100000000/100,1,0)</f>
        <v>0</v>
      </c>
      <c r="AB160" s="1">
        <f>IF(Z160&gt;100000000/100,1,0)</f>
        <v>0</v>
      </c>
    </row>
    <row r="161" spans="1:28" s="1" customFormat="1">
      <c r="A161" s="3">
        <v>45166</v>
      </c>
      <c r="B161" s="2" t="s">
        <v>12</v>
      </c>
      <c r="C161" s="1">
        <f>SUM(PL!E161:H161)</f>
        <v>0</v>
      </c>
      <c r="D161" s="1">
        <f>SUM(PL!I161:L161)</f>
        <v>0</v>
      </c>
      <c r="E161" s="1">
        <f>SUM(C161:D161)</f>
        <v>0</v>
      </c>
      <c r="F161" s="1">
        <f>IF(C161 + F160 &lt; 0, C161 + F160, 0)</f>
        <v>0</v>
      </c>
      <c r="G161" s="1">
        <f>IF(D161 + G160 &lt; 0, D161 + G160, 0)</f>
        <v>0</v>
      </c>
      <c r="H161" s="1">
        <f>IF(E161 + H160 &lt; 0, E161 + H160, 0)</f>
        <v>0</v>
      </c>
      <c r="I161" s="1">
        <f>IF(H161 &lt; 0, 1 + I160, 0)</f>
        <v>0</v>
      </c>
      <c r="J161" s="1">
        <f>C161-((ABS(SUM(PL!E161:H161)))*0.125)</f>
        <v>0</v>
      </c>
      <c r="K161" s="1">
        <f>D161-((ABS(SUM(PL!I161:L161)))*0.125)</f>
        <v>0</v>
      </c>
      <c r="L161" s="1">
        <f>J161 + K161</f>
        <v>0</v>
      </c>
      <c r="M161" s="1">
        <f>IF(J161 + M160 &lt; 0, J161 + M160, 0)</f>
        <v>0</v>
      </c>
      <c r="N161" s="1">
        <f>IF(K161 + N160 &lt; 0, K161 + N160, 0)</f>
        <v>0</v>
      </c>
      <c r="O161" s="1">
        <f>IF(L161 + O160 &lt; 0, L161 + O160, 0)</f>
        <v>0</v>
      </c>
      <c r="P161" s="1">
        <f>IF(O161 &lt; 0, 1 + P160, 0)</f>
        <v>0</v>
      </c>
      <c r="Q161" s="1">
        <f>IF(E161&lt;0,1,0)</f>
        <v>0</v>
      </c>
      <c r="R161" s="1">
        <f>IF(Q161=1,E161,0)</f>
        <v>0</v>
      </c>
      <c r="S161" s="1">
        <f>IF(E161&gt;0,1,0)</f>
        <v>0</v>
      </c>
      <c r="T161" s="1">
        <f>IF(S161=1,E161,0)</f>
        <v>0</v>
      </c>
      <c r="U161" s="1">
        <f>IF(R161&lt;-100000000/100,1,0)</f>
        <v>0</v>
      </c>
      <c r="V161" s="1">
        <f>IF(T161&gt;100000000/100,1,0)</f>
        <v>0</v>
      </c>
      <c r="W161" s="1">
        <f>IF(L161&lt;0,1,0)</f>
        <v>0</v>
      </c>
      <c r="X161" s="1">
        <f>IF(W161=1,L161,0)</f>
        <v>0</v>
      </c>
      <c r="Y161" s="1">
        <f>IF(L161&gt;0,1,0)</f>
        <v>0</v>
      </c>
      <c r="Z161" s="1">
        <f>IF(Y161=1,L161,0)</f>
        <v>0</v>
      </c>
      <c r="AA161" s="1">
        <f>IF(X161&lt;-100000000/100,1,0)</f>
        <v>0</v>
      </c>
      <c r="AB161" s="1">
        <f>IF(Z161&gt;100000000/100,1,0)</f>
        <v>0</v>
      </c>
    </row>
    <row r="162" spans="1:28" s="1" customFormat="1">
      <c r="A162" s="3">
        <v>45167</v>
      </c>
      <c r="B162" s="2" t="s">
        <v>13</v>
      </c>
      <c r="C162" s="1">
        <f>SUM(PL!E162:H162)</f>
        <v>0</v>
      </c>
      <c r="D162" s="1">
        <f>SUM(PL!I162:L162)</f>
        <v>0</v>
      </c>
      <c r="E162" s="1">
        <f>SUM(C162:D162)</f>
        <v>0</v>
      </c>
      <c r="F162" s="1">
        <f>IF(C162 + F161 &lt; 0, C162 + F161, 0)</f>
        <v>0</v>
      </c>
      <c r="G162" s="1">
        <f>IF(D162 + G161 &lt; 0, D162 + G161, 0)</f>
        <v>0</v>
      </c>
      <c r="H162" s="1">
        <f>IF(E162 + H161 &lt; 0, E162 + H161, 0)</f>
        <v>0</v>
      </c>
      <c r="I162" s="1">
        <f>IF(H162 &lt; 0, 1 + I161, 0)</f>
        <v>0</v>
      </c>
      <c r="J162" s="1">
        <f>C162-((ABS(SUM(PL!E162:H162)))*0.125)</f>
        <v>0</v>
      </c>
      <c r="K162" s="1">
        <f>D162-((ABS(SUM(PL!I162:L162)))*0.125)</f>
        <v>0</v>
      </c>
      <c r="L162" s="1">
        <f>J162 + K162</f>
        <v>0</v>
      </c>
      <c r="M162" s="1">
        <f>IF(J162 + M161 &lt; 0, J162 + M161, 0)</f>
        <v>0</v>
      </c>
      <c r="N162" s="1">
        <f>IF(K162 + N161 &lt; 0, K162 + N161, 0)</f>
        <v>0</v>
      </c>
      <c r="O162" s="1">
        <f>IF(L162 + O161 &lt; 0, L162 + O161, 0)</f>
        <v>0</v>
      </c>
      <c r="P162" s="1">
        <f>IF(O162 &lt; 0, 1 + P161, 0)</f>
        <v>0</v>
      </c>
      <c r="Q162" s="1">
        <f>IF(E162&lt;0,1,0)</f>
        <v>0</v>
      </c>
      <c r="R162" s="1">
        <f>IF(Q162=1,E162,0)</f>
        <v>0</v>
      </c>
      <c r="S162" s="1">
        <f>IF(E162&gt;0,1,0)</f>
        <v>0</v>
      </c>
      <c r="T162" s="1">
        <f>IF(S162=1,E162,0)</f>
        <v>0</v>
      </c>
      <c r="U162" s="1">
        <f>IF(R162&lt;-100000000/100,1,0)</f>
        <v>0</v>
      </c>
      <c r="V162" s="1">
        <f>IF(T162&gt;100000000/100,1,0)</f>
        <v>0</v>
      </c>
      <c r="W162" s="1">
        <f>IF(L162&lt;0,1,0)</f>
        <v>0</v>
      </c>
      <c r="X162" s="1">
        <f>IF(W162=1,L162,0)</f>
        <v>0</v>
      </c>
      <c r="Y162" s="1">
        <f>IF(L162&gt;0,1,0)</f>
        <v>0</v>
      </c>
      <c r="Z162" s="1">
        <f>IF(Y162=1,L162,0)</f>
        <v>0</v>
      </c>
      <c r="AA162" s="1">
        <f>IF(X162&lt;-100000000/100,1,0)</f>
        <v>0</v>
      </c>
      <c r="AB162" s="1">
        <f>IF(Z162&gt;100000000/100,1,0)</f>
        <v>0</v>
      </c>
    </row>
    <row r="163" spans="1:28" s="1" customFormat="1">
      <c r="A163" s="3">
        <v>45168</v>
      </c>
      <c r="B163" s="2" t="s">
        <v>14</v>
      </c>
      <c r="C163" s="1">
        <f>SUM(PL!E163:H163)</f>
        <v>0</v>
      </c>
      <c r="D163" s="1">
        <f>SUM(PL!I163:L163)</f>
        <v>0</v>
      </c>
      <c r="E163" s="1">
        <f>SUM(C163:D163)</f>
        <v>0</v>
      </c>
      <c r="F163" s="1">
        <f>IF(C163 + F162 &lt; 0, C163 + F162, 0)</f>
        <v>0</v>
      </c>
      <c r="G163" s="1">
        <f>IF(D163 + G162 &lt; 0, D163 + G162, 0)</f>
        <v>0</v>
      </c>
      <c r="H163" s="1">
        <f>IF(E163 + H162 &lt; 0, E163 + H162, 0)</f>
        <v>0</v>
      </c>
      <c r="I163" s="1">
        <f>IF(H163 &lt; 0, 1 + I162, 0)</f>
        <v>0</v>
      </c>
      <c r="J163" s="1">
        <f>C163-((ABS(SUM(PL!E163:H163)))*0.125)</f>
        <v>0</v>
      </c>
      <c r="K163" s="1">
        <f>D163-((ABS(SUM(PL!I163:L163)))*0.125)</f>
        <v>0</v>
      </c>
      <c r="L163" s="1">
        <f>J163 + K163</f>
        <v>0</v>
      </c>
      <c r="M163" s="1">
        <f>IF(J163 + M162 &lt; 0, J163 + M162, 0)</f>
        <v>0</v>
      </c>
      <c r="N163" s="1">
        <f>IF(K163 + N162 &lt; 0, K163 + N162, 0)</f>
        <v>0</v>
      </c>
      <c r="O163" s="1">
        <f>IF(L163 + O162 &lt; 0, L163 + O162, 0)</f>
        <v>0</v>
      </c>
      <c r="P163" s="1">
        <f>IF(O163 &lt; 0, 1 + P162, 0)</f>
        <v>0</v>
      </c>
      <c r="Q163" s="1">
        <f>IF(E163&lt;0,1,0)</f>
        <v>0</v>
      </c>
      <c r="R163" s="1">
        <f>IF(Q163=1,E163,0)</f>
        <v>0</v>
      </c>
      <c r="S163" s="1">
        <f>IF(E163&gt;0,1,0)</f>
        <v>0</v>
      </c>
      <c r="T163" s="1">
        <f>IF(S163=1,E163,0)</f>
        <v>0</v>
      </c>
      <c r="U163" s="1">
        <f>IF(R163&lt;-100000000/100,1,0)</f>
        <v>0</v>
      </c>
      <c r="V163" s="1">
        <f>IF(T163&gt;100000000/100,1,0)</f>
        <v>0</v>
      </c>
      <c r="W163" s="1">
        <f>IF(L163&lt;0,1,0)</f>
        <v>0</v>
      </c>
      <c r="X163" s="1">
        <f>IF(W163=1,L163,0)</f>
        <v>0</v>
      </c>
      <c r="Y163" s="1">
        <f>IF(L163&gt;0,1,0)</f>
        <v>0</v>
      </c>
      <c r="Z163" s="1">
        <f>IF(Y163=1,L163,0)</f>
        <v>0</v>
      </c>
      <c r="AA163" s="1">
        <f>IF(X163&lt;-100000000/100,1,0)</f>
        <v>0</v>
      </c>
      <c r="AB163" s="1">
        <f>IF(Z163&gt;100000000/100,1,0)</f>
        <v>0</v>
      </c>
    </row>
    <row r="164" spans="1:28" s="1" customFormat="1">
      <c r="A164" s="3">
        <v>45169</v>
      </c>
      <c r="B164" s="2" t="s">
        <v>16</v>
      </c>
      <c r="C164" s="1">
        <f>SUM(PL!E164:H164)</f>
        <v>0</v>
      </c>
      <c r="D164" s="1">
        <f>SUM(PL!I164:L164)</f>
        <v>0</v>
      </c>
      <c r="E164" s="1">
        <f>SUM(C164:D164)</f>
        <v>0</v>
      </c>
      <c r="F164" s="1">
        <f>IF(C164 + F163 &lt; 0, C164 + F163, 0)</f>
        <v>0</v>
      </c>
      <c r="G164" s="1">
        <f>IF(D164 + G163 &lt; 0, D164 + G163, 0)</f>
        <v>0</v>
      </c>
      <c r="H164" s="1">
        <f>IF(E164 + H163 &lt; 0, E164 + H163, 0)</f>
        <v>0</v>
      </c>
      <c r="I164" s="1">
        <f>IF(H164 &lt; 0, 1 + I163, 0)</f>
        <v>0</v>
      </c>
      <c r="J164" s="1">
        <f>C164-((ABS(SUM(PL!E164:H164)))*0.125)</f>
        <v>0</v>
      </c>
      <c r="K164" s="1">
        <f>D164-((ABS(SUM(PL!I164:L164)))*0.125)</f>
        <v>0</v>
      </c>
      <c r="L164" s="1">
        <f>J164 + K164</f>
        <v>0</v>
      </c>
      <c r="M164" s="1">
        <f>IF(J164 + M163 &lt; 0, J164 + M163, 0)</f>
        <v>0</v>
      </c>
      <c r="N164" s="1">
        <f>IF(K164 + N163 &lt; 0, K164 + N163, 0)</f>
        <v>0</v>
      </c>
      <c r="O164" s="1">
        <f>IF(L164 + O163 &lt; 0, L164 + O163, 0)</f>
        <v>0</v>
      </c>
      <c r="P164" s="1">
        <f>IF(O164 &lt; 0, 1 + P163, 0)</f>
        <v>0</v>
      </c>
      <c r="Q164" s="1">
        <f>IF(E164&lt;0,1,0)</f>
        <v>0</v>
      </c>
      <c r="R164" s="1">
        <f>IF(Q164=1,E164,0)</f>
        <v>0</v>
      </c>
      <c r="S164" s="1">
        <f>IF(E164&gt;0,1,0)</f>
        <v>0</v>
      </c>
      <c r="T164" s="1">
        <f>IF(S164=1,E164,0)</f>
        <v>0</v>
      </c>
      <c r="U164" s="1">
        <f>IF(R164&lt;-100000000/100,1,0)</f>
        <v>0</v>
      </c>
      <c r="V164" s="1">
        <f>IF(T164&gt;100000000/100,1,0)</f>
        <v>0</v>
      </c>
      <c r="W164" s="1">
        <f>IF(L164&lt;0,1,0)</f>
        <v>0</v>
      </c>
      <c r="X164" s="1">
        <f>IF(W164=1,L164,0)</f>
        <v>0</v>
      </c>
      <c r="Y164" s="1">
        <f>IF(L164&gt;0,1,0)</f>
        <v>0</v>
      </c>
      <c r="Z164" s="1">
        <f>IF(Y164=1,L164,0)</f>
        <v>0</v>
      </c>
      <c r="AA164" s="1">
        <f>IF(X164&lt;-100000000/100,1,0)</f>
        <v>0</v>
      </c>
      <c r="AB164" s="1">
        <f>IF(Z164&gt;100000000/100,1,0)</f>
        <v>0</v>
      </c>
    </row>
    <row r="165" spans="1:28" s="1" customFormat="1">
      <c r="A165" s="3">
        <v>45170</v>
      </c>
      <c r="B165" s="2" t="s">
        <v>15</v>
      </c>
      <c r="C165" s="1">
        <f>SUM(PL!E165:H165)</f>
        <v>0</v>
      </c>
      <c r="D165" s="1">
        <f>SUM(PL!I165:L165)</f>
        <v>0</v>
      </c>
      <c r="E165" s="1">
        <f>SUM(C165:D165)</f>
        <v>0</v>
      </c>
      <c r="F165" s="1">
        <f>IF(C165 + F164 &lt; 0, C165 + F164, 0)</f>
        <v>0</v>
      </c>
      <c r="G165" s="1">
        <f>IF(D165 + G164 &lt; 0, D165 + G164, 0)</f>
        <v>0</v>
      </c>
      <c r="H165" s="1">
        <f>IF(E165 + H164 &lt; 0, E165 + H164, 0)</f>
        <v>0</v>
      </c>
      <c r="I165" s="1">
        <f>IF(H165 &lt; 0, 1 + I164, 0)</f>
        <v>0</v>
      </c>
      <c r="J165" s="1">
        <f>C165-((ABS(SUM(PL!E165:H165)))*0.125)</f>
        <v>0</v>
      </c>
      <c r="K165" s="1">
        <f>D165-((ABS(SUM(PL!I165:L165)))*0.125)</f>
        <v>0</v>
      </c>
      <c r="L165" s="1">
        <f>J165 + K165</f>
        <v>0</v>
      </c>
      <c r="M165" s="1">
        <f>IF(J165 + M164 &lt; 0, J165 + M164, 0)</f>
        <v>0</v>
      </c>
      <c r="N165" s="1">
        <f>IF(K165 + N164 &lt; 0, K165 + N164, 0)</f>
        <v>0</v>
      </c>
      <c r="O165" s="1">
        <f>IF(L165 + O164 &lt; 0, L165 + O164, 0)</f>
        <v>0</v>
      </c>
      <c r="P165" s="1">
        <f>IF(O165 &lt; 0, 1 + P164, 0)</f>
        <v>0</v>
      </c>
      <c r="Q165" s="1">
        <f>IF(E165&lt;0,1,0)</f>
        <v>0</v>
      </c>
      <c r="R165" s="1">
        <f>IF(Q165=1,E165,0)</f>
        <v>0</v>
      </c>
      <c r="S165" s="1">
        <f>IF(E165&gt;0,1,0)</f>
        <v>0</v>
      </c>
      <c r="T165" s="1">
        <f>IF(S165=1,E165,0)</f>
        <v>0</v>
      </c>
      <c r="U165" s="1">
        <f>IF(R165&lt;-100000000/100,1,0)</f>
        <v>0</v>
      </c>
      <c r="V165" s="1">
        <f>IF(T165&gt;100000000/100,1,0)</f>
        <v>0</v>
      </c>
      <c r="W165" s="1">
        <f>IF(L165&lt;0,1,0)</f>
        <v>0</v>
      </c>
      <c r="X165" s="1">
        <f>IF(W165=1,L165,0)</f>
        <v>0</v>
      </c>
      <c r="Y165" s="1">
        <f>IF(L165&gt;0,1,0)</f>
        <v>0</v>
      </c>
      <c r="Z165" s="1">
        <f>IF(Y165=1,L165,0)</f>
        <v>0</v>
      </c>
      <c r="AA165" s="1">
        <f>IF(X165&lt;-100000000/100,1,0)</f>
        <v>0</v>
      </c>
      <c r="AB165" s="1">
        <f>IF(Z165&gt;100000000/100,1,0)</f>
        <v>0</v>
      </c>
    </row>
    <row r="166" spans="1:28" s="1" customFormat="1">
      <c r="A166" s="3">
        <v>45173</v>
      </c>
      <c r="B166" s="2" t="s">
        <v>12</v>
      </c>
      <c r="C166" s="1">
        <f>SUM(PL!E166:H166)</f>
        <v>0</v>
      </c>
      <c r="D166" s="1">
        <f>SUM(PL!I166:L166)</f>
        <v>0</v>
      </c>
      <c r="E166" s="1">
        <f>SUM(C166:D166)</f>
        <v>0</v>
      </c>
      <c r="F166" s="1">
        <f>IF(C166 + F165 &lt; 0, C166 + F165, 0)</f>
        <v>0</v>
      </c>
      <c r="G166" s="1">
        <f>IF(D166 + G165 &lt; 0, D166 + G165, 0)</f>
        <v>0</v>
      </c>
      <c r="H166" s="1">
        <f>IF(E166 + H165 &lt; 0, E166 + H165, 0)</f>
        <v>0</v>
      </c>
      <c r="I166" s="1">
        <f>IF(H166 &lt; 0, 1 + I165, 0)</f>
        <v>0</v>
      </c>
      <c r="J166" s="1">
        <f>C166-((ABS(SUM(PL!E166:H166)))*0.125)</f>
        <v>0</v>
      </c>
      <c r="K166" s="1">
        <f>D166-((ABS(SUM(PL!I166:L166)))*0.125)</f>
        <v>0</v>
      </c>
      <c r="L166" s="1">
        <f>J166 + K166</f>
        <v>0</v>
      </c>
      <c r="M166" s="1">
        <f>IF(J166 + M165 &lt; 0, J166 + M165, 0)</f>
        <v>0</v>
      </c>
      <c r="N166" s="1">
        <f>IF(K166 + N165 &lt; 0, K166 + N165, 0)</f>
        <v>0</v>
      </c>
      <c r="O166" s="1">
        <f>IF(L166 + O165 &lt; 0, L166 + O165, 0)</f>
        <v>0</v>
      </c>
      <c r="P166" s="1">
        <f>IF(O166 &lt; 0, 1 + P165, 0)</f>
        <v>0</v>
      </c>
      <c r="Q166" s="1">
        <f>IF(E166&lt;0,1,0)</f>
        <v>0</v>
      </c>
      <c r="R166" s="1">
        <f>IF(Q166=1,E166,0)</f>
        <v>0</v>
      </c>
      <c r="S166" s="1">
        <f>IF(E166&gt;0,1,0)</f>
        <v>0</v>
      </c>
      <c r="T166" s="1">
        <f>IF(S166=1,E166,0)</f>
        <v>0</v>
      </c>
      <c r="U166" s="1">
        <f>IF(R166&lt;-100000000/100,1,0)</f>
        <v>0</v>
      </c>
      <c r="V166" s="1">
        <f>IF(T166&gt;100000000/100,1,0)</f>
        <v>0</v>
      </c>
      <c r="W166" s="1">
        <f>IF(L166&lt;0,1,0)</f>
        <v>0</v>
      </c>
      <c r="X166" s="1">
        <f>IF(W166=1,L166,0)</f>
        <v>0</v>
      </c>
      <c r="Y166" s="1">
        <f>IF(L166&gt;0,1,0)</f>
        <v>0</v>
      </c>
      <c r="Z166" s="1">
        <f>IF(Y166=1,L166,0)</f>
        <v>0</v>
      </c>
      <c r="AA166" s="1">
        <f>IF(X166&lt;-100000000/100,1,0)</f>
        <v>0</v>
      </c>
      <c r="AB166" s="1">
        <f>IF(Z166&gt;100000000/100,1,0)</f>
        <v>0</v>
      </c>
    </row>
    <row r="167" spans="1:28" s="1" customFormat="1">
      <c r="A167" s="3">
        <v>45174</v>
      </c>
      <c r="B167" s="2" t="s">
        <v>13</v>
      </c>
      <c r="C167" s="1">
        <f>SUM(PL!E167:H167)</f>
        <v>0</v>
      </c>
      <c r="D167" s="1">
        <f>SUM(PL!I167:L167)</f>
        <v>0</v>
      </c>
      <c r="E167" s="1">
        <f>SUM(C167:D167)</f>
        <v>0</v>
      </c>
      <c r="F167" s="1">
        <f>IF(C167 + F166 &lt; 0, C167 + F166, 0)</f>
        <v>0</v>
      </c>
      <c r="G167" s="1">
        <f>IF(D167 + G166 &lt; 0, D167 + G166, 0)</f>
        <v>0</v>
      </c>
      <c r="H167" s="1">
        <f>IF(E167 + H166 &lt; 0, E167 + H166, 0)</f>
        <v>0</v>
      </c>
      <c r="I167" s="1">
        <f>IF(H167 &lt; 0, 1 + I166, 0)</f>
        <v>0</v>
      </c>
      <c r="J167" s="1">
        <f>C167-((ABS(SUM(PL!E167:H167)))*0.125)</f>
        <v>0</v>
      </c>
      <c r="K167" s="1">
        <f>D167-((ABS(SUM(PL!I167:L167)))*0.125)</f>
        <v>0</v>
      </c>
      <c r="L167" s="1">
        <f>J167 + K167</f>
        <v>0</v>
      </c>
      <c r="M167" s="1">
        <f>IF(J167 + M166 &lt; 0, J167 + M166, 0)</f>
        <v>0</v>
      </c>
      <c r="N167" s="1">
        <f>IF(K167 + N166 &lt; 0, K167 + N166, 0)</f>
        <v>0</v>
      </c>
      <c r="O167" s="1">
        <f>IF(L167 + O166 &lt; 0, L167 + O166, 0)</f>
        <v>0</v>
      </c>
      <c r="P167" s="1">
        <f>IF(O167 &lt; 0, 1 + P166, 0)</f>
        <v>0</v>
      </c>
      <c r="Q167" s="1">
        <f>IF(E167&lt;0,1,0)</f>
        <v>0</v>
      </c>
      <c r="R167" s="1">
        <f>IF(Q167=1,E167,0)</f>
        <v>0</v>
      </c>
      <c r="S167" s="1">
        <f>IF(E167&gt;0,1,0)</f>
        <v>0</v>
      </c>
      <c r="T167" s="1">
        <f>IF(S167=1,E167,0)</f>
        <v>0</v>
      </c>
      <c r="U167" s="1">
        <f>IF(R167&lt;-100000000/100,1,0)</f>
        <v>0</v>
      </c>
      <c r="V167" s="1">
        <f>IF(T167&gt;100000000/100,1,0)</f>
        <v>0</v>
      </c>
      <c r="W167" s="1">
        <f>IF(L167&lt;0,1,0)</f>
        <v>0</v>
      </c>
      <c r="X167" s="1">
        <f>IF(W167=1,L167,0)</f>
        <v>0</v>
      </c>
      <c r="Y167" s="1">
        <f>IF(L167&gt;0,1,0)</f>
        <v>0</v>
      </c>
      <c r="Z167" s="1">
        <f>IF(Y167=1,L167,0)</f>
        <v>0</v>
      </c>
      <c r="AA167" s="1">
        <f>IF(X167&lt;-100000000/100,1,0)</f>
        <v>0</v>
      </c>
      <c r="AB167" s="1">
        <f>IF(Z167&gt;100000000/100,1,0)</f>
        <v>0</v>
      </c>
    </row>
    <row r="168" spans="1:28" s="1" customFormat="1">
      <c r="A168" s="3">
        <v>45175</v>
      </c>
      <c r="B168" s="2" t="s">
        <v>14</v>
      </c>
      <c r="C168" s="1">
        <f>SUM(PL!E168:H168)</f>
        <v>0</v>
      </c>
      <c r="D168" s="1">
        <f>SUM(PL!I168:L168)</f>
        <v>0</v>
      </c>
      <c r="E168" s="1">
        <f>SUM(C168:D168)</f>
        <v>0</v>
      </c>
      <c r="F168" s="1">
        <f>IF(C168 + F167 &lt; 0, C168 + F167, 0)</f>
        <v>0</v>
      </c>
      <c r="G168" s="1">
        <f>IF(D168 + G167 &lt; 0, D168 + G167, 0)</f>
        <v>0</v>
      </c>
      <c r="H168" s="1">
        <f>IF(E168 + H167 &lt; 0, E168 + H167, 0)</f>
        <v>0</v>
      </c>
      <c r="I168" s="1">
        <f>IF(H168 &lt; 0, 1 + I167, 0)</f>
        <v>0</v>
      </c>
      <c r="J168" s="1">
        <f>C168-((ABS(SUM(PL!E168:H168)))*0.125)</f>
        <v>0</v>
      </c>
      <c r="K168" s="1">
        <f>D168-((ABS(SUM(PL!I168:L168)))*0.125)</f>
        <v>0</v>
      </c>
      <c r="L168" s="1">
        <f>J168 + K168</f>
        <v>0</v>
      </c>
      <c r="M168" s="1">
        <f>IF(J168 + M167 &lt; 0, J168 + M167, 0)</f>
        <v>0</v>
      </c>
      <c r="N168" s="1">
        <f>IF(K168 + N167 &lt; 0, K168 + N167, 0)</f>
        <v>0</v>
      </c>
      <c r="O168" s="1">
        <f>IF(L168 + O167 &lt; 0, L168 + O167, 0)</f>
        <v>0</v>
      </c>
      <c r="P168" s="1">
        <f>IF(O168 &lt; 0, 1 + P167, 0)</f>
        <v>0</v>
      </c>
      <c r="Q168" s="1">
        <f>IF(E168&lt;0,1,0)</f>
        <v>0</v>
      </c>
      <c r="R168" s="1">
        <f>IF(Q168=1,E168,0)</f>
        <v>0</v>
      </c>
      <c r="S168" s="1">
        <f>IF(E168&gt;0,1,0)</f>
        <v>0</v>
      </c>
      <c r="T168" s="1">
        <f>IF(S168=1,E168,0)</f>
        <v>0</v>
      </c>
      <c r="U168" s="1">
        <f>IF(R168&lt;-100000000/100,1,0)</f>
        <v>0</v>
      </c>
      <c r="V168" s="1">
        <f>IF(T168&gt;100000000/100,1,0)</f>
        <v>0</v>
      </c>
      <c r="W168" s="1">
        <f>IF(L168&lt;0,1,0)</f>
        <v>0</v>
      </c>
      <c r="X168" s="1">
        <f>IF(W168=1,L168,0)</f>
        <v>0</v>
      </c>
      <c r="Y168" s="1">
        <f>IF(L168&gt;0,1,0)</f>
        <v>0</v>
      </c>
      <c r="Z168" s="1">
        <f>IF(Y168=1,L168,0)</f>
        <v>0</v>
      </c>
      <c r="AA168" s="1">
        <f>IF(X168&lt;-100000000/100,1,0)</f>
        <v>0</v>
      </c>
      <c r="AB168" s="1">
        <f>IF(Z168&gt;100000000/100,1,0)</f>
        <v>0</v>
      </c>
    </row>
    <row r="169" spans="1:28" s="1" customFormat="1">
      <c r="A169" s="3">
        <v>45176</v>
      </c>
      <c r="B169" s="2" t="s">
        <v>16</v>
      </c>
      <c r="C169" s="1">
        <f>SUM(PL!E169:H169)</f>
        <v>0</v>
      </c>
      <c r="D169" s="1">
        <f>SUM(PL!I169:L169)</f>
        <v>0</v>
      </c>
      <c r="E169" s="1">
        <f>SUM(C169:D169)</f>
        <v>0</v>
      </c>
      <c r="F169" s="1">
        <f>IF(C169 + F168 &lt; 0, C169 + F168, 0)</f>
        <v>0</v>
      </c>
      <c r="G169" s="1">
        <f>IF(D169 + G168 &lt; 0, D169 + G168, 0)</f>
        <v>0</v>
      </c>
      <c r="H169" s="1">
        <f>IF(E169 + H168 &lt; 0, E169 + H168, 0)</f>
        <v>0</v>
      </c>
      <c r="I169" s="1">
        <f>IF(H169 &lt; 0, 1 + I168, 0)</f>
        <v>0</v>
      </c>
      <c r="J169" s="1">
        <f>C169-((ABS(SUM(PL!E169:H169)))*0.125)</f>
        <v>0</v>
      </c>
      <c r="K169" s="1">
        <f>D169-((ABS(SUM(PL!I169:L169)))*0.125)</f>
        <v>0</v>
      </c>
      <c r="L169" s="1">
        <f>J169 + K169</f>
        <v>0</v>
      </c>
      <c r="M169" s="1">
        <f>IF(J169 + M168 &lt; 0, J169 + M168, 0)</f>
        <v>0</v>
      </c>
      <c r="N169" s="1">
        <f>IF(K169 + N168 &lt; 0, K169 + N168, 0)</f>
        <v>0</v>
      </c>
      <c r="O169" s="1">
        <f>IF(L169 + O168 &lt; 0, L169 + O168, 0)</f>
        <v>0</v>
      </c>
      <c r="P169" s="1">
        <f>IF(O169 &lt; 0, 1 + P168, 0)</f>
        <v>0</v>
      </c>
      <c r="Q169" s="1">
        <f>IF(E169&lt;0,1,0)</f>
        <v>0</v>
      </c>
      <c r="R169" s="1">
        <f>IF(Q169=1,E169,0)</f>
        <v>0</v>
      </c>
      <c r="S169" s="1">
        <f>IF(E169&gt;0,1,0)</f>
        <v>0</v>
      </c>
      <c r="T169" s="1">
        <f>IF(S169=1,E169,0)</f>
        <v>0</v>
      </c>
      <c r="U169" s="1">
        <f>IF(R169&lt;-100000000/100,1,0)</f>
        <v>0</v>
      </c>
      <c r="V169" s="1">
        <f>IF(T169&gt;100000000/100,1,0)</f>
        <v>0</v>
      </c>
      <c r="W169" s="1">
        <f>IF(L169&lt;0,1,0)</f>
        <v>0</v>
      </c>
      <c r="X169" s="1">
        <f>IF(W169=1,L169,0)</f>
        <v>0</v>
      </c>
      <c r="Y169" s="1">
        <f>IF(L169&gt;0,1,0)</f>
        <v>0</v>
      </c>
      <c r="Z169" s="1">
        <f>IF(Y169=1,L169,0)</f>
        <v>0</v>
      </c>
      <c r="AA169" s="1">
        <f>IF(X169&lt;-100000000/100,1,0)</f>
        <v>0</v>
      </c>
      <c r="AB169" s="1">
        <f>IF(Z169&gt;100000000/100,1,0)</f>
        <v>0</v>
      </c>
    </row>
    <row r="170" spans="1:28" s="1" customFormat="1">
      <c r="A170" s="3">
        <v>45177</v>
      </c>
      <c r="B170" s="2" t="s">
        <v>15</v>
      </c>
      <c r="C170" s="1">
        <f>SUM(PL!E170:H170)</f>
        <v>0</v>
      </c>
      <c r="D170" s="1">
        <f>SUM(PL!I170:L170)</f>
        <v>0</v>
      </c>
      <c r="E170" s="1">
        <f>SUM(C170:D170)</f>
        <v>0</v>
      </c>
      <c r="F170" s="1">
        <f>IF(C170 + F169 &lt; 0, C170 + F169, 0)</f>
        <v>0</v>
      </c>
      <c r="G170" s="1">
        <f>IF(D170 + G169 &lt; 0, D170 + G169, 0)</f>
        <v>0</v>
      </c>
      <c r="H170" s="1">
        <f>IF(E170 + H169 &lt; 0, E170 + H169, 0)</f>
        <v>0</v>
      </c>
      <c r="I170" s="1">
        <f>IF(H170 &lt; 0, 1 + I169, 0)</f>
        <v>0</v>
      </c>
      <c r="J170" s="1">
        <f>C170-((ABS(SUM(PL!E170:H170)))*0.125)</f>
        <v>0</v>
      </c>
      <c r="K170" s="1">
        <f>D170-((ABS(SUM(PL!I170:L170)))*0.125)</f>
        <v>0</v>
      </c>
      <c r="L170" s="1">
        <f>J170 + K170</f>
        <v>0</v>
      </c>
      <c r="M170" s="1">
        <f>IF(J170 + M169 &lt; 0, J170 + M169, 0)</f>
        <v>0</v>
      </c>
      <c r="N170" s="1">
        <f>IF(K170 + N169 &lt; 0, K170 + N169, 0)</f>
        <v>0</v>
      </c>
      <c r="O170" s="1">
        <f>IF(L170 + O169 &lt; 0, L170 + O169, 0)</f>
        <v>0</v>
      </c>
      <c r="P170" s="1">
        <f>IF(O170 &lt; 0, 1 + P169, 0)</f>
        <v>0</v>
      </c>
      <c r="Q170" s="1">
        <f>IF(E170&lt;0,1,0)</f>
        <v>0</v>
      </c>
      <c r="R170" s="1">
        <f>IF(Q170=1,E170,0)</f>
        <v>0</v>
      </c>
      <c r="S170" s="1">
        <f>IF(E170&gt;0,1,0)</f>
        <v>0</v>
      </c>
      <c r="T170" s="1">
        <f>IF(S170=1,E170,0)</f>
        <v>0</v>
      </c>
      <c r="U170" s="1">
        <f>IF(R170&lt;-100000000/100,1,0)</f>
        <v>0</v>
      </c>
      <c r="V170" s="1">
        <f>IF(T170&gt;100000000/100,1,0)</f>
        <v>0</v>
      </c>
      <c r="W170" s="1">
        <f>IF(L170&lt;0,1,0)</f>
        <v>0</v>
      </c>
      <c r="X170" s="1">
        <f>IF(W170=1,L170,0)</f>
        <v>0</v>
      </c>
      <c r="Y170" s="1">
        <f>IF(L170&gt;0,1,0)</f>
        <v>0</v>
      </c>
      <c r="Z170" s="1">
        <f>IF(Y170=1,L170,0)</f>
        <v>0</v>
      </c>
      <c r="AA170" s="1">
        <f>IF(X170&lt;-100000000/100,1,0)</f>
        <v>0</v>
      </c>
      <c r="AB170" s="1">
        <f>IF(Z170&gt;100000000/100,1,0)</f>
        <v>0</v>
      </c>
    </row>
    <row r="171" spans="1:28" s="1" customFormat="1">
      <c r="A171" s="3">
        <v>45180</v>
      </c>
      <c r="B171" s="2" t="s">
        <v>12</v>
      </c>
      <c r="C171" s="1">
        <f>SUM(PL!E171:H171)</f>
        <v>0</v>
      </c>
      <c r="D171" s="1">
        <f>SUM(PL!I171:L171)</f>
        <v>0</v>
      </c>
      <c r="E171" s="1">
        <f>SUM(C171:D171)</f>
        <v>0</v>
      </c>
      <c r="F171" s="1">
        <f>IF(C171 + F170 &lt; 0, C171 + F170, 0)</f>
        <v>0</v>
      </c>
      <c r="G171" s="1">
        <f>IF(D171 + G170 &lt; 0, D171 + G170, 0)</f>
        <v>0</v>
      </c>
      <c r="H171" s="1">
        <f>IF(E171 + H170 &lt; 0, E171 + H170, 0)</f>
        <v>0</v>
      </c>
      <c r="I171" s="1">
        <f>IF(H171 &lt; 0, 1 + I170, 0)</f>
        <v>0</v>
      </c>
      <c r="J171" s="1">
        <f>C171-((ABS(SUM(PL!E171:H171)))*0.125)</f>
        <v>0</v>
      </c>
      <c r="K171" s="1">
        <f>D171-((ABS(SUM(PL!I171:L171)))*0.125)</f>
        <v>0</v>
      </c>
      <c r="L171" s="1">
        <f>J171 + K171</f>
        <v>0</v>
      </c>
      <c r="M171" s="1">
        <f>IF(J171 + M170 &lt; 0, J171 + M170, 0)</f>
        <v>0</v>
      </c>
      <c r="N171" s="1">
        <f>IF(K171 + N170 &lt; 0, K171 + N170, 0)</f>
        <v>0</v>
      </c>
      <c r="O171" s="1">
        <f>IF(L171 + O170 &lt; 0, L171 + O170, 0)</f>
        <v>0</v>
      </c>
      <c r="P171" s="1">
        <f>IF(O171 &lt; 0, 1 + P170, 0)</f>
        <v>0</v>
      </c>
      <c r="Q171" s="1">
        <f>IF(E171&lt;0,1,0)</f>
        <v>0</v>
      </c>
      <c r="R171" s="1">
        <f>IF(Q171=1,E171,0)</f>
        <v>0</v>
      </c>
      <c r="S171" s="1">
        <f>IF(E171&gt;0,1,0)</f>
        <v>0</v>
      </c>
      <c r="T171" s="1">
        <f>IF(S171=1,E171,0)</f>
        <v>0</v>
      </c>
      <c r="U171" s="1">
        <f>IF(R171&lt;-100000000/100,1,0)</f>
        <v>0</v>
      </c>
      <c r="V171" s="1">
        <f>IF(T171&gt;100000000/100,1,0)</f>
        <v>0</v>
      </c>
      <c r="W171" s="1">
        <f>IF(L171&lt;0,1,0)</f>
        <v>0</v>
      </c>
      <c r="X171" s="1">
        <f>IF(W171=1,L171,0)</f>
        <v>0</v>
      </c>
      <c r="Y171" s="1">
        <f>IF(L171&gt;0,1,0)</f>
        <v>0</v>
      </c>
      <c r="Z171" s="1">
        <f>IF(Y171=1,L171,0)</f>
        <v>0</v>
      </c>
      <c r="AA171" s="1">
        <f>IF(X171&lt;-100000000/100,1,0)</f>
        <v>0</v>
      </c>
      <c r="AB171" s="1">
        <f>IF(Z171&gt;100000000/100,1,0)</f>
        <v>0</v>
      </c>
    </row>
    <row r="172" spans="1:28" s="1" customFormat="1">
      <c r="A172" s="3">
        <v>45181</v>
      </c>
      <c r="B172" s="2" t="s">
        <v>13</v>
      </c>
      <c r="C172" s="1">
        <f>SUM(PL!E172:H172)</f>
        <v>0</v>
      </c>
      <c r="D172" s="1">
        <f>SUM(PL!I172:L172)</f>
        <v>0</v>
      </c>
      <c r="E172" s="1">
        <f>SUM(C172:D172)</f>
        <v>0</v>
      </c>
      <c r="F172" s="1">
        <f>IF(C172 + F171 &lt; 0, C172 + F171, 0)</f>
        <v>0</v>
      </c>
      <c r="G172" s="1">
        <f>IF(D172 + G171 &lt; 0, D172 + G171, 0)</f>
        <v>0</v>
      </c>
      <c r="H172" s="1">
        <f>IF(E172 + H171 &lt; 0, E172 + H171, 0)</f>
        <v>0</v>
      </c>
      <c r="I172" s="1">
        <f>IF(H172 &lt; 0, 1 + I171, 0)</f>
        <v>0</v>
      </c>
      <c r="J172" s="1">
        <f>C172-((ABS(SUM(PL!E172:H172)))*0.125)</f>
        <v>0</v>
      </c>
      <c r="K172" s="1">
        <f>D172-((ABS(SUM(PL!I172:L172)))*0.125)</f>
        <v>0</v>
      </c>
      <c r="L172" s="1">
        <f>J172 + K172</f>
        <v>0</v>
      </c>
      <c r="M172" s="1">
        <f>IF(J172 + M171 &lt; 0, J172 + M171, 0)</f>
        <v>0</v>
      </c>
      <c r="N172" s="1">
        <f>IF(K172 + N171 &lt; 0, K172 + N171, 0)</f>
        <v>0</v>
      </c>
      <c r="O172" s="1">
        <f>IF(L172 + O171 &lt; 0, L172 + O171, 0)</f>
        <v>0</v>
      </c>
      <c r="P172" s="1">
        <f>IF(O172 &lt; 0, 1 + P171, 0)</f>
        <v>0</v>
      </c>
      <c r="Q172" s="1">
        <f>IF(E172&lt;0,1,0)</f>
        <v>0</v>
      </c>
      <c r="R172" s="1">
        <f>IF(Q172=1,E172,0)</f>
        <v>0</v>
      </c>
      <c r="S172" s="1">
        <f>IF(E172&gt;0,1,0)</f>
        <v>0</v>
      </c>
      <c r="T172" s="1">
        <f>IF(S172=1,E172,0)</f>
        <v>0</v>
      </c>
      <c r="U172" s="1">
        <f>IF(R172&lt;-100000000/100,1,0)</f>
        <v>0</v>
      </c>
      <c r="V172" s="1">
        <f>IF(T172&gt;100000000/100,1,0)</f>
        <v>0</v>
      </c>
      <c r="W172" s="1">
        <f>IF(L172&lt;0,1,0)</f>
        <v>0</v>
      </c>
      <c r="X172" s="1">
        <f>IF(W172=1,L172,0)</f>
        <v>0</v>
      </c>
      <c r="Y172" s="1">
        <f>IF(L172&gt;0,1,0)</f>
        <v>0</v>
      </c>
      <c r="Z172" s="1">
        <f>IF(Y172=1,L172,0)</f>
        <v>0</v>
      </c>
      <c r="AA172" s="1">
        <f>IF(X172&lt;-100000000/100,1,0)</f>
        <v>0</v>
      </c>
      <c r="AB172" s="1">
        <f>IF(Z172&gt;100000000/100,1,0)</f>
        <v>0</v>
      </c>
    </row>
    <row r="173" spans="1:28" s="1" customFormat="1">
      <c r="A173" s="3">
        <v>45182</v>
      </c>
      <c r="B173" s="2" t="s">
        <v>14</v>
      </c>
      <c r="C173" s="1">
        <f>SUM(PL!E173:H173)</f>
        <v>0</v>
      </c>
      <c r="D173" s="1">
        <f>SUM(PL!I173:L173)</f>
        <v>0</v>
      </c>
      <c r="E173" s="1">
        <f>SUM(C173:D173)</f>
        <v>0</v>
      </c>
      <c r="F173" s="1">
        <f>IF(C173 + F172 &lt; 0, C173 + F172, 0)</f>
        <v>0</v>
      </c>
      <c r="G173" s="1">
        <f>IF(D173 + G172 &lt; 0, D173 + G172, 0)</f>
        <v>0</v>
      </c>
      <c r="H173" s="1">
        <f>IF(E173 + H172 &lt; 0, E173 + H172, 0)</f>
        <v>0</v>
      </c>
      <c r="I173" s="1">
        <f>IF(H173 &lt; 0, 1 + I172, 0)</f>
        <v>0</v>
      </c>
      <c r="J173" s="1">
        <f>C173-((ABS(SUM(PL!E173:H173)))*0.125)</f>
        <v>0</v>
      </c>
      <c r="K173" s="1">
        <f>D173-((ABS(SUM(PL!I173:L173)))*0.125)</f>
        <v>0</v>
      </c>
      <c r="L173" s="1">
        <f>J173 + K173</f>
        <v>0</v>
      </c>
      <c r="M173" s="1">
        <f>IF(J173 + M172 &lt; 0, J173 + M172, 0)</f>
        <v>0</v>
      </c>
      <c r="N173" s="1">
        <f>IF(K173 + N172 &lt; 0, K173 + N172, 0)</f>
        <v>0</v>
      </c>
      <c r="O173" s="1">
        <f>IF(L173 + O172 &lt; 0, L173 + O172, 0)</f>
        <v>0</v>
      </c>
      <c r="P173" s="1">
        <f>IF(O173 &lt; 0, 1 + P172, 0)</f>
        <v>0</v>
      </c>
      <c r="Q173" s="1">
        <f>IF(E173&lt;0,1,0)</f>
        <v>0</v>
      </c>
      <c r="R173" s="1">
        <f>IF(Q173=1,E173,0)</f>
        <v>0</v>
      </c>
      <c r="S173" s="1">
        <f>IF(E173&gt;0,1,0)</f>
        <v>0</v>
      </c>
      <c r="T173" s="1">
        <f>IF(S173=1,E173,0)</f>
        <v>0</v>
      </c>
      <c r="U173" s="1">
        <f>IF(R173&lt;-100000000/100,1,0)</f>
        <v>0</v>
      </c>
      <c r="V173" s="1">
        <f>IF(T173&gt;100000000/100,1,0)</f>
        <v>0</v>
      </c>
      <c r="W173" s="1">
        <f>IF(L173&lt;0,1,0)</f>
        <v>0</v>
      </c>
      <c r="X173" s="1">
        <f>IF(W173=1,L173,0)</f>
        <v>0</v>
      </c>
      <c r="Y173" s="1">
        <f>IF(L173&gt;0,1,0)</f>
        <v>0</v>
      </c>
      <c r="Z173" s="1">
        <f>IF(Y173=1,L173,0)</f>
        <v>0</v>
      </c>
      <c r="AA173" s="1">
        <f>IF(X173&lt;-100000000/100,1,0)</f>
        <v>0</v>
      </c>
      <c r="AB173" s="1">
        <f>IF(Z173&gt;100000000/100,1,0)</f>
        <v>0</v>
      </c>
    </row>
    <row r="174" spans="1:28" s="1" customFormat="1">
      <c r="A174" s="3">
        <v>45183</v>
      </c>
      <c r="B174" s="2" t="s">
        <v>16</v>
      </c>
      <c r="C174" s="1">
        <f>SUM(PL!E174:H174)</f>
        <v>0</v>
      </c>
      <c r="D174" s="1">
        <f>SUM(PL!I174:L174)</f>
        <v>0</v>
      </c>
      <c r="E174" s="1">
        <f>SUM(C174:D174)</f>
        <v>0</v>
      </c>
      <c r="F174" s="1">
        <f>IF(C174 + F173 &lt; 0, C174 + F173, 0)</f>
        <v>0</v>
      </c>
      <c r="G174" s="1">
        <f>IF(D174 + G173 &lt; 0, D174 + G173, 0)</f>
        <v>0</v>
      </c>
      <c r="H174" s="1">
        <f>IF(E174 + H173 &lt; 0, E174 + H173, 0)</f>
        <v>0</v>
      </c>
      <c r="I174" s="1">
        <f>IF(H174 &lt; 0, 1 + I173, 0)</f>
        <v>0</v>
      </c>
      <c r="J174" s="1">
        <f>C174-((ABS(SUM(PL!E174:H174)))*0.125)</f>
        <v>0</v>
      </c>
      <c r="K174" s="1">
        <f>D174-((ABS(SUM(PL!I174:L174)))*0.125)</f>
        <v>0</v>
      </c>
      <c r="L174" s="1">
        <f>J174 + K174</f>
        <v>0</v>
      </c>
      <c r="M174" s="1">
        <f>IF(J174 + M173 &lt; 0, J174 + M173, 0)</f>
        <v>0</v>
      </c>
      <c r="N174" s="1">
        <f>IF(K174 + N173 &lt; 0, K174 + N173, 0)</f>
        <v>0</v>
      </c>
      <c r="O174" s="1">
        <f>IF(L174 + O173 &lt; 0, L174 + O173, 0)</f>
        <v>0</v>
      </c>
      <c r="P174" s="1">
        <f>IF(O174 &lt; 0, 1 + P173, 0)</f>
        <v>0</v>
      </c>
      <c r="Q174" s="1">
        <f>IF(E174&lt;0,1,0)</f>
        <v>0</v>
      </c>
      <c r="R174" s="1">
        <f>IF(Q174=1,E174,0)</f>
        <v>0</v>
      </c>
      <c r="S174" s="1">
        <f>IF(E174&gt;0,1,0)</f>
        <v>0</v>
      </c>
      <c r="T174" s="1">
        <f>IF(S174=1,E174,0)</f>
        <v>0</v>
      </c>
      <c r="U174" s="1">
        <f>IF(R174&lt;-100000000/100,1,0)</f>
        <v>0</v>
      </c>
      <c r="V174" s="1">
        <f>IF(T174&gt;100000000/100,1,0)</f>
        <v>0</v>
      </c>
      <c r="W174" s="1">
        <f>IF(L174&lt;0,1,0)</f>
        <v>0</v>
      </c>
      <c r="X174" s="1">
        <f>IF(W174=1,L174,0)</f>
        <v>0</v>
      </c>
      <c r="Y174" s="1">
        <f>IF(L174&gt;0,1,0)</f>
        <v>0</v>
      </c>
      <c r="Z174" s="1">
        <f>IF(Y174=1,L174,0)</f>
        <v>0</v>
      </c>
      <c r="AA174" s="1">
        <f>IF(X174&lt;-100000000/100,1,0)</f>
        <v>0</v>
      </c>
      <c r="AB174" s="1">
        <f>IF(Z174&gt;100000000/100,1,0)</f>
        <v>0</v>
      </c>
    </row>
    <row r="175" spans="1:28" s="1" customFormat="1">
      <c r="A175" s="3">
        <v>45184</v>
      </c>
      <c r="B175" s="2" t="s">
        <v>15</v>
      </c>
      <c r="C175" s="1">
        <f>SUM(PL!E175:H175)</f>
        <v>0</v>
      </c>
      <c r="D175" s="1">
        <f>SUM(PL!I175:L175)</f>
        <v>0</v>
      </c>
      <c r="E175" s="1">
        <f>SUM(C175:D175)</f>
        <v>0</v>
      </c>
      <c r="F175" s="1">
        <f>IF(C175 + F174 &lt; 0, C175 + F174, 0)</f>
        <v>0</v>
      </c>
      <c r="G175" s="1">
        <f>IF(D175 + G174 &lt; 0, D175 + G174, 0)</f>
        <v>0</v>
      </c>
      <c r="H175" s="1">
        <f>IF(E175 + H174 &lt; 0, E175 + H174, 0)</f>
        <v>0</v>
      </c>
      <c r="I175" s="1">
        <f>IF(H175 &lt; 0, 1 + I174, 0)</f>
        <v>0</v>
      </c>
      <c r="J175" s="1">
        <f>C175-((ABS(SUM(PL!E175:H175)))*0.125)</f>
        <v>0</v>
      </c>
      <c r="K175" s="1">
        <f>D175-((ABS(SUM(PL!I175:L175)))*0.125)</f>
        <v>0</v>
      </c>
      <c r="L175" s="1">
        <f>J175 + K175</f>
        <v>0</v>
      </c>
      <c r="M175" s="1">
        <f>IF(J175 + M174 &lt; 0, J175 + M174, 0)</f>
        <v>0</v>
      </c>
      <c r="N175" s="1">
        <f>IF(K175 + N174 &lt; 0, K175 + N174, 0)</f>
        <v>0</v>
      </c>
      <c r="O175" s="1">
        <f>IF(L175 + O174 &lt; 0, L175 + O174, 0)</f>
        <v>0</v>
      </c>
      <c r="P175" s="1">
        <f>IF(O175 &lt; 0, 1 + P174, 0)</f>
        <v>0</v>
      </c>
      <c r="Q175" s="1">
        <f>IF(E175&lt;0,1,0)</f>
        <v>0</v>
      </c>
      <c r="R175" s="1">
        <f>IF(Q175=1,E175,0)</f>
        <v>0</v>
      </c>
      <c r="S175" s="1">
        <f>IF(E175&gt;0,1,0)</f>
        <v>0</v>
      </c>
      <c r="T175" s="1">
        <f>IF(S175=1,E175,0)</f>
        <v>0</v>
      </c>
      <c r="U175" s="1">
        <f>IF(R175&lt;-100000000/100,1,0)</f>
        <v>0</v>
      </c>
      <c r="V175" s="1">
        <f>IF(T175&gt;100000000/100,1,0)</f>
        <v>0</v>
      </c>
      <c r="W175" s="1">
        <f>IF(L175&lt;0,1,0)</f>
        <v>0</v>
      </c>
      <c r="X175" s="1">
        <f>IF(W175=1,L175,0)</f>
        <v>0</v>
      </c>
      <c r="Y175" s="1">
        <f>IF(L175&gt;0,1,0)</f>
        <v>0</v>
      </c>
      <c r="Z175" s="1">
        <f>IF(Y175=1,L175,0)</f>
        <v>0</v>
      </c>
      <c r="AA175" s="1">
        <f>IF(X175&lt;-100000000/100,1,0)</f>
        <v>0</v>
      </c>
      <c r="AB175" s="1">
        <f>IF(Z175&gt;100000000/100,1,0)</f>
        <v>0</v>
      </c>
    </row>
    <row r="176" spans="1:28" s="1" customFormat="1">
      <c r="A176" s="3">
        <v>45187</v>
      </c>
      <c r="B176" s="2" t="s">
        <v>12</v>
      </c>
      <c r="C176" s="1">
        <f>SUM(PL!E176:H176)</f>
        <v>0</v>
      </c>
      <c r="D176" s="1">
        <f>SUM(PL!I176:L176)</f>
        <v>0</v>
      </c>
      <c r="E176" s="1">
        <f>SUM(C176:D176)</f>
        <v>0</v>
      </c>
      <c r="F176" s="1">
        <f>IF(C176 + F175 &lt; 0, C176 + F175, 0)</f>
        <v>0</v>
      </c>
      <c r="G176" s="1">
        <f>IF(D176 + G175 &lt; 0, D176 + G175, 0)</f>
        <v>0</v>
      </c>
      <c r="H176" s="1">
        <f>IF(E176 + H175 &lt; 0, E176 + H175, 0)</f>
        <v>0</v>
      </c>
      <c r="I176" s="1">
        <f>IF(H176 &lt; 0, 1 + I175, 0)</f>
        <v>0</v>
      </c>
      <c r="J176" s="1">
        <f>C176-((ABS(SUM(PL!E176:H176)))*0.125)</f>
        <v>0</v>
      </c>
      <c r="K176" s="1">
        <f>D176-((ABS(SUM(PL!I176:L176)))*0.125)</f>
        <v>0</v>
      </c>
      <c r="L176" s="1">
        <f>J176 + K176</f>
        <v>0</v>
      </c>
      <c r="M176" s="1">
        <f>IF(J176 + M175 &lt; 0, J176 + M175, 0)</f>
        <v>0</v>
      </c>
      <c r="N176" s="1">
        <f>IF(K176 + N175 &lt; 0, K176 + N175, 0)</f>
        <v>0</v>
      </c>
      <c r="O176" s="1">
        <f>IF(L176 + O175 &lt; 0, L176 + O175, 0)</f>
        <v>0</v>
      </c>
      <c r="P176" s="1">
        <f>IF(O176 &lt; 0, 1 + P175, 0)</f>
        <v>0</v>
      </c>
      <c r="Q176" s="1">
        <f>IF(E176&lt;0,1,0)</f>
        <v>0</v>
      </c>
      <c r="R176" s="1">
        <f>IF(Q176=1,E176,0)</f>
        <v>0</v>
      </c>
      <c r="S176" s="1">
        <f>IF(E176&gt;0,1,0)</f>
        <v>0</v>
      </c>
      <c r="T176" s="1">
        <f>IF(S176=1,E176,0)</f>
        <v>0</v>
      </c>
      <c r="U176" s="1">
        <f>IF(R176&lt;-100000000/100,1,0)</f>
        <v>0</v>
      </c>
      <c r="V176" s="1">
        <f>IF(T176&gt;100000000/100,1,0)</f>
        <v>0</v>
      </c>
      <c r="W176" s="1">
        <f>IF(L176&lt;0,1,0)</f>
        <v>0</v>
      </c>
      <c r="X176" s="1">
        <f>IF(W176=1,L176,0)</f>
        <v>0</v>
      </c>
      <c r="Y176" s="1">
        <f>IF(L176&gt;0,1,0)</f>
        <v>0</v>
      </c>
      <c r="Z176" s="1">
        <f>IF(Y176=1,L176,0)</f>
        <v>0</v>
      </c>
      <c r="AA176" s="1">
        <f>IF(X176&lt;-100000000/100,1,0)</f>
        <v>0</v>
      </c>
      <c r="AB176" s="1">
        <f>IF(Z176&gt;100000000/100,1,0)</f>
        <v>0</v>
      </c>
    </row>
    <row r="177" spans="1:28" s="1" customFormat="1">
      <c r="A177" s="3">
        <v>45188</v>
      </c>
      <c r="B177" s="2" t="s">
        <v>13</v>
      </c>
      <c r="C177" s="1">
        <f>SUM(PL!E177:H177)</f>
        <v>0</v>
      </c>
      <c r="D177" s="1">
        <f>SUM(PL!I177:L177)</f>
        <v>0</v>
      </c>
      <c r="E177" s="1">
        <f>SUM(C177:D177)</f>
        <v>0</v>
      </c>
      <c r="F177" s="1">
        <f>IF(C177 + F176 &lt; 0, C177 + F176, 0)</f>
        <v>0</v>
      </c>
      <c r="G177" s="1">
        <f>IF(D177 + G176 &lt; 0, D177 + G176, 0)</f>
        <v>0</v>
      </c>
      <c r="H177" s="1">
        <f>IF(E177 + H176 &lt; 0, E177 + H176, 0)</f>
        <v>0</v>
      </c>
      <c r="I177" s="1">
        <f>IF(H177 &lt; 0, 1 + I176, 0)</f>
        <v>0</v>
      </c>
      <c r="J177" s="1">
        <f>C177-((ABS(SUM(PL!E177:H177)))*0.125)</f>
        <v>0</v>
      </c>
      <c r="K177" s="1">
        <f>D177-((ABS(SUM(PL!I177:L177)))*0.125)</f>
        <v>0</v>
      </c>
      <c r="L177" s="1">
        <f>J177 + K177</f>
        <v>0</v>
      </c>
      <c r="M177" s="1">
        <f>IF(J177 + M176 &lt; 0, J177 + M176, 0)</f>
        <v>0</v>
      </c>
      <c r="N177" s="1">
        <f>IF(K177 + N176 &lt; 0, K177 + N176, 0)</f>
        <v>0</v>
      </c>
      <c r="O177" s="1">
        <f>IF(L177 + O176 &lt; 0, L177 + O176, 0)</f>
        <v>0</v>
      </c>
      <c r="P177" s="1">
        <f>IF(O177 &lt; 0, 1 + P176, 0)</f>
        <v>0</v>
      </c>
      <c r="Q177" s="1">
        <f>IF(E177&lt;0,1,0)</f>
        <v>0</v>
      </c>
      <c r="R177" s="1">
        <f>IF(Q177=1,E177,0)</f>
        <v>0</v>
      </c>
      <c r="S177" s="1">
        <f>IF(E177&gt;0,1,0)</f>
        <v>0</v>
      </c>
      <c r="T177" s="1">
        <f>IF(S177=1,E177,0)</f>
        <v>0</v>
      </c>
      <c r="U177" s="1">
        <f>IF(R177&lt;-100000000/100,1,0)</f>
        <v>0</v>
      </c>
      <c r="V177" s="1">
        <f>IF(T177&gt;100000000/100,1,0)</f>
        <v>0</v>
      </c>
      <c r="W177" s="1">
        <f>IF(L177&lt;0,1,0)</f>
        <v>0</v>
      </c>
      <c r="X177" s="1">
        <f>IF(W177=1,L177,0)</f>
        <v>0</v>
      </c>
      <c r="Y177" s="1">
        <f>IF(L177&gt;0,1,0)</f>
        <v>0</v>
      </c>
      <c r="Z177" s="1">
        <f>IF(Y177=1,L177,0)</f>
        <v>0</v>
      </c>
      <c r="AA177" s="1">
        <f>IF(X177&lt;-100000000/100,1,0)</f>
        <v>0</v>
      </c>
      <c r="AB177" s="1">
        <f>IF(Z177&gt;100000000/100,1,0)</f>
        <v>0</v>
      </c>
    </row>
    <row r="178" spans="1:28" s="1" customFormat="1">
      <c r="A178" s="3">
        <v>45189</v>
      </c>
      <c r="B178" s="2" t="s">
        <v>14</v>
      </c>
      <c r="C178" s="1">
        <f>SUM(PL!E178:H178)</f>
        <v>0</v>
      </c>
      <c r="D178" s="1">
        <f>SUM(PL!I178:L178)</f>
        <v>0</v>
      </c>
      <c r="E178" s="1">
        <f>SUM(C178:D178)</f>
        <v>0</v>
      </c>
      <c r="F178" s="1">
        <f>IF(C178 + F177 &lt; 0, C178 + F177, 0)</f>
        <v>0</v>
      </c>
      <c r="G178" s="1">
        <f>IF(D178 + G177 &lt; 0, D178 + G177, 0)</f>
        <v>0</v>
      </c>
      <c r="H178" s="1">
        <f>IF(E178 + H177 &lt; 0, E178 + H177, 0)</f>
        <v>0</v>
      </c>
      <c r="I178" s="1">
        <f>IF(H178 &lt; 0, 1 + I177, 0)</f>
        <v>0</v>
      </c>
      <c r="J178" s="1">
        <f>C178-((ABS(SUM(PL!E178:H178)))*0.125)</f>
        <v>0</v>
      </c>
      <c r="K178" s="1">
        <f>D178-((ABS(SUM(PL!I178:L178)))*0.125)</f>
        <v>0</v>
      </c>
      <c r="L178" s="1">
        <f>J178 + K178</f>
        <v>0</v>
      </c>
      <c r="M178" s="1">
        <f>IF(J178 + M177 &lt; 0, J178 + M177, 0)</f>
        <v>0</v>
      </c>
      <c r="N178" s="1">
        <f>IF(K178 + N177 &lt; 0, K178 + N177, 0)</f>
        <v>0</v>
      </c>
      <c r="O178" s="1">
        <f>IF(L178 + O177 &lt; 0, L178 + O177, 0)</f>
        <v>0</v>
      </c>
      <c r="P178" s="1">
        <f>IF(O178 &lt; 0, 1 + P177, 0)</f>
        <v>0</v>
      </c>
      <c r="Q178" s="1">
        <f>IF(E178&lt;0,1,0)</f>
        <v>0</v>
      </c>
      <c r="R178" s="1">
        <f>IF(Q178=1,E178,0)</f>
        <v>0</v>
      </c>
      <c r="S178" s="1">
        <f>IF(E178&gt;0,1,0)</f>
        <v>0</v>
      </c>
      <c r="T178" s="1">
        <f>IF(S178=1,E178,0)</f>
        <v>0</v>
      </c>
      <c r="U178" s="1">
        <f>IF(R178&lt;-100000000/100,1,0)</f>
        <v>0</v>
      </c>
      <c r="V178" s="1">
        <f>IF(T178&gt;100000000/100,1,0)</f>
        <v>0</v>
      </c>
      <c r="W178" s="1">
        <f>IF(L178&lt;0,1,0)</f>
        <v>0</v>
      </c>
      <c r="X178" s="1">
        <f>IF(W178=1,L178,0)</f>
        <v>0</v>
      </c>
      <c r="Y178" s="1">
        <f>IF(L178&gt;0,1,0)</f>
        <v>0</v>
      </c>
      <c r="Z178" s="1">
        <f>IF(Y178=1,L178,0)</f>
        <v>0</v>
      </c>
      <c r="AA178" s="1">
        <f>IF(X178&lt;-100000000/100,1,0)</f>
        <v>0</v>
      </c>
      <c r="AB178" s="1">
        <f>IF(Z178&gt;100000000/100,1,0)</f>
        <v>0</v>
      </c>
    </row>
    <row r="179" spans="1:28" s="1" customFormat="1">
      <c r="A179" s="3">
        <v>45190</v>
      </c>
      <c r="B179" s="2" t="s">
        <v>16</v>
      </c>
      <c r="C179" s="1">
        <f>SUM(PL!E179:H179)</f>
        <v>0</v>
      </c>
      <c r="D179" s="1">
        <f>SUM(PL!I179:L179)</f>
        <v>0</v>
      </c>
      <c r="E179" s="1">
        <f>SUM(C179:D179)</f>
        <v>0</v>
      </c>
      <c r="F179" s="1">
        <f>IF(C179 + F178 &lt; 0, C179 + F178, 0)</f>
        <v>0</v>
      </c>
      <c r="G179" s="1">
        <f>IF(D179 + G178 &lt; 0, D179 + G178, 0)</f>
        <v>0</v>
      </c>
      <c r="H179" s="1">
        <f>IF(E179 + H178 &lt; 0, E179 + H178, 0)</f>
        <v>0</v>
      </c>
      <c r="I179" s="1">
        <f>IF(H179 &lt; 0, 1 + I178, 0)</f>
        <v>0</v>
      </c>
      <c r="J179" s="1">
        <f>C179-((ABS(SUM(PL!E179:H179)))*0.125)</f>
        <v>0</v>
      </c>
      <c r="K179" s="1">
        <f>D179-((ABS(SUM(PL!I179:L179)))*0.125)</f>
        <v>0</v>
      </c>
      <c r="L179" s="1">
        <f>J179 + K179</f>
        <v>0</v>
      </c>
      <c r="M179" s="1">
        <f>IF(J179 + M178 &lt; 0, J179 + M178, 0)</f>
        <v>0</v>
      </c>
      <c r="N179" s="1">
        <f>IF(K179 + N178 &lt; 0, K179 + N178, 0)</f>
        <v>0</v>
      </c>
      <c r="O179" s="1">
        <f>IF(L179 + O178 &lt; 0, L179 + O178, 0)</f>
        <v>0</v>
      </c>
      <c r="P179" s="1">
        <f>IF(O179 &lt; 0, 1 + P178, 0)</f>
        <v>0</v>
      </c>
      <c r="Q179" s="1">
        <f>IF(E179&lt;0,1,0)</f>
        <v>0</v>
      </c>
      <c r="R179" s="1">
        <f>IF(Q179=1,E179,0)</f>
        <v>0</v>
      </c>
      <c r="S179" s="1">
        <f>IF(E179&gt;0,1,0)</f>
        <v>0</v>
      </c>
      <c r="T179" s="1">
        <f>IF(S179=1,E179,0)</f>
        <v>0</v>
      </c>
      <c r="U179" s="1">
        <f>IF(R179&lt;-100000000/100,1,0)</f>
        <v>0</v>
      </c>
      <c r="V179" s="1">
        <f>IF(T179&gt;100000000/100,1,0)</f>
        <v>0</v>
      </c>
      <c r="W179" s="1">
        <f>IF(L179&lt;0,1,0)</f>
        <v>0</v>
      </c>
      <c r="X179" s="1">
        <f>IF(W179=1,L179,0)</f>
        <v>0</v>
      </c>
      <c r="Y179" s="1">
        <f>IF(L179&gt;0,1,0)</f>
        <v>0</v>
      </c>
      <c r="Z179" s="1">
        <f>IF(Y179=1,L179,0)</f>
        <v>0</v>
      </c>
      <c r="AA179" s="1">
        <f>IF(X179&lt;-100000000/100,1,0)</f>
        <v>0</v>
      </c>
      <c r="AB179" s="1">
        <f>IF(Z179&gt;100000000/100,1,0)</f>
        <v>0</v>
      </c>
    </row>
    <row r="180" spans="1:28" s="1" customFormat="1">
      <c r="A180" s="3">
        <v>45191</v>
      </c>
      <c r="B180" s="2" t="s">
        <v>15</v>
      </c>
      <c r="C180" s="1">
        <f>SUM(PL!E180:H180)</f>
        <v>0</v>
      </c>
      <c r="D180" s="1">
        <f>SUM(PL!I180:L180)</f>
        <v>0</v>
      </c>
      <c r="E180" s="1">
        <f>SUM(C180:D180)</f>
        <v>0</v>
      </c>
      <c r="F180" s="1">
        <f>IF(C180 + F179 &lt; 0, C180 + F179, 0)</f>
        <v>0</v>
      </c>
      <c r="G180" s="1">
        <f>IF(D180 + G179 &lt; 0, D180 + G179, 0)</f>
        <v>0</v>
      </c>
      <c r="H180" s="1">
        <f>IF(E180 + H179 &lt; 0, E180 + H179, 0)</f>
        <v>0</v>
      </c>
      <c r="I180" s="1">
        <f>IF(H180 &lt; 0, 1 + I179, 0)</f>
        <v>0</v>
      </c>
      <c r="J180" s="1">
        <f>C180-((ABS(SUM(PL!E180:H180)))*0.125)</f>
        <v>0</v>
      </c>
      <c r="K180" s="1">
        <f>D180-((ABS(SUM(PL!I180:L180)))*0.125)</f>
        <v>0</v>
      </c>
      <c r="L180" s="1">
        <f>J180 + K180</f>
        <v>0</v>
      </c>
      <c r="M180" s="1">
        <f>IF(J180 + M179 &lt; 0, J180 + M179, 0)</f>
        <v>0</v>
      </c>
      <c r="N180" s="1">
        <f>IF(K180 + N179 &lt; 0, K180 + N179, 0)</f>
        <v>0</v>
      </c>
      <c r="O180" s="1">
        <f>IF(L180 + O179 &lt; 0, L180 + O179, 0)</f>
        <v>0</v>
      </c>
      <c r="P180" s="1">
        <f>IF(O180 &lt; 0, 1 + P179, 0)</f>
        <v>0</v>
      </c>
      <c r="Q180" s="1">
        <f>IF(E180&lt;0,1,0)</f>
        <v>0</v>
      </c>
      <c r="R180" s="1">
        <f>IF(Q180=1,E180,0)</f>
        <v>0</v>
      </c>
      <c r="S180" s="1">
        <f>IF(E180&gt;0,1,0)</f>
        <v>0</v>
      </c>
      <c r="T180" s="1">
        <f>IF(S180=1,E180,0)</f>
        <v>0</v>
      </c>
      <c r="U180" s="1">
        <f>IF(R180&lt;-100000000/100,1,0)</f>
        <v>0</v>
      </c>
      <c r="V180" s="1">
        <f>IF(T180&gt;100000000/100,1,0)</f>
        <v>0</v>
      </c>
      <c r="W180" s="1">
        <f>IF(L180&lt;0,1,0)</f>
        <v>0</v>
      </c>
      <c r="X180" s="1">
        <f>IF(W180=1,L180,0)</f>
        <v>0</v>
      </c>
      <c r="Y180" s="1">
        <f>IF(L180&gt;0,1,0)</f>
        <v>0</v>
      </c>
      <c r="Z180" s="1">
        <f>IF(Y180=1,L180,0)</f>
        <v>0</v>
      </c>
      <c r="AA180" s="1">
        <f>IF(X180&lt;-100000000/100,1,0)</f>
        <v>0</v>
      </c>
      <c r="AB180" s="1">
        <f>IF(Z180&gt;100000000/100,1,0)</f>
        <v>0</v>
      </c>
    </row>
    <row r="181" spans="1:28" s="1" customFormat="1">
      <c r="A181" s="3">
        <v>45194</v>
      </c>
      <c r="B181" s="2" t="s">
        <v>12</v>
      </c>
      <c r="C181" s="1">
        <f>SUM(PL!E181:H181)</f>
        <v>0</v>
      </c>
      <c r="D181" s="1">
        <f>SUM(PL!I181:L181)</f>
        <v>0</v>
      </c>
      <c r="E181" s="1">
        <f>SUM(C181:D181)</f>
        <v>0</v>
      </c>
      <c r="F181" s="1">
        <f>IF(C181 + F180 &lt; 0, C181 + F180, 0)</f>
        <v>0</v>
      </c>
      <c r="G181" s="1">
        <f>IF(D181 + G180 &lt; 0, D181 + G180, 0)</f>
        <v>0</v>
      </c>
      <c r="H181" s="1">
        <f>IF(E181 + H180 &lt; 0, E181 + H180, 0)</f>
        <v>0</v>
      </c>
      <c r="I181" s="1">
        <f>IF(H181 &lt; 0, 1 + I180, 0)</f>
        <v>0</v>
      </c>
      <c r="J181" s="1">
        <f>C181-((ABS(SUM(PL!E181:H181)))*0.125)</f>
        <v>0</v>
      </c>
      <c r="K181" s="1">
        <f>D181-((ABS(SUM(PL!I181:L181)))*0.125)</f>
        <v>0</v>
      </c>
      <c r="L181" s="1">
        <f>J181 + K181</f>
        <v>0</v>
      </c>
      <c r="M181" s="1">
        <f>IF(J181 + M180 &lt; 0, J181 + M180, 0)</f>
        <v>0</v>
      </c>
      <c r="N181" s="1">
        <f>IF(K181 + N180 &lt; 0, K181 + N180, 0)</f>
        <v>0</v>
      </c>
      <c r="O181" s="1">
        <f>IF(L181 + O180 &lt; 0, L181 + O180, 0)</f>
        <v>0</v>
      </c>
      <c r="P181" s="1">
        <f>IF(O181 &lt; 0, 1 + P180, 0)</f>
        <v>0</v>
      </c>
      <c r="Q181" s="1">
        <f>IF(E181&lt;0,1,0)</f>
        <v>0</v>
      </c>
      <c r="R181" s="1">
        <f>IF(Q181=1,E181,0)</f>
        <v>0</v>
      </c>
      <c r="S181" s="1">
        <f>IF(E181&gt;0,1,0)</f>
        <v>0</v>
      </c>
      <c r="T181" s="1">
        <f>IF(S181=1,E181,0)</f>
        <v>0</v>
      </c>
      <c r="U181" s="1">
        <f>IF(R181&lt;-100000000/100,1,0)</f>
        <v>0</v>
      </c>
      <c r="V181" s="1">
        <f>IF(T181&gt;100000000/100,1,0)</f>
        <v>0</v>
      </c>
      <c r="W181" s="1">
        <f>IF(L181&lt;0,1,0)</f>
        <v>0</v>
      </c>
      <c r="X181" s="1">
        <f>IF(W181=1,L181,0)</f>
        <v>0</v>
      </c>
      <c r="Y181" s="1">
        <f>IF(L181&gt;0,1,0)</f>
        <v>0</v>
      </c>
      <c r="Z181" s="1">
        <f>IF(Y181=1,L181,0)</f>
        <v>0</v>
      </c>
      <c r="AA181" s="1">
        <f>IF(X181&lt;-100000000/100,1,0)</f>
        <v>0</v>
      </c>
      <c r="AB181" s="1">
        <f>IF(Z181&gt;100000000/100,1,0)</f>
        <v>0</v>
      </c>
    </row>
    <row r="182" spans="1:28" s="1" customFormat="1">
      <c r="A182" s="3">
        <v>45195</v>
      </c>
      <c r="B182" s="2" t="s">
        <v>13</v>
      </c>
      <c r="C182" s="1">
        <f>SUM(PL!E182:H182)</f>
        <v>0</v>
      </c>
      <c r="D182" s="1">
        <f>SUM(PL!I182:L182)</f>
        <v>0</v>
      </c>
      <c r="E182" s="1">
        <f>SUM(C182:D182)</f>
        <v>0</v>
      </c>
      <c r="F182" s="1">
        <f>IF(C182 + F181 &lt; 0, C182 + F181, 0)</f>
        <v>0</v>
      </c>
      <c r="G182" s="1">
        <f>IF(D182 + G181 &lt; 0, D182 + G181, 0)</f>
        <v>0</v>
      </c>
      <c r="H182" s="1">
        <f>IF(E182 + H181 &lt; 0, E182 + H181, 0)</f>
        <v>0</v>
      </c>
      <c r="I182" s="1">
        <f>IF(H182 &lt; 0, 1 + I181, 0)</f>
        <v>0</v>
      </c>
      <c r="J182" s="1">
        <f>C182-((ABS(SUM(PL!E182:H182)))*0.125)</f>
        <v>0</v>
      </c>
      <c r="K182" s="1">
        <f>D182-((ABS(SUM(PL!I182:L182)))*0.125)</f>
        <v>0</v>
      </c>
      <c r="L182" s="1">
        <f>J182 + K182</f>
        <v>0</v>
      </c>
      <c r="M182" s="1">
        <f>IF(J182 + M181 &lt; 0, J182 + M181, 0)</f>
        <v>0</v>
      </c>
      <c r="N182" s="1">
        <f>IF(K182 + N181 &lt; 0, K182 + N181, 0)</f>
        <v>0</v>
      </c>
      <c r="O182" s="1">
        <f>IF(L182 + O181 &lt; 0, L182 + O181, 0)</f>
        <v>0</v>
      </c>
      <c r="P182" s="1">
        <f>IF(O182 &lt; 0, 1 + P181, 0)</f>
        <v>0</v>
      </c>
      <c r="Q182" s="1">
        <f>IF(E182&lt;0,1,0)</f>
        <v>0</v>
      </c>
      <c r="R182" s="1">
        <f>IF(Q182=1,E182,0)</f>
        <v>0</v>
      </c>
      <c r="S182" s="1">
        <f>IF(E182&gt;0,1,0)</f>
        <v>0</v>
      </c>
      <c r="T182" s="1">
        <f>IF(S182=1,E182,0)</f>
        <v>0</v>
      </c>
      <c r="U182" s="1">
        <f>IF(R182&lt;-100000000/100,1,0)</f>
        <v>0</v>
      </c>
      <c r="V182" s="1">
        <f>IF(T182&gt;100000000/100,1,0)</f>
        <v>0</v>
      </c>
      <c r="W182" s="1">
        <f>IF(L182&lt;0,1,0)</f>
        <v>0</v>
      </c>
      <c r="X182" s="1">
        <f>IF(W182=1,L182,0)</f>
        <v>0</v>
      </c>
      <c r="Y182" s="1">
        <f>IF(L182&gt;0,1,0)</f>
        <v>0</v>
      </c>
      <c r="Z182" s="1">
        <f>IF(Y182=1,L182,0)</f>
        <v>0</v>
      </c>
      <c r="AA182" s="1">
        <f>IF(X182&lt;-100000000/100,1,0)</f>
        <v>0</v>
      </c>
      <c r="AB182" s="1">
        <f>IF(Z182&gt;100000000/100,1,0)</f>
        <v>0</v>
      </c>
    </row>
    <row r="183" spans="1:28" s="1" customFormat="1">
      <c r="A183" s="3">
        <v>45196</v>
      </c>
      <c r="B183" s="2" t="s">
        <v>14</v>
      </c>
      <c r="C183" s="1">
        <f>SUM(PL!E183:H183)</f>
        <v>0</v>
      </c>
      <c r="D183" s="1">
        <f>SUM(PL!I183:L183)</f>
        <v>0</v>
      </c>
      <c r="E183" s="1">
        <f>SUM(C183:D183)</f>
        <v>0</v>
      </c>
      <c r="F183" s="1">
        <f>IF(C183 + F182 &lt; 0, C183 + F182, 0)</f>
        <v>0</v>
      </c>
      <c r="G183" s="1">
        <f>IF(D183 + G182 &lt; 0, D183 + G182, 0)</f>
        <v>0</v>
      </c>
      <c r="H183" s="1">
        <f>IF(E183 + H182 &lt; 0, E183 + H182, 0)</f>
        <v>0</v>
      </c>
      <c r="I183" s="1">
        <f>IF(H183 &lt; 0, 1 + I182, 0)</f>
        <v>0</v>
      </c>
      <c r="J183" s="1">
        <f>C183-((ABS(SUM(PL!E183:H183)))*0.125)</f>
        <v>0</v>
      </c>
      <c r="K183" s="1">
        <f>D183-((ABS(SUM(PL!I183:L183)))*0.125)</f>
        <v>0</v>
      </c>
      <c r="L183" s="1">
        <f>J183 + K183</f>
        <v>0</v>
      </c>
      <c r="M183" s="1">
        <f>IF(J183 + M182 &lt; 0, J183 + M182, 0)</f>
        <v>0</v>
      </c>
      <c r="N183" s="1">
        <f>IF(K183 + N182 &lt; 0, K183 + N182, 0)</f>
        <v>0</v>
      </c>
      <c r="O183" s="1">
        <f>IF(L183 + O182 &lt; 0, L183 + O182, 0)</f>
        <v>0</v>
      </c>
      <c r="P183" s="1">
        <f>IF(O183 &lt; 0, 1 + P182, 0)</f>
        <v>0</v>
      </c>
      <c r="Q183" s="1">
        <f>IF(E183&lt;0,1,0)</f>
        <v>0</v>
      </c>
      <c r="R183" s="1">
        <f>IF(Q183=1,E183,0)</f>
        <v>0</v>
      </c>
      <c r="S183" s="1">
        <f>IF(E183&gt;0,1,0)</f>
        <v>0</v>
      </c>
      <c r="T183" s="1">
        <f>IF(S183=1,E183,0)</f>
        <v>0</v>
      </c>
      <c r="U183" s="1">
        <f>IF(R183&lt;-100000000/100,1,0)</f>
        <v>0</v>
      </c>
      <c r="V183" s="1">
        <f>IF(T183&gt;100000000/100,1,0)</f>
        <v>0</v>
      </c>
      <c r="W183" s="1">
        <f>IF(L183&lt;0,1,0)</f>
        <v>0</v>
      </c>
      <c r="X183" s="1">
        <f>IF(W183=1,L183,0)</f>
        <v>0</v>
      </c>
      <c r="Y183" s="1">
        <f>IF(L183&gt;0,1,0)</f>
        <v>0</v>
      </c>
      <c r="Z183" s="1">
        <f>IF(Y183=1,L183,0)</f>
        <v>0</v>
      </c>
      <c r="AA183" s="1">
        <f>IF(X183&lt;-100000000/100,1,0)</f>
        <v>0</v>
      </c>
      <c r="AB183" s="1">
        <f>IF(Z183&gt;100000000/100,1,0)</f>
        <v>0</v>
      </c>
    </row>
    <row r="184" spans="1:28" s="1" customFormat="1">
      <c r="A184" s="3">
        <v>45197</v>
      </c>
      <c r="B184" s="2" t="s">
        <v>16</v>
      </c>
      <c r="C184" s="1">
        <f>SUM(PL!E184:H184)</f>
        <v>0</v>
      </c>
      <c r="D184" s="1">
        <f>SUM(PL!I184:L184)</f>
        <v>0</v>
      </c>
      <c r="E184" s="1">
        <f>SUM(C184:D184)</f>
        <v>0</v>
      </c>
      <c r="F184" s="1">
        <f>IF(C184 + F183 &lt; 0, C184 + F183, 0)</f>
        <v>0</v>
      </c>
      <c r="G184" s="1">
        <f>IF(D184 + G183 &lt; 0, D184 + G183, 0)</f>
        <v>0</v>
      </c>
      <c r="H184" s="1">
        <f>IF(E184 + H183 &lt; 0, E184 + H183, 0)</f>
        <v>0</v>
      </c>
      <c r="I184" s="1">
        <f>IF(H184 &lt; 0, 1 + I183, 0)</f>
        <v>0</v>
      </c>
      <c r="J184" s="1">
        <f>C184-((ABS(SUM(PL!E184:H184)))*0.125)</f>
        <v>0</v>
      </c>
      <c r="K184" s="1">
        <f>D184-((ABS(SUM(PL!I184:L184)))*0.125)</f>
        <v>0</v>
      </c>
      <c r="L184" s="1">
        <f>J184 + K184</f>
        <v>0</v>
      </c>
      <c r="M184" s="1">
        <f>IF(J184 + M183 &lt; 0, J184 + M183, 0)</f>
        <v>0</v>
      </c>
      <c r="N184" s="1">
        <f>IF(K184 + N183 &lt; 0, K184 + N183, 0)</f>
        <v>0</v>
      </c>
      <c r="O184" s="1">
        <f>IF(L184 + O183 &lt; 0, L184 + O183, 0)</f>
        <v>0</v>
      </c>
      <c r="P184" s="1">
        <f>IF(O184 &lt; 0, 1 + P183, 0)</f>
        <v>0</v>
      </c>
      <c r="Q184" s="1">
        <f>IF(E184&lt;0,1,0)</f>
        <v>0</v>
      </c>
      <c r="R184" s="1">
        <f>IF(Q184=1,E184,0)</f>
        <v>0</v>
      </c>
      <c r="S184" s="1">
        <f>IF(E184&gt;0,1,0)</f>
        <v>0</v>
      </c>
      <c r="T184" s="1">
        <f>IF(S184=1,E184,0)</f>
        <v>0</v>
      </c>
      <c r="U184" s="1">
        <f>IF(R184&lt;-100000000/100,1,0)</f>
        <v>0</v>
      </c>
      <c r="V184" s="1">
        <f>IF(T184&gt;100000000/100,1,0)</f>
        <v>0</v>
      </c>
      <c r="W184" s="1">
        <f>IF(L184&lt;0,1,0)</f>
        <v>0</v>
      </c>
      <c r="X184" s="1">
        <f>IF(W184=1,L184,0)</f>
        <v>0</v>
      </c>
      <c r="Y184" s="1">
        <f>IF(L184&gt;0,1,0)</f>
        <v>0</v>
      </c>
      <c r="Z184" s="1">
        <f>IF(Y184=1,L184,0)</f>
        <v>0</v>
      </c>
      <c r="AA184" s="1">
        <f>IF(X184&lt;-100000000/100,1,0)</f>
        <v>0</v>
      </c>
      <c r="AB184" s="1">
        <f>IF(Z184&gt;100000000/100,1,0)</f>
        <v>0</v>
      </c>
    </row>
    <row r="185" spans="1:28" s="1" customFormat="1">
      <c r="A185" s="3">
        <v>45198</v>
      </c>
      <c r="B185" s="2" t="s">
        <v>15</v>
      </c>
      <c r="C185" s="1">
        <f>SUM(PL!E185:H185)</f>
        <v>0</v>
      </c>
      <c r="D185" s="1">
        <f>SUM(PL!I185:L185)</f>
        <v>0</v>
      </c>
      <c r="E185" s="1">
        <f>SUM(C185:D185)</f>
        <v>0</v>
      </c>
      <c r="F185" s="1">
        <f>IF(C185 + F184 &lt; 0, C185 + F184, 0)</f>
        <v>0</v>
      </c>
      <c r="G185" s="1">
        <f>IF(D185 + G184 &lt; 0, D185 + G184, 0)</f>
        <v>0</v>
      </c>
      <c r="H185" s="1">
        <f>IF(E185 + H184 &lt; 0, E185 + H184, 0)</f>
        <v>0</v>
      </c>
      <c r="I185" s="1">
        <f>IF(H185 &lt; 0, 1 + I184, 0)</f>
        <v>0</v>
      </c>
      <c r="J185" s="1">
        <f>C185-((ABS(SUM(PL!E185:H185)))*0.125)</f>
        <v>0</v>
      </c>
      <c r="K185" s="1">
        <f>D185-((ABS(SUM(PL!I185:L185)))*0.125)</f>
        <v>0</v>
      </c>
      <c r="L185" s="1">
        <f>J185 + K185</f>
        <v>0</v>
      </c>
      <c r="M185" s="1">
        <f>IF(J185 + M184 &lt; 0, J185 + M184, 0)</f>
        <v>0</v>
      </c>
      <c r="N185" s="1">
        <f>IF(K185 + N184 &lt; 0, K185 + N184, 0)</f>
        <v>0</v>
      </c>
      <c r="O185" s="1">
        <f>IF(L185 + O184 &lt; 0, L185 + O184, 0)</f>
        <v>0</v>
      </c>
      <c r="P185" s="1">
        <f>IF(O185 &lt; 0, 1 + P184, 0)</f>
        <v>0</v>
      </c>
      <c r="Q185" s="1">
        <f>IF(E185&lt;0,1,0)</f>
        <v>0</v>
      </c>
      <c r="R185" s="1">
        <f>IF(Q185=1,E185,0)</f>
        <v>0</v>
      </c>
      <c r="S185" s="1">
        <f>IF(E185&gt;0,1,0)</f>
        <v>0</v>
      </c>
      <c r="T185" s="1">
        <f>IF(S185=1,E185,0)</f>
        <v>0</v>
      </c>
      <c r="U185" s="1">
        <f>IF(R185&lt;-100000000/100,1,0)</f>
        <v>0</v>
      </c>
      <c r="V185" s="1">
        <f>IF(T185&gt;100000000/100,1,0)</f>
        <v>0</v>
      </c>
      <c r="W185" s="1">
        <f>IF(L185&lt;0,1,0)</f>
        <v>0</v>
      </c>
      <c r="X185" s="1">
        <f>IF(W185=1,L185,0)</f>
        <v>0</v>
      </c>
      <c r="Y185" s="1">
        <f>IF(L185&gt;0,1,0)</f>
        <v>0</v>
      </c>
      <c r="Z185" s="1">
        <f>IF(Y185=1,L185,0)</f>
        <v>0</v>
      </c>
      <c r="AA185" s="1">
        <f>IF(X185&lt;-100000000/100,1,0)</f>
        <v>0</v>
      </c>
      <c r="AB185" s="1">
        <f>IF(Z185&gt;100000000/100,1,0)</f>
        <v>0</v>
      </c>
    </row>
    <row r="186" spans="1:28" s="1" customFormat="1">
      <c r="A186" s="3">
        <v>45202</v>
      </c>
      <c r="B186" s="2" t="s">
        <v>13</v>
      </c>
      <c r="C186" s="1">
        <f>SUM(PL!E186:H186)</f>
        <v>0</v>
      </c>
      <c r="D186" s="1">
        <f>SUM(PL!I186:L186)</f>
        <v>0</v>
      </c>
      <c r="E186" s="1">
        <f>SUM(C186:D186)</f>
        <v>0</v>
      </c>
      <c r="F186" s="1">
        <f>IF(C186 + F185 &lt; 0, C186 + F185, 0)</f>
        <v>0</v>
      </c>
      <c r="G186" s="1">
        <f>IF(D186 + G185 &lt; 0, D186 + G185, 0)</f>
        <v>0</v>
      </c>
      <c r="H186" s="1">
        <f>IF(E186 + H185 &lt; 0, E186 + H185, 0)</f>
        <v>0</v>
      </c>
      <c r="I186" s="1">
        <f>IF(H186 &lt; 0, 1 + I185, 0)</f>
        <v>0</v>
      </c>
      <c r="J186" s="1">
        <f>C186-((ABS(SUM(PL!E186:H186)))*0.125)</f>
        <v>0</v>
      </c>
      <c r="K186" s="1">
        <f>D186-((ABS(SUM(PL!I186:L186)))*0.125)</f>
        <v>0</v>
      </c>
      <c r="L186" s="1">
        <f>J186 + K186</f>
        <v>0</v>
      </c>
      <c r="M186" s="1">
        <f>IF(J186 + M185 &lt; 0, J186 + M185, 0)</f>
        <v>0</v>
      </c>
      <c r="N186" s="1">
        <f>IF(K186 + N185 &lt; 0, K186 + N185, 0)</f>
        <v>0</v>
      </c>
      <c r="O186" s="1">
        <f>IF(L186 + O185 &lt; 0, L186 + O185, 0)</f>
        <v>0</v>
      </c>
      <c r="P186" s="1">
        <f>IF(O186 &lt; 0, 1 + P185, 0)</f>
        <v>0</v>
      </c>
      <c r="Q186" s="1">
        <f>IF(E186&lt;0,1,0)</f>
        <v>0</v>
      </c>
      <c r="R186" s="1">
        <f>IF(Q186=1,E186,0)</f>
        <v>0</v>
      </c>
      <c r="S186" s="1">
        <f>IF(E186&gt;0,1,0)</f>
        <v>0</v>
      </c>
      <c r="T186" s="1">
        <f>IF(S186=1,E186,0)</f>
        <v>0</v>
      </c>
      <c r="U186" s="1">
        <f>IF(R186&lt;-100000000/100,1,0)</f>
        <v>0</v>
      </c>
      <c r="V186" s="1">
        <f>IF(T186&gt;100000000/100,1,0)</f>
        <v>0</v>
      </c>
      <c r="W186" s="1">
        <f>IF(L186&lt;0,1,0)</f>
        <v>0</v>
      </c>
      <c r="X186" s="1">
        <f>IF(W186=1,L186,0)</f>
        <v>0</v>
      </c>
      <c r="Y186" s="1">
        <f>IF(L186&gt;0,1,0)</f>
        <v>0</v>
      </c>
      <c r="Z186" s="1">
        <f>IF(Y186=1,L186,0)</f>
        <v>0</v>
      </c>
      <c r="AA186" s="1">
        <f>IF(X186&lt;-100000000/100,1,0)</f>
        <v>0</v>
      </c>
      <c r="AB186" s="1">
        <f>IF(Z186&gt;100000000/100,1,0)</f>
        <v>0</v>
      </c>
    </row>
    <row r="187" spans="1:28" s="1" customFormat="1">
      <c r="A187" s="3">
        <v>45203</v>
      </c>
      <c r="B187" s="2" t="s">
        <v>14</v>
      </c>
      <c r="C187" s="1">
        <f>SUM(PL!E187:H187)</f>
        <v>0</v>
      </c>
      <c r="D187" s="1">
        <f>SUM(PL!I187:L187)</f>
        <v>0</v>
      </c>
      <c r="E187" s="1">
        <f>SUM(C187:D187)</f>
        <v>0</v>
      </c>
      <c r="F187" s="1">
        <f>IF(C187 + F186 &lt; 0, C187 + F186, 0)</f>
        <v>0</v>
      </c>
      <c r="G187" s="1">
        <f>IF(D187 + G186 &lt; 0, D187 + G186, 0)</f>
        <v>0</v>
      </c>
      <c r="H187" s="1">
        <f>IF(E187 + H186 &lt; 0, E187 + H186, 0)</f>
        <v>0</v>
      </c>
      <c r="I187" s="1">
        <f>IF(H187 &lt; 0, 1 + I186, 0)</f>
        <v>0</v>
      </c>
      <c r="J187" s="1">
        <f>C187-((ABS(SUM(PL!E187:H187)))*0.125)</f>
        <v>0</v>
      </c>
      <c r="K187" s="1">
        <f>D187-((ABS(SUM(PL!I187:L187)))*0.125)</f>
        <v>0</v>
      </c>
      <c r="L187" s="1">
        <f>J187 + K187</f>
        <v>0</v>
      </c>
      <c r="M187" s="1">
        <f>IF(J187 + M186 &lt; 0, J187 + M186, 0)</f>
        <v>0</v>
      </c>
      <c r="N187" s="1">
        <f>IF(K187 + N186 &lt; 0, K187 + N186, 0)</f>
        <v>0</v>
      </c>
      <c r="O187" s="1">
        <f>IF(L187 + O186 &lt; 0, L187 + O186, 0)</f>
        <v>0</v>
      </c>
      <c r="P187" s="1">
        <f>IF(O187 &lt; 0, 1 + P186, 0)</f>
        <v>0</v>
      </c>
      <c r="Q187" s="1">
        <f>IF(E187&lt;0,1,0)</f>
        <v>0</v>
      </c>
      <c r="R187" s="1">
        <f>IF(Q187=1,E187,0)</f>
        <v>0</v>
      </c>
      <c r="S187" s="1">
        <f>IF(E187&gt;0,1,0)</f>
        <v>0</v>
      </c>
      <c r="T187" s="1">
        <f>IF(S187=1,E187,0)</f>
        <v>0</v>
      </c>
      <c r="U187" s="1">
        <f>IF(R187&lt;-100000000/100,1,0)</f>
        <v>0</v>
      </c>
      <c r="V187" s="1">
        <f>IF(T187&gt;100000000/100,1,0)</f>
        <v>0</v>
      </c>
      <c r="W187" s="1">
        <f>IF(L187&lt;0,1,0)</f>
        <v>0</v>
      </c>
      <c r="X187" s="1">
        <f>IF(W187=1,L187,0)</f>
        <v>0</v>
      </c>
      <c r="Y187" s="1">
        <f>IF(L187&gt;0,1,0)</f>
        <v>0</v>
      </c>
      <c r="Z187" s="1">
        <f>IF(Y187=1,L187,0)</f>
        <v>0</v>
      </c>
      <c r="AA187" s="1">
        <f>IF(X187&lt;-100000000/100,1,0)</f>
        <v>0</v>
      </c>
      <c r="AB187" s="1">
        <f>IF(Z187&gt;100000000/100,1,0)</f>
        <v>0</v>
      </c>
    </row>
    <row r="188" spans="1:28" s="1" customFormat="1">
      <c r="A188" s="3">
        <v>45204</v>
      </c>
      <c r="B188" s="2" t="s">
        <v>16</v>
      </c>
      <c r="C188" s="1">
        <f>SUM(PL!E188:H188)</f>
        <v>0</v>
      </c>
      <c r="D188" s="1">
        <f>SUM(PL!I188:L188)</f>
        <v>0</v>
      </c>
      <c r="E188" s="1">
        <f>SUM(C188:D188)</f>
        <v>0</v>
      </c>
      <c r="F188" s="1">
        <f>IF(C188 + F187 &lt; 0, C188 + F187, 0)</f>
        <v>0</v>
      </c>
      <c r="G188" s="1">
        <f>IF(D188 + G187 &lt; 0, D188 + G187, 0)</f>
        <v>0</v>
      </c>
      <c r="H188" s="1">
        <f>IF(E188 + H187 &lt; 0, E188 + H187, 0)</f>
        <v>0</v>
      </c>
      <c r="I188" s="1">
        <f>IF(H188 &lt; 0, 1 + I187, 0)</f>
        <v>0</v>
      </c>
      <c r="J188" s="1">
        <f>C188-((ABS(SUM(PL!E188:H188)))*0.125)</f>
        <v>0</v>
      </c>
      <c r="K188" s="1">
        <f>D188-((ABS(SUM(PL!I188:L188)))*0.125)</f>
        <v>0</v>
      </c>
      <c r="L188" s="1">
        <f>J188 + K188</f>
        <v>0</v>
      </c>
      <c r="M188" s="1">
        <f>IF(J188 + M187 &lt; 0, J188 + M187, 0)</f>
        <v>0</v>
      </c>
      <c r="N188" s="1">
        <f>IF(K188 + N187 &lt; 0, K188 + N187, 0)</f>
        <v>0</v>
      </c>
      <c r="O188" s="1">
        <f>IF(L188 + O187 &lt; 0, L188 + O187, 0)</f>
        <v>0</v>
      </c>
      <c r="P188" s="1">
        <f>IF(O188 &lt; 0, 1 + P187, 0)</f>
        <v>0</v>
      </c>
      <c r="Q188" s="1">
        <f>IF(E188&lt;0,1,0)</f>
        <v>0</v>
      </c>
      <c r="R188" s="1">
        <f>IF(Q188=1,E188,0)</f>
        <v>0</v>
      </c>
      <c r="S188" s="1">
        <f>IF(E188&gt;0,1,0)</f>
        <v>0</v>
      </c>
      <c r="T188" s="1">
        <f>IF(S188=1,E188,0)</f>
        <v>0</v>
      </c>
      <c r="U188" s="1">
        <f>IF(R188&lt;-100000000/100,1,0)</f>
        <v>0</v>
      </c>
      <c r="V188" s="1">
        <f>IF(T188&gt;100000000/100,1,0)</f>
        <v>0</v>
      </c>
      <c r="W188" s="1">
        <f>IF(L188&lt;0,1,0)</f>
        <v>0</v>
      </c>
      <c r="X188" s="1">
        <f>IF(W188=1,L188,0)</f>
        <v>0</v>
      </c>
      <c r="Y188" s="1">
        <f>IF(L188&gt;0,1,0)</f>
        <v>0</v>
      </c>
      <c r="Z188" s="1">
        <f>IF(Y188=1,L188,0)</f>
        <v>0</v>
      </c>
      <c r="AA188" s="1">
        <f>IF(X188&lt;-100000000/100,1,0)</f>
        <v>0</v>
      </c>
      <c r="AB188" s="1">
        <f>IF(Z188&gt;100000000/100,1,0)</f>
        <v>0</v>
      </c>
    </row>
    <row r="189" spans="1:28" s="1" customFormat="1">
      <c r="A189" s="3">
        <v>45205</v>
      </c>
      <c r="B189" s="2" t="s">
        <v>15</v>
      </c>
      <c r="C189" s="1">
        <f>SUM(PL!E189:H189)</f>
        <v>0</v>
      </c>
      <c r="D189" s="1">
        <f>SUM(PL!I189:L189)</f>
        <v>0</v>
      </c>
      <c r="E189" s="1">
        <f>SUM(C189:D189)</f>
        <v>0</v>
      </c>
      <c r="F189" s="1">
        <f>IF(C189 + F188 &lt; 0, C189 + F188, 0)</f>
        <v>0</v>
      </c>
      <c r="G189" s="1">
        <f>IF(D189 + G188 &lt; 0, D189 + G188, 0)</f>
        <v>0</v>
      </c>
      <c r="H189" s="1">
        <f>IF(E189 + H188 &lt; 0, E189 + H188, 0)</f>
        <v>0</v>
      </c>
      <c r="I189" s="1">
        <f>IF(H189 &lt; 0, 1 + I188, 0)</f>
        <v>0</v>
      </c>
      <c r="J189" s="1">
        <f>C189-((ABS(SUM(PL!E189:H189)))*0.125)</f>
        <v>0</v>
      </c>
      <c r="K189" s="1">
        <f>D189-((ABS(SUM(PL!I189:L189)))*0.125)</f>
        <v>0</v>
      </c>
      <c r="L189" s="1">
        <f>J189 + K189</f>
        <v>0</v>
      </c>
      <c r="M189" s="1">
        <f>IF(J189 + M188 &lt; 0, J189 + M188, 0)</f>
        <v>0</v>
      </c>
      <c r="N189" s="1">
        <f>IF(K189 + N188 &lt; 0, K189 + N188, 0)</f>
        <v>0</v>
      </c>
      <c r="O189" s="1">
        <f>IF(L189 + O188 &lt; 0, L189 + O188, 0)</f>
        <v>0</v>
      </c>
      <c r="P189" s="1">
        <f>IF(O189 &lt; 0, 1 + P188, 0)</f>
        <v>0</v>
      </c>
      <c r="Q189" s="1">
        <f>IF(E189&lt;0,1,0)</f>
        <v>0</v>
      </c>
      <c r="R189" s="1">
        <f>IF(Q189=1,E189,0)</f>
        <v>0</v>
      </c>
      <c r="S189" s="1">
        <f>IF(E189&gt;0,1,0)</f>
        <v>0</v>
      </c>
      <c r="T189" s="1">
        <f>IF(S189=1,E189,0)</f>
        <v>0</v>
      </c>
      <c r="U189" s="1">
        <f>IF(R189&lt;-100000000/100,1,0)</f>
        <v>0</v>
      </c>
      <c r="V189" s="1">
        <f>IF(T189&gt;100000000/100,1,0)</f>
        <v>0</v>
      </c>
      <c r="W189" s="1">
        <f>IF(L189&lt;0,1,0)</f>
        <v>0</v>
      </c>
      <c r="X189" s="1">
        <f>IF(W189=1,L189,0)</f>
        <v>0</v>
      </c>
      <c r="Y189" s="1">
        <f>IF(L189&gt;0,1,0)</f>
        <v>0</v>
      </c>
      <c r="Z189" s="1">
        <f>IF(Y189=1,L189,0)</f>
        <v>0</v>
      </c>
      <c r="AA189" s="1">
        <f>IF(X189&lt;-100000000/100,1,0)</f>
        <v>0</v>
      </c>
      <c r="AB189" s="1">
        <f>IF(Z189&gt;100000000/100,1,0)</f>
        <v>0</v>
      </c>
    </row>
    <row r="190" spans="1:28" s="1" customFormat="1">
      <c r="A190" s="3">
        <v>45208</v>
      </c>
      <c r="B190" s="2" t="s">
        <v>12</v>
      </c>
      <c r="C190" s="1">
        <f>SUM(PL!E190:H190)</f>
        <v>0</v>
      </c>
      <c r="D190" s="1">
        <f>SUM(PL!I190:L190)</f>
        <v>0</v>
      </c>
      <c r="E190" s="1">
        <f>SUM(C190:D190)</f>
        <v>0</v>
      </c>
      <c r="F190" s="1">
        <f>IF(C190 + F189 &lt; 0, C190 + F189, 0)</f>
        <v>0</v>
      </c>
      <c r="G190" s="1">
        <f>IF(D190 + G189 &lt; 0, D190 + G189, 0)</f>
        <v>0</v>
      </c>
      <c r="H190" s="1">
        <f>IF(E190 + H189 &lt; 0, E190 + H189, 0)</f>
        <v>0</v>
      </c>
      <c r="I190" s="1">
        <f>IF(H190 &lt; 0, 1 + I189, 0)</f>
        <v>0</v>
      </c>
      <c r="J190" s="1">
        <f>C190-((ABS(SUM(PL!E190:H190)))*0.125)</f>
        <v>0</v>
      </c>
      <c r="K190" s="1">
        <f>D190-((ABS(SUM(PL!I190:L190)))*0.125)</f>
        <v>0</v>
      </c>
      <c r="L190" s="1">
        <f>J190 + K190</f>
        <v>0</v>
      </c>
      <c r="M190" s="1">
        <f>IF(J190 + M189 &lt; 0, J190 + M189, 0)</f>
        <v>0</v>
      </c>
      <c r="N190" s="1">
        <f>IF(K190 + N189 &lt; 0, K190 + N189, 0)</f>
        <v>0</v>
      </c>
      <c r="O190" s="1">
        <f>IF(L190 + O189 &lt; 0, L190 + O189, 0)</f>
        <v>0</v>
      </c>
      <c r="P190" s="1">
        <f>IF(O190 &lt; 0, 1 + P189, 0)</f>
        <v>0</v>
      </c>
      <c r="Q190" s="1">
        <f>IF(E190&lt;0,1,0)</f>
        <v>0</v>
      </c>
      <c r="R190" s="1">
        <f>IF(Q190=1,E190,0)</f>
        <v>0</v>
      </c>
      <c r="S190" s="1">
        <f>IF(E190&gt;0,1,0)</f>
        <v>0</v>
      </c>
      <c r="T190" s="1">
        <f>IF(S190=1,E190,0)</f>
        <v>0</v>
      </c>
      <c r="U190" s="1">
        <f>IF(R190&lt;-100000000/100,1,0)</f>
        <v>0</v>
      </c>
      <c r="V190" s="1">
        <f>IF(T190&gt;100000000/100,1,0)</f>
        <v>0</v>
      </c>
      <c r="W190" s="1">
        <f>IF(L190&lt;0,1,0)</f>
        <v>0</v>
      </c>
      <c r="X190" s="1">
        <f>IF(W190=1,L190,0)</f>
        <v>0</v>
      </c>
      <c r="Y190" s="1">
        <f>IF(L190&gt;0,1,0)</f>
        <v>0</v>
      </c>
      <c r="Z190" s="1">
        <f>IF(Y190=1,L190,0)</f>
        <v>0</v>
      </c>
      <c r="AA190" s="1">
        <f>IF(X190&lt;-100000000/100,1,0)</f>
        <v>0</v>
      </c>
      <c r="AB190" s="1">
        <f>IF(Z190&gt;100000000/100,1,0)</f>
        <v>0</v>
      </c>
    </row>
    <row r="191" spans="1:28" s="1" customFormat="1">
      <c r="A191" s="3">
        <v>45209</v>
      </c>
      <c r="B191" s="2" t="s">
        <v>13</v>
      </c>
      <c r="C191" s="1">
        <f>SUM(PL!E191:H191)</f>
        <v>0</v>
      </c>
      <c r="D191" s="1">
        <f>SUM(PL!I191:L191)</f>
        <v>0</v>
      </c>
      <c r="E191" s="1">
        <f>SUM(C191:D191)</f>
        <v>0</v>
      </c>
      <c r="F191" s="1">
        <f>IF(C191 + F190 &lt; 0, C191 + F190, 0)</f>
        <v>0</v>
      </c>
      <c r="G191" s="1">
        <f>IF(D191 + G190 &lt; 0, D191 + G190, 0)</f>
        <v>0</v>
      </c>
      <c r="H191" s="1">
        <f>IF(E191 + H190 &lt; 0, E191 + H190, 0)</f>
        <v>0</v>
      </c>
      <c r="I191" s="1">
        <f>IF(H191 &lt; 0, 1 + I190, 0)</f>
        <v>0</v>
      </c>
      <c r="J191" s="1">
        <f>C191-((ABS(SUM(PL!E191:H191)))*0.125)</f>
        <v>0</v>
      </c>
      <c r="K191" s="1">
        <f>D191-((ABS(SUM(PL!I191:L191)))*0.125)</f>
        <v>0</v>
      </c>
      <c r="L191" s="1">
        <f>J191 + K191</f>
        <v>0</v>
      </c>
      <c r="M191" s="1">
        <f>IF(J191 + M190 &lt; 0, J191 + M190, 0)</f>
        <v>0</v>
      </c>
      <c r="N191" s="1">
        <f>IF(K191 + N190 &lt; 0, K191 + N190, 0)</f>
        <v>0</v>
      </c>
      <c r="O191" s="1">
        <f>IF(L191 + O190 &lt; 0, L191 + O190, 0)</f>
        <v>0</v>
      </c>
      <c r="P191" s="1">
        <f>IF(O191 &lt; 0, 1 + P190, 0)</f>
        <v>0</v>
      </c>
      <c r="Q191" s="1">
        <f>IF(E191&lt;0,1,0)</f>
        <v>0</v>
      </c>
      <c r="R191" s="1">
        <f>IF(Q191=1,E191,0)</f>
        <v>0</v>
      </c>
      <c r="S191" s="1">
        <f>IF(E191&gt;0,1,0)</f>
        <v>0</v>
      </c>
      <c r="T191" s="1">
        <f>IF(S191=1,E191,0)</f>
        <v>0</v>
      </c>
      <c r="U191" s="1">
        <f>IF(R191&lt;-100000000/100,1,0)</f>
        <v>0</v>
      </c>
      <c r="V191" s="1">
        <f>IF(T191&gt;100000000/100,1,0)</f>
        <v>0</v>
      </c>
      <c r="W191" s="1">
        <f>IF(L191&lt;0,1,0)</f>
        <v>0</v>
      </c>
      <c r="X191" s="1">
        <f>IF(W191=1,L191,0)</f>
        <v>0</v>
      </c>
      <c r="Y191" s="1">
        <f>IF(L191&gt;0,1,0)</f>
        <v>0</v>
      </c>
      <c r="Z191" s="1">
        <f>IF(Y191=1,L191,0)</f>
        <v>0</v>
      </c>
      <c r="AA191" s="1">
        <f>IF(X191&lt;-100000000/100,1,0)</f>
        <v>0</v>
      </c>
      <c r="AB191" s="1">
        <f>IF(Z191&gt;100000000/100,1,0)</f>
        <v>0</v>
      </c>
    </row>
    <row r="192" spans="1:28" s="1" customFormat="1">
      <c r="A192" s="3">
        <v>45210</v>
      </c>
      <c r="B192" s="2" t="s">
        <v>14</v>
      </c>
      <c r="C192" s="1">
        <f>SUM(PL!E192:H192)</f>
        <v>0</v>
      </c>
      <c r="D192" s="1">
        <f>SUM(PL!I192:L192)</f>
        <v>0</v>
      </c>
      <c r="E192" s="1">
        <f>SUM(C192:D192)</f>
        <v>0</v>
      </c>
      <c r="F192" s="1">
        <f>IF(C192 + F191 &lt; 0, C192 + F191, 0)</f>
        <v>0</v>
      </c>
      <c r="G192" s="1">
        <f>IF(D192 + G191 &lt; 0, D192 + G191, 0)</f>
        <v>0</v>
      </c>
      <c r="H192" s="1">
        <f>IF(E192 + H191 &lt; 0, E192 + H191, 0)</f>
        <v>0</v>
      </c>
      <c r="I192" s="1">
        <f>IF(H192 &lt; 0, 1 + I191, 0)</f>
        <v>0</v>
      </c>
      <c r="J192" s="1">
        <f>C192-((ABS(SUM(PL!E192:H192)))*0.125)</f>
        <v>0</v>
      </c>
      <c r="K192" s="1">
        <f>D192-((ABS(SUM(PL!I192:L192)))*0.125)</f>
        <v>0</v>
      </c>
      <c r="L192" s="1">
        <f>J192 + K192</f>
        <v>0</v>
      </c>
      <c r="M192" s="1">
        <f>IF(J192 + M191 &lt; 0, J192 + M191, 0)</f>
        <v>0</v>
      </c>
      <c r="N192" s="1">
        <f>IF(K192 + N191 &lt; 0, K192 + N191, 0)</f>
        <v>0</v>
      </c>
      <c r="O192" s="1">
        <f>IF(L192 + O191 &lt; 0, L192 + O191, 0)</f>
        <v>0</v>
      </c>
      <c r="P192" s="1">
        <f>IF(O192 &lt; 0, 1 + P191, 0)</f>
        <v>0</v>
      </c>
      <c r="Q192" s="1">
        <f>IF(E192&lt;0,1,0)</f>
        <v>0</v>
      </c>
      <c r="R192" s="1">
        <f>IF(Q192=1,E192,0)</f>
        <v>0</v>
      </c>
      <c r="S192" s="1">
        <f>IF(E192&gt;0,1,0)</f>
        <v>0</v>
      </c>
      <c r="T192" s="1">
        <f>IF(S192=1,E192,0)</f>
        <v>0</v>
      </c>
      <c r="U192" s="1">
        <f>IF(R192&lt;-100000000/100,1,0)</f>
        <v>0</v>
      </c>
      <c r="V192" s="1">
        <f>IF(T192&gt;100000000/100,1,0)</f>
        <v>0</v>
      </c>
      <c r="W192" s="1">
        <f>IF(L192&lt;0,1,0)</f>
        <v>0</v>
      </c>
      <c r="X192" s="1">
        <f>IF(W192=1,L192,0)</f>
        <v>0</v>
      </c>
      <c r="Y192" s="1">
        <f>IF(L192&gt;0,1,0)</f>
        <v>0</v>
      </c>
      <c r="Z192" s="1">
        <f>IF(Y192=1,L192,0)</f>
        <v>0</v>
      </c>
      <c r="AA192" s="1">
        <f>IF(X192&lt;-100000000/100,1,0)</f>
        <v>0</v>
      </c>
      <c r="AB192" s="1">
        <f>IF(Z192&gt;100000000/100,1,0)</f>
        <v>0</v>
      </c>
    </row>
    <row r="193" spans="1:28" s="1" customFormat="1">
      <c r="A193" s="3">
        <v>45211</v>
      </c>
      <c r="B193" s="2" t="s">
        <v>16</v>
      </c>
      <c r="C193" s="1">
        <f>SUM(PL!E193:H193)</f>
        <v>0</v>
      </c>
      <c r="D193" s="1">
        <f>SUM(PL!I193:L193)</f>
        <v>0</v>
      </c>
      <c r="E193" s="1">
        <f>SUM(C193:D193)</f>
        <v>0</v>
      </c>
      <c r="F193" s="1">
        <f>IF(C193 + F192 &lt; 0, C193 + F192, 0)</f>
        <v>0</v>
      </c>
      <c r="G193" s="1">
        <f>IF(D193 + G192 &lt; 0, D193 + G192, 0)</f>
        <v>0</v>
      </c>
      <c r="H193" s="1">
        <f>IF(E193 + H192 &lt; 0, E193 + H192, 0)</f>
        <v>0</v>
      </c>
      <c r="I193" s="1">
        <f>IF(H193 &lt; 0, 1 + I192, 0)</f>
        <v>0</v>
      </c>
      <c r="J193" s="1">
        <f>C193-((ABS(SUM(PL!E193:H193)))*0.125)</f>
        <v>0</v>
      </c>
      <c r="K193" s="1">
        <f>D193-((ABS(SUM(PL!I193:L193)))*0.125)</f>
        <v>0</v>
      </c>
      <c r="L193" s="1">
        <f>J193 + K193</f>
        <v>0</v>
      </c>
      <c r="M193" s="1">
        <f>IF(J193 + M192 &lt; 0, J193 + M192, 0)</f>
        <v>0</v>
      </c>
      <c r="N193" s="1">
        <f>IF(K193 + N192 &lt; 0, K193 + N192, 0)</f>
        <v>0</v>
      </c>
      <c r="O193" s="1">
        <f>IF(L193 + O192 &lt; 0, L193 + O192, 0)</f>
        <v>0</v>
      </c>
      <c r="P193" s="1">
        <f>IF(O193 &lt; 0, 1 + P192, 0)</f>
        <v>0</v>
      </c>
      <c r="Q193" s="1">
        <f>IF(E193&lt;0,1,0)</f>
        <v>0</v>
      </c>
      <c r="R193" s="1">
        <f>IF(Q193=1,E193,0)</f>
        <v>0</v>
      </c>
      <c r="S193" s="1">
        <f>IF(E193&gt;0,1,0)</f>
        <v>0</v>
      </c>
      <c r="T193" s="1">
        <f>IF(S193=1,E193,0)</f>
        <v>0</v>
      </c>
      <c r="U193" s="1">
        <f>IF(R193&lt;-100000000/100,1,0)</f>
        <v>0</v>
      </c>
      <c r="V193" s="1">
        <f>IF(T193&gt;100000000/100,1,0)</f>
        <v>0</v>
      </c>
      <c r="W193" s="1">
        <f>IF(L193&lt;0,1,0)</f>
        <v>0</v>
      </c>
      <c r="X193" s="1">
        <f>IF(W193=1,L193,0)</f>
        <v>0</v>
      </c>
      <c r="Y193" s="1">
        <f>IF(L193&gt;0,1,0)</f>
        <v>0</v>
      </c>
      <c r="Z193" s="1">
        <f>IF(Y193=1,L193,0)</f>
        <v>0</v>
      </c>
      <c r="AA193" s="1">
        <f>IF(X193&lt;-100000000/100,1,0)</f>
        <v>0</v>
      </c>
      <c r="AB193" s="1">
        <f>IF(Z193&gt;100000000/100,1,0)</f>
        <v>0</v>
      </c>
    </row>
    <row r="194" spans="1:28" s="1" customFormat="1">
      <c r="A194" s="3">
        <v>45212</v>
      </c>
      <c r="B194" s="2" t="s">
        <v>15</v>
      </c>
      <c r="C194" s="1">
        <f>SUM(PL!E194:H194)</f>
        <v>0</v>
      </c>
      <c r="D194" s="1">
        <f>SUM(PL!I194:L194)</f>
        <v>0</v>
      </c>
      <c r="E194" s="1">
        <f>SUM(C194:D194)</f>
        <v>0</v>
      </c>
      <c r="F194" s="1">
        <f>IF(C194 + F193 &lt; 0, C194 + F193, 0)</f>
        <v>0</v>
      </c>
      <c r="G194" s="1">
        <f>IF(D194 + G193 &lt; 0, D194 + G193, 0)</f>
        <v>0</v>
      </c>
      <c r="H194" s="1">
        <f>IF(E194 + H193 &lt; 0, E194 + H193, 0)</f>
        <v>0</v>
      </c>
      <c r="I194" s="1">
        <f>IF(H194 &lt; 0, 1 + I193, 0)</f>
        <v>0</v>
      </c>
      <c r="J194" s="1">
        <f>C194-((ABS(SUM(PL!E194:H194)))*0.125)</f>
        <v>0</v>
      </c>
      <c r="K194" s="1">
        <f>D194-((ABS(SUM(PL!I194:L194)))*0.125)</f>
        <v>0</v>
      </c>
      <c r="L194" s="1">
        <f>J194 + K194</f>
        <v>0</v>
      </c>
      <c r="M194" s="1">
        <f>IF(J194 + M193 &lt; 0, J194 + M193, 0)</f>
        <v>0</v>
      </c>
      <c r="N194" s="1">
        <f>IF(K194 + N193 &lt; 0, K194 + N193, 0)</f>
        <v>0</v>
      </c>
      <c r="O194" s="1">
        <f>IF(L194 + O193 &lt; 0, L194 + O193, 0)</f>
        <v>0</v>
      </c>
      <c r="P194" s="1">
        <f>IF(O194 &lt; 0, 1 + P193, 0)</f>
        <v>0</v>
      </c>
      <c r="Q194" s="1">
        <f>IF(E194&lt;0,1,0)</f>
        <v>0</v>
      </c>
      <c r="R194" s="1">
        <f>IF(Q194=1,E194,0)</f>
        <v>0</v>
      </c>
      <c r="S194" s="1">
        <f>IF(E194&gt;0,1,0)</f>
        <v>0</v>
      </c>
      <c r="T194" s="1">
        <f>IF(S194=1,E194,0)</f>
        <v>0</v>
      </c>
      <c r="U194" s="1">
        <f>IF(R194&lt;-100000000/100,1,0)</f>
        <v>0</v>
      </c>
      <c r="V194" s="1">
        <f>IF(T194&gt;100000000/100,1,0)</f>
        <v>0</v>
      </c>
      <c r="W194" s="1">
        <f>IF(L194&lt;0,1,0)</f>
        <v>0</v>
      </c>
      <c r="X194" s="1">
        <f>IF(W194=1,L194,0)</f>
        <v>0</v>
      </c>
      <c r="Y194" s="1">
        <f>IF(L194&gt;0,1,0)</f>
        <v>0</v>
      </c>
      <c r="Z194" s="1">
        <f>IF(Y194=1,L194,0)</f>
        <v>0</v>
      </c>
      <c r="AA194" s="1">
        <f>IF(X194&lt;-100000000/100,1,0)</f>
        <v>0</v>
      </c>
      <c r="AB194" s="1">
        <f>IF(Z194&gt;100000000/100,1,0)</f>
        <v>0</v>
      </c>
    </row>
    <row r="195" spans="1:28" s="1" customFormat="1">
      <c r="A195" s="3">
        <v>45215</v>
      </c>
      <c r="B195" s="2" t="s">
        <v>12</v>
      </c>
      <c r="C195" s="1">
        <f>SUM(PL!E195:H195)</f>
        <v>0</v>
      </c>
      <c r="D195" s="1">
        <f>SUM(PL!I195:L195)</f>
        <v>0</v>
      </c>
      <c r="E195" s="1">
        <f>SUM(C195:D195)</f>
        <v>0</v>
      </c>
      <c r="F195" s="1">
        <f>IF(C195 + F194 &lt; 0, C195 + F194, 0)</f>
        <v>0</v>
      </c>
      <c r="G195" s="1">
        <f>IF(D195 + G194 &lt; 0, D195 + G194, 0)</f>
        <v>0</v>
      </c>
      <c r="H195" s="1">
        <f>IF(E195 + H194 &lt; 0, E195 + H194, 0)</f>
        <v>0</v>
      </c>
      <c r="I195" s="1">
        <f>IF(H195 &lt; 0, 1 + I194, 0)</f>
        <v>0</v>
      </c>
      <c r="J195" s="1">
        <f>C195-((ABS(SUM(PL!E195:H195)))*0.125)</f>
        <v>0</v>
      </c>
      <c r="K195" s="1">
        <f>D195-((ABS(SUM(PL!I195:L195)))*0.125)</f>
        <v>0</v>
      </c>
      <c r="L195" s="1">
        <f>J195 + K195</f>
        <v>0</v>
      </c>
      <c r="M195" s="1">
        <f>IF(J195 + M194 &lt; 0, J195 + M194, 0)</f>
        <v>0</v>
      </c>
      <c r="N195" s="1">
        <f>IF(K195 + N194 &lt; 0, K195 + N194, 0)</f>
        <v>0</v>
      </c>
      <c r="O195" s="1">
        <f>IF(L195 + O194 &lt; 0, L195 + O194, 0)</f>
        <v>0</v>
      </c>
      <c r="P195" s="1">
        <f>IF(O195 &lt; 0, 1 + P194, 0)</f>
        <v>0</v>
      </c>
      <c r="Q195" s="1">
        <f>IF(E195&lt;0,1,0)</f>
        <v>0</v>
      </c>
      <c r="R195" s="1">
        <f>IF(Q195=1,E195,0)</f>
        <v>0</v>
      </c>
      <c r="S195" s="1">
        <f>IF(E195&gt;0,1,0)</f>
        <v>0</v>
      </c>
      <c r="T195" s="1">
        <f>IF(S195=1,E195,0)</f>
        <v>0</v>
      </c>
      <c r="U195" s="1">
        <f>IF(R195&lt;-100000000/100,1,0)</f>
        <v>0</v>
      </c>
      <c r="V195" s="1">
        <f>IF(T195&gt;100000000/100,1,0)</f>
        <v>0</v>
      </c>
      <c r="W195" s="1">
        <f>IF(L195&lt;0,1,0)</f>
        <v>0</v>
      </c>
      <c r="X195" s="1">
        <f>IF(W195=1,L195,0)</f>
        <v>0</v>
      </c>
      <c r="Y195" s="1">
        <f>IF(L195&gt;0,1,0)</f>
        <v>0</v>
      </c>
      <c r="Z195" s="1">
        <f>IF(Y195=1,L195,0)</f>
        <v>0</v>
      </c>
      <c r="AA195" s="1">
        <f>IF(X195&lt;-100000000/100,1,0)</f>
        <v>0</v>
      </c>
      <c r="AB195" s="1">
        <f>IF(Z195&gt;100000000/100,1,0)</f>
        <v>0</v>
      </c>
    </row>
    <row r="196" spans="1:28" s="1" customFormat="1">
      <c r="A196" s="3">
        <v>45216</v>
      </c>
      <c r="B196" s="2" t="s">
        <v>13</v>
      </c>
      <c r="C196" s="1">
        <f>SUM(PL!E196:H196)</f>
        <v>0</v>
      </c>
      <c r="D196" s="1">
        <f>SUM(PL!I196:L196)</f>
        <v>0</v>
      </c>
      <c r="E196" s="1">
        <f>SUM(C196:D196)</f>
        <v>0</v>
      </c>
      <c r="F196" s="1">
        <f>IF(C196 + F195 &lt; 0, C196 + F195, 0)</f>
        <v>0</v>
      </c>
      <c r="G196" s="1">
        <f>IF(D196 + G195 &lt; 0, D196 + G195, 0)</f>
        <v>0</v>
      </c>
      <c r="H196" s="1">
        <f>IF(E196 + H195 &lt; 0, E196 + H195, 0)</f>
        <v>0</v>
      </c>
      <c r="I196" s="1">
        <f>IF(H196 &lt; 0, 1 + I195, 0)</f>
        <v>0</v>
      </c>
      <c r="J196" s="1">
        <f>C196-((ABS(SUM(PL!E196:H196)))*0.125)</f>
        <v>0</v>
      </c>
      <c r="K196" s="1">
        <f>D196-((ABS(SUM(PL!I196:L196)))*0.125)</f>
        <v>0</v>
      </c>
      <c r="L196" s="1">
        <f>J196 + K196</f>
        <v>0</v>
      </c>
      <c r="M196" s="1">
        <f>IF(J196 + M195 &lt; 0, J196 + M195, 0)</f>
        <v>0</v>
      </c>
      <c r="N196" s="1">
        <f>IF(K196 + N195 &lt; 0, K196 + N195, 0)</f>
        <v>0</v>
      </c>
      <c r="O196" s="1">
        <f>IF(L196 + O195 &lt; 0, L196 + O195, 0)</f>
        <v>0</v>
      </c>
      <c r="P196" s="1">
        <f>IF(O196 &lt; 0, 1 + P195, 0)</f>
        <v>0</v>
      </c>
      <c r="Q196" s="1">
        <f>IF(E196&lt;0,1,0)</f>
        <v>0</v>
      </c>
      <c r="R196" s="1">
        <f>IF(Q196=1,E196,0)</f>
        <v>0</v>
      </c>
      <c r="S196" s="1">
        <f>IF(E196&gt;0,1,0)</f>
        <v>0</v>
      </c>
      <c r="T196" s="1">
        <f>IF(S196=1,E196,0)</f>
        <v>0</v>
      </c>
      <c r="U196" s="1">
        <f>IF(R196&lt;-100000000/100,1,0)</f>
        <v>0</v>
      </c>
      <c r="V196" s="1">
        <f>IF(T196&gt;100000000/100,1,0)</f>
        <v>0</v>
      </c>
      <c r="W196" s="1">
        <f>IF(L196&lt;0,1,0)</f>
        <v>0</v>
      </c>
      <c r="X196" s="1">
        <f>IF(W196=1,L196,0)</f>
        <v>0</v>
      </c>
      <c r="Y196" s="1">
        <f>IF(L196&gt;0,1,0)</f>
        <v>0</v>
      </c>
      <c r="Z196" s="1">
        <f>IF(Y196=1,L196,0)</f>
        <v>0</v>
      </c>
      <c r="AA196" s="1">
        <f>IF(X196&lt;-100000000/100,1,0)</f>
        <v>0</v>
      </c>
      <c r="AB196" s="1">
        <f>IF(Z196&gt;100000000/100,1,0)</f>
        <v>0</v>
      </c>
    </row>
    <row r="197" spans="1:28" s="1" customFormat="1">
      <c r="A197" s="3">
        <v>45217</v>
      </c>
      <c r="B197" s="2" t="s">
        <v>14</v>
      </c>
      <c r="C197" s="1">
        <f>SUM(PL!E197:H197)</f>
        <v>0</v>
      </c>
      <c r="D197" s="1">
        <f>SUM(PL!I197:L197)</f>
        <v>0</v>
      </c>
      <c r="E197" s="1">
        <f>SUM(C197:D197)</f>
        <v>0</v>
      </c>
      <c r="F197" s="1">
        <f>IF(C197 + F196 &lt; 0, C197 + F196, 0)</f>
        <v>0</v>
      </c>
      <c r="G197" s="1">
        <f>IF(D197 + G196 &lt; 0, D197 + G196, 0)</f>
        <v>0</v>
      </c>
      <c r="H197" s="1">
        <f>IF(E197 + H196 &lt; 0, E197 + H196, 0)</f>
        <v>0</v>
      </c>
      <c r="I197" s="1">
        <f>IF(H197 &lt; 0, 1 + I196, 0)</f>
        <v>0</v>
      </c>
      <c r="J197" s="1">
        <f>C197-((ABS(SUM(PL!E197:H197)))*0.125)</f>
        <v>0</v>
      </c>
      <c r="K197" s="1">
        <f>D197-((ABS(SUM(PL!I197:L197)))*0.125)</f>
        <v>0</v>
      </c>
      <c r="L197" s="1">
        <f>J197 + K197</f>
        <v>0</v>
      </c>
      <c r="M197" s="1">
        <f>IF(J197 + M196 &lt; 0, J197 + M196, 0)</f>
        <v>0</v>
      </c>
      <c r="N197" s="1">
        <f>IF(K197 + N196 &lt; 0, K197 + N196, 0)</f>
        <v>0</v>
      </c>
      <c r="O197" s="1">
        <f>IF(L197 + O196 &lt; 0, L197 + O196, 0)</f>
        <v>0</v>
      </c>
      <c r="P197" s="1">
        <f>IF(O197 &lt; 0, 1 + P196, 0)</f>
        <v>0</v>
      </c>
      <c r="Q197" s="1">
        <f>IF(E197&lt;0,1,0)</f>
        <v>0</v>
      </c>
      <c r="R197" s="1">
        <f>IF(Q197=1,E197,0)</f>
        <v>0</v>
      </c>
      <c r="S197" s="1">
        <f>IF(E197&gt;0,1,0)</f>
        <v>0</v>
      </c>
      <c r="T197" s="1">
        <f>IF(S197=1,E197,0)</f>
        <v>0</v>
      </c>
      <c r="U197" s="1">
        <f>IF(R197&lt;-100000000/100,1,0)</f>
        <v>0</v>
      </c>
      <c r="V197" s="1">
        <f>IF(T197&gt;100000000/100,1,0)</f>
        <v>0</v>
      </c>
      <c r="W197" s="1">
        <f>IF(L197&lt;0,1,0)</f>
        <v>0</v>
      </c>
      <c r="X197" s="1">
        <f>IF(W197=1,L197,0)</f>
        <v>0</v>
      </c>
      <c r="Y197" s="1">
        <f>IF(L197&gt;0,1,0)</f>
        <v>0</v>
      </c>
      <c r="Z197" s="1">
        <f>IF(Y197=1,L197,0)</f>
        <v>0</v>
      </c>
      <c r="AA197" s="1">
        <f>IF(X197&lt;-100000000/100,1,0)</f>
        <v>0</v>
      </c>
      <c r="AB197" s="1">
        <f>IF(Z197&gt;100000000/100,1,0)</f>
        <v>0</v>
      </c>
    </row>
    <row r="198" spans="1:28" s="1" customFormat="1">
      <c r="A198" s="3">
        <v>45218</v>
      </c>
      <c r="B198" s="2" t="s">
        <v>16</v>
      </c>
      <c r="C198" s="1">
        <f>SUM(PL!E198:H198)</f>
        <v>0</v>
      </c>
      <c r="D198" s="1">
        <f>SUM(PL!I198:L198)</f>
        <v>0</v>
      </c>
      <c r="E198" s="1">
        <f>SUM(C198:D198)</f>
        <v>0</v>
      </c>
      <c r="F198" s="1">
        <f>IF(C198 + F197 &lt; 0, C198 + F197, 0)</f>
        <v>0</v>
      </c>
      <c r="G198" s="1">
        <f>IF(D198 + G197 &lt; 0, D198 + G197, 0)</f>
        <v>0</v>
      </c>
      <c r="H198" s="1">
        <f>IF(E198 + H197 &lt; 0, E198 + H197, 0)</f>
        <v>0</v>
      </c>
      <c r="I198" s="1">
        <f>IF(H198 &lt; 0, 1 + I197, 0)</f>
        <v>0</v>
      </c>
      <c r="J198" s="1">
        <f>C198-((ABS(SUM(PL!E198:H198)))*0.125)</f>
        <v>0</v>
      </c>
      <c r="K198" s="1">
        <f>D198-((ABS(SUM(PL!I198:L198)))*0.125)</f>
        <v>0</v>
      </c>
      <c r="L198" s="1">
        <f>J198 + K198</f>
        <v>0</v>
      </c>
      <c r="M198" s="1">
        <f>IF(J198 + M197 &lt; 0, J198 + M197, 0)</f>
        <v>0</v>
      </c>
      <c r="N198" s="1">
        <f>IF(K198 + N197 &lt; 0, K198 + N197, 0)</f>
        <v>0</v>
      </c>
      <c r="O198" s="1">
        <f>IF(L198 + O197 &lt; 0, L198 + O197, 0)</f>
        <v>0</v>
      </c>
      <c r="P198" s="1">
        <f>IF(O198 &lt; 0, 1 + P197, 0)</f>
        <v>0</v>
      </c>
      <c r="Q198" s="1">
        <f>IF(E198&lt;0,1,0)</f>
        <v>0</v>
      </c>
      <c r="R198" s="1">
        <f>IF(Q198=1,E198,0)</f>
        <v>0</v>
      </c>
      <c r="S198" s="1">
        <f>IF(E198&gt;0,1,0)</f>
        <v>0</v>
      </c>
      <c r="T198" s="1">
        <f>IF(S198=1,E198,0)</f>
        <v>0</v>
      </c>
      <c r="U198" s="1">
        <f>IF(R198&lt;-100000000/100,1,0)</f>
        <v>0</v>
      </c>
      <c r="V198" s="1">
        <f>IF(T198&gt;100000000/100,1,0)</f>
        <v>0</v>
      </c>
      <c r="W198" s="1">
        <f>IF(L198&lt;0,1,0)</f>
        <v>0</v>
      </c>
      <c r="X198" s="1">
        <f>IF(W198=1,L198,0)</f>
        <v>0</v>
      </c>
      <c r="Y198" s="1">
        <f>IF(L198&gt;0,1,0)</f>
        <v>0</v>
      </c>
      <c r="Z198" s="1">
        <f>IF(Y198=1,L198,0)</f>
        <v>0</v>
      </c>
      <c r="AA198" s="1">
        <f>IF(X198&lt;-100000000/100,1,0)</f>
        <v>0</v>
      </c>
      <c r="AB198" s="1">
        <f>IF(Z198&gt;100000000/100,1,0)</f>
        <v>0</v>
      </c>
    </row>
    <row r="199" spans="1:28" s="1" customFormat="1">
      <c r="A199" s="3">
        <v>45219</v>
      </c>
      <c r="B199" s="2" t="s">
        <v>15</v>
      </c>
      <c r="C199" s="1">
        <f>SUM(PL!E199:H199)</f>
        <v>0</v>
      </c>
      <c r="D199" s="1">
        <f>SUM(PL!I199:L199)</f>
        <v>0</v>
      </c>
      <c r="E199" s="1">
        <f>SUM(C199:D199)</f>
        <v>0</v>
      </c>
      <c r="F199" s="1">
        <f>IF(C199 + F198 &lt; 0, C199 + F198, 0)</f>
        <v>0</v>
      </c>
      <c r="G199" s="1">
        <f>IF(D199 + G198 &lt; 0, D199 + G198, 0)</f>
        <v>0</v>
      </c>
      <c r="H199" s="1">
        <f>IF(E199 + H198 &lt; 0, E199 + H198, 0)</f>
        <v>0</v>
      </c>
      <c r="I199" s="1">
        <f>IF(H199 &lt; 0, 1 + I198, 0)</f>
        <v>0</v>
      </c>
      <c r="J199" s="1">
        <f>C199-((ABS(SUM(PL!E199:H199)))*0.125)</f>
        <v>0</v>
      </c>
      <c r="K199" s="1">
        <f>D199-((ABS(SUM(PL!I199:L199)))*0.125)</f>
        <v>0</v>
      </c>
      <c r="L199" s="1">
        <f>J199 + K199</f>
        <v>0</v>
      </c>
      <c r="M199" s="1">
        <f>IF(J199 + M198 &lt; 0, J199 + M198, 0)</f>
        <v>0</v>
      </c>
      <c r="N199" s="1">
        <f>IF(K199 + N198 &lt; 0, K199 + N198, 0)</f>
        <v>0</v>
      </c>
      <c r="O199" s="1">
        <f>IF(L199 + O198 &lt; 0, L199 + O198, 0)</f>
        <v>0</v>
      </c>
      <c r="P199" s="1">
        <f>IF(O199 &lt; 0, 1 + P198, 0)</f>
        <v>0</v>
      </c>
      <c r="Q199" s="1">
        <f>IF(E199&lt;0,1,0)</f>
        <v>0</v>
      </c>
      <c r="R199" s="1">
        <f>IF(Q199=1,E199,0)</f>
        <v>0</v>
      </c>
      <c r="S199" s="1">
        <f>IF(E199&gt;0,1,0)</f>
        <v>0</v>
      </c>
      <c r="T199" s="1">
        <f>IF(S199=1,E199,0)</f>
        <v>0</v>
      </c>
      <c r="U199" s="1">
        <f>IF(R199&lt;-100000000/100,1,0)</f>
        <v>0</v>
      </c>
      <c r="V199" s="1">
        <f>IF(T199&gt;100000000/100,1,0)</f>
        <v>0</v>
      </c>
      <c r="W199" s="1">
        <f>IF(L199&lt;0,1,0)</f>
        <v>0</v>
      </c>
      <c r="X199" s="1">
        <f>IF(W199=1,L199,0)</f>
        <v>0</v>
      </c>
      <c r="Y199" s="1">
        <f>IF(L199&gt;0,1,0)</f>
        <v>0</v>
      </c>
      <c r="Z199" s="1">
        <f>IF(Y199=1,L199,0)</f>
        <v>0</v>
      </c>
      <c r="AA199" s="1">
        <f>IF(X199&lt;-100000000/100,1,0)</f>
        <v>0</v>
      </c>
      <c r="AB199" s="1">
        <f>IF(Z199&gt;100000000/100,1,0)</f>
        <v>0</v>
      </c>
    </row>
    <row r="200" spans="1:28" s="1" customFormat="1">
      <c r="A200" s="3">
        <v>45222</v>
      </c>
      <c r="B200" s="2" t="s">
        <v>12</v>
      </c>
      <c r="C200" s="1">
        <f>SUM(PL!E200:H200)</f>
        <v>0</v>
      </c>
      <c r="D200" s="1">
        <f>SUM(PL!I200:L200)</f>
        <v>0</v>
      </c>
      <c r="E200" s="1">
        <f>SUM(C200:D200)</f>
        <v>0</v>
      </c>
      <c r="F200" s="1">
        <f>IF(C200 + F199 &lt; 0, C200 + F199, 0)</f>
        <v>0</v>
      </c>
      <c r="G200" s="1">
        <f>IF(D200 + G199 &lt; 0, D200 + G199, 0)</f>
        <v>0</v>
      </c>
      <c r="H200" s="1">
        <f>IF(E200 + H199 &lt; 0, E200 + H199, 0)</f>
        <v>0</v>
      </c>
      <c r="I200" s="1">
        <f>IF(H200 &lt; 0, 1 + I199, 0)</f>
        <v>0</v>
      </c>
      <c r="J200" s="1">
        <f>C200-((ABS(SUM(PL!E200:H200)))*0.125)</f>
        <v>0</v>
      </c>
      <c r="K200" s="1">
        <f>D200-((ABS(SUM(PL!I200:L200)))*0.125)</f>
        <v>0</v>
      </c>
      <c r="L200" s="1">
        <f>J200 + K200</f>
        <v>0</v>
      </c>
      <c r="M200" s="1">
        <f>IF(J200 + M199 &lt; 0, J200 + M199, 0)</f>
        <v>0</v>
      </c>
      <c r="N200" s="1">
        <f>IF(K200 + N199 &lt; 0, K200 + N199, 0)</f>
        <v>0</v>
      </c>
      <c r="O200" s="1">
        <f>IF(L200 + O199 &lt; 0, L200 + O199, 0)</f>
        <v>0</v>
      </c>
      <c r="P200" s="1">
        <f>IF(O200 &lt; 0, 1 + P199, 0)</f>
        <v>0</v>
      </c>
      <c r="Q200" s="1">
        <f>IF(E200&lt;0,1,0)</f>
        <v>0</v>
      </c>
      <c r="R200" s="1">
        <f>IF(Q200=1,E200,0)</f>
        <v>0</v>
      </c>
      <c r="S200" s="1">
        <f>IF(E200&gt;0,1,0)</f>
        <v>0</v>
      </c>
      <c r="T200" s="1">
        <f>IF(S200=1,E200,0)</f>
        <v>0</v>
      </c>
      <c r="U200" s="1">
        <f>IF(R200&lt;-100000000/100,1,0)</f>
        <v>0</v>
      </c>
      <c r="V200" s="1">
        <f>IF(T200&gt;100000000/100,1,0)</f>
        <v>0</v>
      </c>
      <c r="W200" s="1">
        <f>IF(L200&lt;0,1,0)</f>
        <v>0</v>
      </c>
      <c r="X200" s="1">
        <f>IF(W200=1,L200,0)</f>
        <v>0</v>
      </c>
      <c r="Y200" s="1">
        <f>IF(L200&gt;0,1,0)</f>
        <v>0</v>
      </c>
      <c r="Z200" s="1">
        <f>IF(Y200=1,L200,0)</f>
        <v>0</v>
      </c>
      <c r="AA200" s="1">
        <f>IF(X200&lt;-100000000/100,1,0)</f>
        <v>0</v>
      </c>
      <c r="AB200" s="1">
        <f>IF(Z200&gt;100000000/100,1,0)</f>
        <v>0</v>
      </c>
    </row>
    <row r="201" spans="1:28" s="1" customFormat="1">
      <c r="A201" s="3">
        <v>45223</v>
      </c>
      <c r="B201" s="2" t="s">
        <v>13</v>
      </c>
      <c r="C201" s="1">
        <f>SUM(PL!E201:H201)</f>
        <v>0</v>
      </c>
      <c r="D201" s="1">
        <f>SUM(PL!I201:L201)</f>
        <v>0</v>
      </c>
      <c r="E201" s="1">
        <f>SUM(C201:D201)</f>
        <v>0</v>
      </c>
      <c r="F201" s="1">
        <f>IF(C201 + F200 &lt; 0, C201 + F200, 0)</f>
        <v>0</v>
      </c>
      <c r="G201" s="1">
        <f>IF(D201 + G200 &lt; 0, D201 + G200, 0)</f>
        <v>0</v>
      </c>
      <c r="H201" s="1">
        <f>IF(E201 + H200 &lt; 0, E201 + H200, 0)</f>
        <v>0</v>
      </c>
      <c r="I201" s="1">
        <f>IF(H201 &lt; 0, 1 + I200, 0)</f>
        <v>0</v>
      </c>
      <c r="J201" s="1">
        <f>C201-((ABS(SUM(PL!E201:H201)))*0.125)</f>
        <v>0</v>
      </c>
      <c r="K201" s="1">
        <f>D201-((ABS(SUM(PL!I201:L201)))*0.125)</f>
        <v>0</v>
      </c>
      <c r="L201" s="1">
        <f>J201 + K201</f>
        <v>0</v>
      </c>
      <c r="M201" s="1">
        <f>IF(J201 + M200 &lt; 0, J201 + M200, 0)</f>
        <v>0</v>
      </c>
      <c r="N201" s="1">
        <f>IF(K201 + N200 &lt; 0, K201 + N200, 0)</f>
        <v>0</v>
      </c>
      <c r="O201" s="1">
        <f>IF(L201 + O200 &lt; 0, L201 + O200, 0)</f>
        <v>0</v>
      </c>
      <c r="P201" s="1">
        <f>IF(O201 &lt; 0, 1 + P200, 0)</f>
        <v>0</v>
      </c>
      <c r="Q201" s="1">
        <f>IF(E201&lt;0,1,0)</f>
        <v>0</v>
      </c>
      <c r="R201" s="1">
        <f>IF(Q201=1,E201,0)</f>
        <v>0</v>
      </c>
      <c r="S201" s="1">
        <f>IF(E201&gt;0,1,0)</f>
        <v>0</v>
      </c>
      <c r="T201" s="1">
        <f>IF(S201=1,E201,0)</f>
        <v>0</v>
      </c>
      <c r="U201" s="1">
        <f>IF(R201&lt;-100000000/100,1,0)</f>
        <v>0</v>
      </c>
      <c r="V201" s="1">
        <f>IF(T201&gt;100000000/100,1,0)</f>
        <v>0</v>
      </c>
      <c r="W201" s="1">
        <f>IF(L201&lt;0,1,0)</f>
        <v>0</v>
      </c>
      <c r="X201" s="1">
        <f>IF(W201=1,L201,0)</f>
        <v>0</v>
      </c>
      <c r="Y201" s="1">
        <f>IF(L201&gt;0,1,0)</f>
        <v>0</v>
      </c>
      <c r="Z201" s="1">
        <f>IF(Y201=1,L201,0)</f>
        <v>0</v>
      </c>
      <c r="AA201" s="1">
        <f>IF(X201&lt;-100000000/100,1,0)</f>
        <v>0</v>
      </c>
      <c r="AB201" s="1">
        <f>IF(Z201&gt;100000000/100,1,0)</f>
        <v>0</v>
      </c>
    </row>
    <row r="202" spans="1:28" s="1" customFormat="1">
      <c r="A202" s="3">
        <v>45224</v>
      </c>
      <c r="B202" s="2" t="s">
        <v>14</v>
      </c>
      <c r="C202" s="1">
        <f>SUM(PL!E202:H202)</f>
        <v>0</v>
      </c>
      <c r="D202" s="1">
        <f>SUM(PL!I202:L202)</f>
        <v>0</v>
      </c>
      <c r="E202" s="1">
        <f>SUM(C202:D202)</f>
        <v>0</v>
      </c>
      <c r="F202" s="1">
        <f>IF(C202 + F201 &lt; 0, C202 + F201, 0)</f>
        <v>0</v>
      </c>
      <c r="G202" s="1">
        <f>IF(D202 + G201 &lt; 0, D202 + G201, 0)</f>
        <v>0</v>
      </c>
      <c r="H202" s="1">
        <f>IF(E202 + H201 &lt; 0, E202 + H201, 0)</f>
        <v>0</v>
      </c>
      <c r="I202" s="1">
        <f>IF(H202 &lt; 0, 1 + I201, 0)</f>
        <v>0</v>
      </c>
      <c r="J202" s="1">
        <f>C202-((ABS(SUM(PL!E202:H202)))*0.125)</f>
        <v>0</v>
      </c>
      <c r="K202" s="1">
        <f>D202-((ABS(SUM(PL!I202:L202)))*0.125)</f>
        <v>0</v>
      </c>
      <c r="L202" s="1">
        <f>J202 + K202</f>
        <v>0</v>
      </c>
      <c r="M202" s="1">
        <f>IF(J202 + M201 &lt; 0, J202 + M201, 0)</f>
        <v>0</v>
      </c>
      <c r="N202" s="1">
        <f>IF(K202 + N201 &lt; 0, K202 + N201, 0)</f>
        <v>0</v>
      </c>
      <c r="O202" s="1">
        <f>IF(L202 + O201 &lt; 0, L202 + O201, 0)</f>
        <v>0</v>
      </c>
      <c r="P202" s="1">
        <f>IF(O202 &lt; 0, 1 + P201, 0)</f>
        <v>0</v>
      </c>
      <c r="Q202" s="1">
        <f>IF(E202&lt;0,1,0)</f>
        <v>0</v>
      </c>
      <c r="R202" s="1">
        <f>IF(Q202=1,E202,0)</f>
        <v>0</v>
      </c>
      <c r="S202" s="1">
        <f>IF(E202&gt;0,1,0)</f>
        <v>0</v>
      </c>
      <c r="T202" s="1">
        <f>IF(S202=1,E202,0)</f>
        <v>0</v>
      </c>
      <c r="U202" s="1">
        <f>IF(R202&lt;-100000000/100,1,0)</f>
        <v>0</v>
      </c>
      <c r="V202" s="1">
        <f>IF(T202&gt;100000000/100,1,0)</f>
        <v>0</v>
      </c>
      <c r="W202" s="1">
        <f>IF(L202&lt;0,1,0)</f>
        <v>0</v>
      </c>
      <c r="X202" s="1">
        <f>IF(W202=1,L202,0)</f>
        <v>0</v>
      </c>
      <c r="Y202" s="1">
        <f>IF(L202&gt;0,1,0)</f>
        <v>0</v>
      </c>
      <c r="Z202" s="1">
        <f>IF(Y202=1,L202,0)</f>
        <v>0</v>
      </c>
      <c r="AA202" s="1">
        <f>IF(X202&lt;-100000000/100,1,0)</f>
        <v>0</v>
      </c>
      <c r="AB202" s="1">
        <f>IF(Z202&gt;100000000/100,1,0)</f>
        <v>0</v>
      </c>
    </row>
    <row r="203" spans="1:28" s="1" customFormat="1">
      <c r="A203" s="3">
        <v>45225</v>
      </c>
      <c r="B203" s="2" t="s">
        <v>16</v>
      </c>
      <c r="C203" s="1">
        <f>SUM(PL!E203:H203)</f>
        <v>0</v>
      </c>
      <c r="D203" s="1">
        <f>SUM(PL!I203:L203)</f>
        <v>0</v>
      </c>
      <c r="E203" s="1">
        <f>SUM(C203:D203)</f>
        <v>0</v>
      </c>
      <c r="F203" s="1">
        <f>IF(C203 + F202 &lt; 0, C203 + F202, 0)</f>
        <v>0</v>
      </c>
      <c r="G203" s="1">
        <f>IF(D203 + G202 &lt; 0, D203 + G202, 0)</f>
        <v>0</v>
      </c>
      <c r="H203" s="1">
        <f>IF(E203 + H202 &lt; 0, E203 + H202, 0)</f>
        <v>0</v>
      </c>
      <c r="I203" s="1">
        <f>IF(H203 &lt; 0, 1 + I202, 0)</f>
        <v>0</v>
      </c>
      <c r="J203" s="1">
        <f>C203-((ABS(SUM(PL!E203:H203)))*0.125)</f>
        <v>0</v>
      </c>
      <c r="K203" s="1">
        <f>D203-((ABS(SUM(PL!I203:L203)))*0.125)</f>
        <v>0</v>
      </c>
      <c r="L203" s="1">
        <f>J203 + K203</f>
        <v>0</v>
      </c>
      <c r="M203" s="1">
        <f>IF(J203 + M202 &lt; 0, J203 + M202, 0)</f>
        <v>0</v>
      </c>
      <c r="N203" s="1">
        <f>IF(K203 + N202 &lt; 0, K203 + N202, 0)</f>
        <v>0</v>
      </c>
      <c r="O203" s="1">
        <f>IF(L203 + O202 &lt; 0, L203 + O202, 0)</f>
        <v>0</v>
      </c>
      <c r="P203" s="1">
        <f>IF(O203 &lt; 0, 1 + P202, 0)</f>
        <v>0</v>
      </c>
      <c r="Q203" s="1">
        <f>IF(E203&lt;0,1,0)</f>
        <v>0</v>
      </c>
      <c r="R203" s="1">
        <f>IF(Q203=1,E203,0)</f>
        <v>0</v>
      </c>
      <c r="S203" s="1">
        <f>IF(E203&gt;0,1,0)</f>
        <v>0</v>
      </c>
      <c r="T203" s="1">
        <f>IF(S203=1,E203,0)</f>
        <v>0</v>
      </c>
      <c r="U203" s="1">
        <f>IF(R203&lt;-100000000/100,1,0)</f>
        <v>0</v>
      </c>
      <c r="V203" s="1">
        <f>IF(T203&gt;100000000/100,1,0)</f>
        <v>0</v>
      </c>
      <c r="W203" s="1">
        <f>IF(L203&lt;0,1,0)</f>
        <v>0</v>
      </c>
      <c r="X203" s="1">
        <f>IF(W203=1,L203,0)</f>
        <v>0</v>
      </c>
      <c r="Y203" s="1">
        <f>IF(L203&gt;0,1,0)</f>
        <v>0</v>
      </c>
      <c r="Z203" s="1">
        <f>IF(Y203=1,L203,0)</f>
        <v>0</v>
      </c>
      <c r="AA203" s="1">
        <f>IF(X203&lt;-100000000/100,1,0)</f>
        <v>0</v>
      </c>
      <c r="AB203" s="1">
        <f>IF(Z203&gt;100000000/100,1,0)</f>
        <v>0</v>
      </c>
    </row>
    <row r="204" spans="1:28" s="1" customFormat="1">
      <c r="A204" s="3">
        <v>45229</v>
      </c>
      <c r="B204" s="2" t="s">
        <v>12</v>
      </c>
      <c r="C204" s="1">
        <f>SUM(PL!E204:H204)</f>
        <v>0</v>
      </c>
      <c r="D204" s="1">
        <f>SUM(PL!I204:L204)</f>
        <v>0</v>
      </c>
      <c r="E204" s="1">
        <f>SUM(C204:D204)</f>
        <v>0</v>
      </c>
      <c r="F204" s="1">
        <f>IF(C204 + F203 &lt; 0, C204 + F203, 0)</f>
        <v>0</v>
      </c>
      <c r="G204" s="1">
        <f>IF(D204 + G203 &lt; 0, D204 + G203, 0)</f>
        <v>0</v>
      </c>
      <c r="H204" s="1">
        <f>IF(E204 + H203 &lt; 0, E204 + H203, 0)</f>
        <v>0</v>
      </c>
      <c r="I204" s="1">
        <f>IF(H204 &lt; 0, 1 + I203, 0)</f>
        <v>0</v>
      </c>
      <c r="J204" s="1">
        <f>C204-((ABS(SUM(PL!E204:H204)))*0.125)</f>
        <v>0</v>
      </c>
      <c r="K204" s="1">
        <f>D204-((ABS(SUM(PL!I204:L204)))*0.125)</f>
        <v>0</v>
      </c>
      <c r="L204" s="1">
        <f>J204 + K204</f>
        <v>0</v>
      </c>
      <c r="M204" s="1">
        <f>IF(J204 + M203 &lt; 0, J204 + M203, 0)</f>
        <v>0</v>
      </c>
      <c r="N204" s="1">
        <f>IF(K204 + N203 &lt; 0, K204 + N203, 0)</f>
        <v>0</v>
      </c>
      <c r="O204" s="1">
        <f>IF(L204 + O203 &lt; 0, L204 + O203, 0)</f>
        <v>0</v>
      </c>
      <c r="P204" s="1">
        <f>IF(O204 &lt; 0, 1 + P203, 0)</f>
        <v>0</v>
      </c>
      <c r="Q204" s="1">
        <f>IF(E204&lt;0,1,0)</f>
        <v>0</v>
      </c>
      <c r="R204" s="1">
        <f>IF(Q204=1,E204,0)</f>
        <v>0</v>
      </c>
      <c r="S204" s="1">
        <f>IF(E204&gt;0,1,0)</f>
        <v>0</v>
      </c>
      <c r="T204" s="1">
        <f>IF(S204=1,E204,0)</f>
        <v>0</v>
      </c>
      <c r="U204" s="1">
        <f>IF(R204&lt;-100000000/100,1,0)</f>
        <v>0</v>
      </c>
      <c r="V204" s="1">
        <f>IF(T204&gt;100000000/100,1,0)</f>
        <v>0</v>
      </c>
      <c r="W204" s="1">
        <f>IF(L204&lt;0,1,0)</f>
        <v>0</v>
      </c>
      <c r="X204" s="1">
        <f>IF(W204=1,L204,0)</f>
        <v>0</v>
      </c>
      <c r="Y204" s="1">
        <f>IF(L204&gt;0,1,0)</f>
        <v>0</v>
      </c>
      <c r="Z204" s="1">
        <f>IF(Y204=1,L204,0)</f>
        <v>0</v>
      </c>
      <c r="AA204" s="1">
        <f>IF(X204&lt;-100000000/100,1,0)</f>
        <v>0</v>
      </c>
      <c r="AB204" s="1">
        <f>IF(Z204&gt;100000000/100,1,0)</f>
        <v>0</v>
      </c>
    </row>
    <row r="205" spans="1:28" s="1" customFormat="1">
      <c r="A205" s="3">
        <v>45230</v>
      </c>
      <c r="B205" s="2" t="s">
        <v>13</v>
      </c>
      <c r="C205" s="1">
        <f>SUM(PL!E205:H205)</f>
        <v>0</v>
      </c>
      <c r="D205" s="1">
        <f>SUM(PL!I205:L205)</f>
        <v>0</v>
      </c>
      <c r="E205" s="1">
        <f>SUM(C205:D205)</f>
        <v>0</v>
      </c>
      <c r="F205" s="1">
        <f>IF(C205 + F204 &lt; 0, C205 + F204, 0)</f>
        <v>0</v>
      </c>
      <c r="G205" s="1">
        <f>IF(D205 + G204 &lt; 0, D205 + G204, 0)</f>
        <v>0</v>
      </c>
      <c r="H205" s="1">
        <f>IF(E205 + H204 &lt; 0, E205 + H204, 0)</f>
        <v>0</v>
      </c>
      <c r="I205" s="1">
        <f>IF(H205 &lt; 0, 1 + I204, 0)</f>
        <v>0</v>
      </c>
      <c r="J205" s="1">
        <f>C205-((ABS(SUM(PL!E205:H205)))*0.125)</f>
        <v>0</v>
      </c>
      <c r="K205" s="1">
        <f>D205-((ABS(SUM(PL!I205:L205)))*0.125)</f>
        <v>0</v>
      </c>
      <c r="L205" s="1">
        <f>J205 + K205</f>
        <v>0</v>
      </c>
      <c r="M205" s="1">
        <f>IF(J205 + M204 &lt; 0, J205 + M204, 0)</f>
        <v>0</v>
      </c>
      <c r="N205" s="1">
        <f>IF(K205 + N204 &lt; 0, K205 + N204, 0)</f>
        <v>0</v>
      </c>
      <c r="O205" s="1">
        <f>IF(L205 + O204 &lt; 0, L205 + O204, 0)</f>
        <v>0</v>
      </c>
      <c r="P205" s="1">
        <f>IF(O205 &lt; 0, 1 + P204, 0)</f>
        <v>0</v>
      </c>
      <c r="Q205" s="1">
        <f>IF(E205&lt;0,1,0)</f>
        <v>0</v>
      </c>
      <c r="R205" s="1">
        <f>IF(Q205=1,E205,0)</f>
        <v>0</v>
      </c>
      <c r="S205" s="1">
        <f>IF(E205&gt;0,1,0)</f>
        <v>0</v>
      </c>
      <c r="T205" s="1">
        <f>IF(S205=1,E205,0)</f>
        <v>0</v>
      </c>
      <c r="U205" s="1">
        <f>IF(R205&lt;-100000000/100,1,0)</f>
        <v>0</v>
      </c>
      <c r="V205" s="1">
        <f>IF(T205&gt;100000000/100,1,0)</f>
        <v>0</v>
      </c>
      <c r="W205" s="1">
        <f>IF(L205&lt;0,1,0)</f>
        <v>0</v>
      </c>
      <c r="X205" s="1">
        <f>IF(W205=1,L205,0)</f>
        <v>0</v>
      </c>
      <c r="Y205" s="1">
        <f>IF(L205&gt;0,1,0)</f>
        <v>0</v>
      </c>
      <c r="Z205" s="1">
        <f>IF(Y205=1,L205,0)</f>
        <v>0</v>
      </c>
      <c r="AA205" s="1">
        <f>IF(X205&lt;-100000000/100,1,0)</f>
        <v>0</v>
      </c>
      <c r="AB205" s="1">
        <f>IF(Z205&gt;100000000/100,1,0)</f>
        <v>0</v>
      </c>
    </row>
    <row r="206" spans="1:28" s="1" customFormat="1">
      <c r="A206" s="3">
        <v>45231</v>
      </c>
      <c r="B206" s="2" t="s">
        <v>14</v>
      </c>
      <c r="C206" s="1">
        <f>SUM(PL!E206:H206)</f>
        <v>0</v>
      </c>
      <c r="D206" s="1">
        <f>SUM(PL!I206:L206)</f>
        <v>0</v>
      </c>
      <c r="E206" s="1">
        <f>SUM(C206:D206)</f>
        <v>0</v>
      </c>
      <c r="F206" s="1">
        <f>IF(C206 + F205 &lt; 0, C206 + F205, 0)</f>
        <v>0</v>
      </c>
      <c r="G206" s="1">
        <f>IF(D206 + G205 &lt; 0, D206 + G205, 0)</f>
        <v>0</v>
      </c>
      <c r="H206" s="1">
        <f>IF(E206 + H205 &lt; 0, E206 + H205, 0)</f>
        <v>0</v>
      </c>
      <c r="I206" s="1">
        <f>IF(H206 &lt; 0, 1 + I205, 0)</f>
        <v>0</v>
      </c>
      <c r="J206" s="1">
        <f>C206-((ABS(SUM(PL!E206:H206)))*0.125)</f>
        <v>0</v>
      </c>
      <c r="K206" s="1">
        <f>D206-((ABS(SUM(PL!I206:L206)))*0.125)</f>
        <v>0</v>
      </c>
      <c r="L206" s="1">
        <f>J206 + K206</f>
        <v>0</v>
      </c>
      <c r="M206" s="1">
        <f>IF(J206 + M205 &lt; 0, J206 + M205, 0)</f>
        <v>0</v>
      </c>
      <c r="N206" s="1">
        <f>IF(K206 + N205 &lt; 0, K206 + N205, 0)</f>
        <v>0</v>
      </c>
      <c r="O206" s="1">
        <f>IF(L206 + O205 &lt; 0, L206 + O205, 0)</f>
        <v>0</v>
      </c>
      <c r="P206" s="1">
        <f>IF(O206 &lt; 0, 1 + P205, 0)</f>
        <v>0</v>
      </c>
      <c r="Q206" s="1">
        <f>IF(E206&lt;0,1,0)</f>
        <v>0</v>
      </c>
      <c r="R206" s="1">
        <f>IF(Q206=1,E206,0)</f>
        <v>0</v>
      </c>
      <c r="S206" s="1">
        <f>IF(E206&gt;0,1,0)</f>
        <v>0</v>
      </c>
      <c r="T206" s="1">
        <f>IF(S206=1,E206,0)</f>
        <v>0</v>
      </c>
      <c r="U206" s="1">
        <f>IF(R206&lt;-100000000/100,1,0)</f>
        <v>0</v>
      </c>
      <c r="V206" s="1">
        <f>IF(T206&gt;100000000/100,1,0)</f>
        <v>0</v>
      </c>
      <c r="W206" s="1">
        <f>IF(L206&lt;0,1,0)</f>
        <v>0</v>
      </c>
      <c r="X206" s="1">
        <f>IF(W206=1,L206,0)</f>
        <v>0</v>
      </c>
      <c r="Y206" s="1">
        <f>IF(L206&gt;0,1,0)</f>
        <v>0</v>
      </c>
      <c r="Z206" s="1">
        <f>IF(Y206=1,L206,0)</f>
        <v>0</v>
      </c>
      <c r="AA206" s="1">
        <f>IF(X206&lt;-100000000/100,1,0)</f>
        <v>0</v>
      </c>
      <c r="AB206" s="1">
        <f>IF(Z206&gt;100000000/100,1,0)</f>
        <v>0</v>
      </c>
    </row>
    <row r="207" spans="1:28" s="1" customFormat="1">
      <c r="A207" s="3">
        <v>45232</v>
      </c>
      <c r="B207" s="2" t="s">
        <v>16</v>
      </c>
      <c r="C207" s="1">
        <f>SUM(PL!E207:H207)</f>
        <v>0</v>
      </c>
      <c r="D207" s="1">
        <f>SUM(PL!I207:L207)</f>
        <v>0</v>
      </c>
      <c r="E207" s="1">
        <f>SUM(C207:D207)</f>
        <v>0</v>
      </c>
      <c r="F207" s="1">
        <f>IF(C207 + F206 &lt; 0, C207 + F206, 0)</f>
        <v>0</v>
      </c>
      <c r="G207" s="1">
        <f>IF(D207 + G206 &lt; 0, D207 + G206, 0)</f>
        <v>0</v>
      </c>
      <c r="H207" s="1">
        <f>IF(E207 + H206 &lt; 0, E207 + H206, 0)</f>
        <v>0</v>
      </c>
      <c r="I207" s="1">
        <f>IF(H207 &lt; 0, 1 + I206, 0)</f>
        <v>0</v>
      </c>
      <c r="J207" s="1">
        <f>C207-((ABS(SUM(PL!E207:H207)))*0.125)</f>
        <v>0</v>
      </c>
      <c r="K207" s="1">
        <f>D207-((ABS(SUM(PL!I207:L207)))*0.125)</f>
        <v>0</v>
      </c>
      <c r="L207" s="1">
        <f>J207 + K207</f>
        <v>0</v>
      </c>
      <c r="M207" s="1">
        <f>IF(J207 + M206 &lt; 0, J207 + M206, 0)</f>
        <v>0</v>
      </c>
      <c r="N207" s="1">
        <f>IF(K207 + N206 &lt; 0, K207 + N206, 0)</f>
        <v>0</v>
      </c>
      <c r="O207" s="1">
        <f>IF(L207 + O206 &lt; 0, L207 + O206, 0)</f>
        <v>0</v>
      </c>
      <c r="P207" s="1">
        <f>IF(O207 &lt; 0, 1 + P206, 0)</f>
        <v>0</v>
      </c>
      <c r="Q207" s="1">
        <f>IF(E207&lt;0,1,0)</f>
        <v>0</v>
      </c>
      <c r="R207" s="1">
        <f>IF(Q207=1,E207,0)</f>
        <v>0</v>
      </c>
      <c r="S207" s="1">
        <f>IF(E207&gt;0,1,0)</f>
        <v>0</v>
      </c>
      <c r="T207" s="1">
        <f>IF(S207=1,E207,0)</f>
        <v>0</v>
      </c>
      <c r="U207" s="1">
        <f>IF(R207&lt;-100000000/100,1,0)</f>
        <v>0</v>
      </c>
      <c r="V207" s="1">
        <f>IF(T207&gt;100000000/100,1,0)</f>
        <v>0</v>
      </c>
      <c r="W207" s="1">
        <f>IF(L207&lt;0,1,0)</f>
        <v>0</v>
      </c>
      <c r="X207" s="1">
        <f>IF(W207=1,L207,0)</f>
        <v>0</v>
      </c>
      <c r="Y207" s="1">
        <f>IF(L207&gt;0,1,0)</f>
        <v>0</v>
      </c>
      <c r="Z207" s="1">
        <f>IF(Y207=1,L207,0)</f>
        <v>0</v>
      </c>
      <c r="AA207" s="1">
        <f>IF(X207&lt;-100000000/100,1,0)</f>
        <v>0</v>
      </c>
      <c r="AB207" s="1">
        <f>IF(Z207&gt;100000000/100,1,0)</f>
        <v>0</v>
      </c>
    </row>
    <row r="208" spans="1:28" s="1" customFormat="1">
      <c r="A208" s="3">
        <v>45233</v>
      </c>
      <c r="B208" s="2" t="s">
        <v>15</v>
      </c>
      <c r="C208" s="1">
        <f>SUM(PL!E208:H208)</f>
        <v>0</v>
      </c>
      <c r="D208" s="1">
        <f>SUM(PL!I208:L208)</f>
        <v>0</v>
      </c>
      <c r="E208" s="1">
        <f>SUM(C208:D208)</f>
        <v>0</v>
      </c>
      <c r="F208" s="1">
        <f>IF(C208 + F207 &lt; 0, C208 + F207, 0)</f>
        <v>0</v>
      </c>
      <c r="G208" s="1">
        <f>IF(D208 + G207 &lt; 0, D208 + G207, 0)</f>
        <v>0</v>
      </c>
      <c r="H208" s="1">
        <f>IF(E208 + H207 &lt; 0, E208 + H207, 0)</f>
        <v>0</v>
      </c>
      <c r="I208" s="1">
        <f>IF(H208 &lt; 0, 1 + I207, 0)</f>
        <v>0</v>
      </c>
      <c r="J208" s="1">
        <f>C208-((ABS(SUM(PL!E208:H208)))*0.125)</f>
        <v>0</v>
      </c>
      <c r="K208" s="1">
        <f>D208-((ABS(SUM(PL!I208:L208)))*0.125)</f>
        <v>0</v>
      </c>
      <c r="L208" s="1">
        <f>J208 + K208</f>
        <v>0</v>
      </c>
      <c r="M208" s="1">
        <f>IF(J208 + M207 &lt; 0, J208 + M207, 0)</f>
        <v>0</v>
      </c>
      <c r="N208" s="1">
        <f>IF(K208 + N207 &lt; 0, K208 + N207, 0)</f>
        <v>0</v>
      </c>
      <c r="O208" s="1">
        <f>IF(L208 + O207 &lt; 0, L208 + O207, 0)</f>
        <v>0</v>
      </c>
      <c r="P208" s="1">
        <f>IF(O208 &lt; 0, 1 + P207, 0)</f>
        <v>0</v>
      </c>
      <c r="Q208" s="1">
        <f>IF(E208&lt;0,1,0)</f>
        <v>0</v>
      </c>
      <c r="R208" s="1">
        <f>IF(Q208=1,E208,0)</f>
        <v>0</v>
      </c>
      <c r="S208" s="1">
        <f>IF(E208&gt;0,1,0)</f>
        <v>0</v>
      </c>
      <c r="T208" s="1">
        <f>IF(S208=1,E208,0)</f>
        <v>0</v>
      </c>
      <c r="U208" s="1">
        <f>IF(R208&lt;-100000000/100,1,0)</f>
        <v>0</v>
      </c>
      <c r="V208" s="1">
        <f>IF(T208&gt;100000000/100,1,0)</f>
        <v>0</v>
      </c>
      <c r="W208" s="1">
        <f>IF(L208&lt;0,1,0)</f>
        <v>0</v>
      </c>
      <c r="X208" s="1">
        <f>IF(W208=1,L208,0)</f>
        <v>0</v>
      </c>
      <c r="Y208" s="1">
        <f>IF(L208&gt;0,1,0)</f>
        <v>0</v>
      </c>
      <c r="Z208" s="1">
        <f>IF(Y208=1,L208,0)</f>
        <v>0</v>
      </c>
      <c r="AA208" s="1">
        <f>IF(X208&lt;-100000000/100,1,0)</f>
        <v>0</v>
      </c>
      <c r="AB208" s="1">
        <f>IF(Z208&gt;100000000/100,1,0)</f>
        <v>0</v>
      </c>
    </row>
    <row r="209" spans="1:28" s="1" customFormat="1">
      <c r="A209" s="3">
        <v>45237</v>
      </c>
      <c r="B209" s="2" t="s">
        <v>13</v>
      </c>
      <c r="C209" s="1">
        <f>SUM(PL!E209:H209)</f>
        <v>0</v>
      </c>
      <c r="D209" s="1">
        <f>SUM(PL!I209:L209)</f>
        <v>0</v>
      </c>
      <c r="E209" s="1">
        <f>SUM(C209:D209)</f>
        <v>0</v>
      </c>
      <c r="F209" s="1">
        <f>IF(C209 + F208 &lt; 0, C209 + F208, 0)</f>
        <v>0</v>
      </c>
      <c r="G209" s="1">
        <f>IF(D209 + G208 &lt; 0, D209 + G208, 0)</f>
        <v>0</v>
      </c>
      <c r="H209" s="1">
        <f>IF(E209 + H208 &lt; 0, E209 + H208, 0)</f>
        <v>0</v>
      </c>
      <c r="I209" s="1">
        <f>IF(H209 &lt; 0, 1 + I208, 0)</f>
        <v>0</v>
      </c>
      <c r="J209" s="1">
        <f>C209-((ABS(SUM(PL!E209:H209)))*0.125)</f>
        <v>0</v>
      </c>
      <c r="K209" s="1">
        <f>D209-((ABS(SUM(PL!I209:L209)))*0.125)</f>
        <v>0</v>
      </c>
      <c r="L209" s="1">
        <f>J209 + K209</f>
        <v>0</v>
      </c>
      <c r="M209" s="1">
        <f>IF(J209 + M208 &lt; 0, J209 + M208, 0)</f>
        <v>0</v>
      </c>
      <c r="N209" s="1">
        <f>IF(K209 + N208 &lt; 0, K209 + N208, 0)</f>
        <v>0</v>
      </c>
      <c r="O209" s="1">
        <f>IF(L209 + O208 &lt; 0, L209 + O208, 0)</f>
        <v>0</v>
      </c>
      <c r="P209" s="1">
        <f>IF(O209 &lt; 0, 1 + P208, 0)</f>
        <v>0</v>
      </c>
      <c r="Q209" s="1">
        <f>IF(E209&lt;0,1,0)</f>
        <v>0</v>
      </c>
      <c r="R209" s="1">
        <f>IF(Q209=1,E209,0)</f>
        <v>0</v>
      </c>
      <c r="S209" s="1">
        <f>IF(E209&gt;0,1,0)</f>
        <v>0</v>
      </c>
      <c r="T209" s="1">
        <f>IF(S209=1,E209,0)</f>
        <v>0</v>
      </c>
      <c r="U209" s="1">
        <f>IF(R209&lt;-100000000/100,1,0)</f>
        <v>0</v>
      </c>
      <c r="V209" s="1">
        <f>IF(T209&gt;100000000/100,1,0)</f>
        <v>0</v>
      </c>
      <c r="W209" s="1">
        <f>IF(L209&lt;0,1,0)</f>
        <v>0</v>
      </c>
      <c r="X209" s="1">
        <f>IF(W209=1,L209,0)</f>
        <v>0</v>
      </c>
      <c r="Y209" s="1">
        <f>IF(L209&gt;0,1,0)</f>
        <v>0</v>
      </c>
      <c r="Z209" s="1">
        <f>IF(Y209=1,L209,0)</f>
        <v>0</v>
      </c>
      <c r="AA209" s="1">
        <f>IF(X209&lt;-100000000/100,1,0)</f>
        <v>0</v>
      </c>
      <c r="AB209" s="1">
        <f>IF(Z209&gt;100000000/100,1,0)</f>
        <v>0</v>
      </c>
    </row>
    <row r="210" spans="1:28" s="1" customFormat="1">
      <c r="A210" s="3">
        <v>45239</v>
      </c>
      <c r="B210" s="2" t="s">
        <v>16</v>
      </c>
      <c r="C210" s="1">
        <f>SUM(PL!E210:H210)</f>
        <v>0</v>
      </c>
      <c r="D210" s="1">
        <f>SUM(PL!I210:L210)</f>
        <v>0</v>
      </c>
      <c r="E210" s="1">
        <f>SUM(C210:D210)</f>
        <v>0</v>
      </c>
      <c r="F210" s="1">
        <f>IF(C210 + F209 &lt; 0, C210 + F209, 0)</f>
        <v>0</v>
      </c>
      <c r="G210" s="1">
        <f>IF(D210 + G209 &lt; 0, D210 + G209, 0)</f>
        <v>0</v>
      </c>
      <c r="H210" s="1">
        <f>IF(E210 + H209 &lt; 0, E210 + H209, 0)</f>
        <v>0</v>
      </c>
      <c r="I210" s="1">
        <f>IF(H210 &lt; 0, 1 + I209, 0)</f>
        <v>0</v>
      </c>
      <c r="J210" s="1">
        <f>C210-((ABS(SUM(PL!E210:H210)))*0.125)</f>
        <v>0</v>
      </c>
      <c r="K210" s="1">
        <f>D210-((ABS(SUM(PL!I210:L210)))*0.125)</f>
        <v>0</v>
      </c>
      <c r="L210" s="1">
        <f>J210 + K210</f>
        <v>0</v>
      </c>
      <c r="M210" s="1">
        <f>IF(J210 + M209 &lt; 0, J210 + M209, 0)</f>
        <v>0</v>
      </c>
      <c r="N210" s="1">
        <f>IF(K210 + N209 &lt; 0, K210 + N209, 0)</f>
        <v>0</v>
      </c>
      <c r="O210" s="1">
        <f>IF(L210 + O209 &lt; 0, L210 + O209, 0)</f>
        <v>0</v>
      </c>
      <c r="P210" s="1">
        <f>IF(O210 &lt; 0, 1 + P209, 0)</f>
        <v>0</v>
      </c>
      <c r="Q210" s="1">
        <f>IF(E210&lt;0,1,0)</f>
        <v>0</v>
      </c>
      <c r="R210" s="1">
        <f>IF(Q210=1,E210,0)</f>
        <v>0</v>
      </c>
      <c r="S210" s="1">
        <f>IF(E210&gt;0,1,0)</f>
        <v>0</v>
      </c>
      <c r="T210" s="1">
        <f>IF(S210=1,E210,0)</f>
        <v>0</v>
      </c>
      <c r="U210" s="1">
        <f>IF(R210&lt;-100000000/100,1,0)</f>
        <v>0</v>
      </c>
      <c r="V210" s="1">
        <f>IF(T210&gt;100000000/100,1,0)</f>
        <v>0</v>
      </c>
      <c r="W210" s="1">
        <f>IF(L210&lt;0,1,0)</f>
        <v>0</v>
      </c>
      <c r="X210" s="1">
        <f>IF(W210=1,L210,0)</f>
        <v>0</v>
      </c>
      <c r="Y210" s="1">
        <f>IF(L210&gt;0,1,0)</f>
        <v>0</v>
      </c>
      <c r="Z210" s="1">
        <f>IF(Y210=1,L210,0)</f>
        <v>0</v>
      </c>
      <c r="AA210" s="1">
        <f>IF(X210&lt;-100000000/100,1,0)</f>
        <v>0</v>
      </c>
      <c r="AB210" s="1">
        <f>IF(Z210&gt;100000000/100,1,0)</f>
        <v>0</v>
      </c>
    </row>
    <row r="211" spans="1:28" s="1" customFormat="1">
      <c r="A211" s="3">
        <v>45240</v>
      </c>
      <c r="B211" s="2" t="s">
        <v>15</v>
      </c>
      <c r="C211" s="1">
        <f>SUM(PL!E211:H211)</f>
        <v>0</v>
      </c>
      <c r="D211" s="1">
        <f>SUM(PL!I211:L211)</f>
        <v>0</v>
      </c>
      <c r="E211" s="1">
        <f>SUM(C211:D211)</f>
        <v>0</v>
      </c>
      <c r="F211" s="1">
        <f>IF(C211 + F210 &lt; 0, C211 + F210, 0)</f>
        <v>0</v>
      </c>
      <c r="G211" s="1">
        <f>IF(D211 + G210 &lt; 0, D211 + G210, 0)</f>
        <v>0</v>
      </c>
      <c r="H211" s="1">
        <f>IF(E211 + H210 &lt; 0, E211 + H210, 0)</f>
        <v>0</v>
      </c>
      <c r="I211" s="1">
        <f>IF(H211 &lt; 0, 1 + I210, 0)</f>
        <v>0</v>
      </c>
      <c r="J211" s="1">
        <f>C211-((ABS(SUM(PL!E211:H211)))*0.125)</f>
        <v>0</v>
      </c>
      <c r="K211" s="1">
        <f>D211-((ABS(SUM(PL!I211:L211)))*0.125)</f>
        <v>0</v>
      </c>
      <c r="L211" s="1">
        <f>J211 + K211</f>
        <v>0</v>
      </c>
      <c r="M211" s="1">
        <f>IF(J211 + M210 &lt; 0, J211 + M210, 0)</f>
        <v>0</v>
      </c>
      <c r="N211" s="1">
        <f>IF(K211 + N210 &lt; 0, K211 + N210, 0)</f>
        <v>0</v>
      </c>
      <c r="O211" s="1">
        <f>IF(L211 + O210 &lt; 0, L211 + O210, 0)</f>
        <v>0</v>
      </c>
      <c r="P211" s="1">
        <f>IF(O211 &lt; 0, 1 + P210, 0)</f>
        <v>0</v>
      </c>
      <c r="Q211" s="1">
        <f>IF(E211&lt;0,1,0)</f>
        <v>0</v>
      </c>
      <c r="R211" s="1">
        <f>IF(Q211=1,E211,0)</f>
        <v>0</v>
      </c>
      <c r="S211" s="1">
        <f>IF(E211&gt;0,1,0)</f>
        <v>0</v>
      </c>
      <c r="T211" s="1">
        <f>IF(S211=1,E211,0)</f>
        <v>0</v>
      </c>
      <c r="U211" s="1">
        <f>IF(R211&lt;-100000000/100,1,0)</f>
        <v>0</v>
      </c>
      <c r="V211" s="1">
        <f>IF(T211&gt;100000000/100,1,0)</f>
        <v>0</v>
      </c>
      <c r="W211" s="1">
        <f>IF(L211&lt;0,1,0)</f>
        <v>0</v>
      </c>
      <c r="X211" s="1">
        <f>IF(W211=1,L211,0)</f>
        <v>0</v>
      </c>
      <c r="Y211" s="1">
        <f>IF(L211&gt;0,1,0)</f>
        <v>0</v>
      </c>
      <c r="Z211" s="1">
        <f>IF(Y211=1,L211,0)</f>
        <v>0</v>
      </c>
      <c r="AA211" s="1">
        <f>IF(X211&lt;-100000000/100,1,0)</f>
        <v>0</v>
      </c>
      <c r="AB211" s="1">
        <f>IF(Z211&gt;100000000/100,1,0)</f>
        <v>0</v>
      </c>
    </row>
    <row r="212" spans="1:28" s="1" customFormat="1">
      <c r="A212" s="3">
        <v>45242</v>
      </c>
      <c r="B212" s="2" t="s">
        <v>17</v>
      </c>
      <c r="C212" s="1">
        <f>SUM(PL!E212:H212)</f>
        <v>0</v>
      </c>
      <c r="D212" s="1">
        <f>SUM(PL!I212:L212)</f>
        <v>0</v>
      </c>
      <c r="E212" s="1">
        <f>SUM(C212:D212)</f>
        <v>0</v>
      </c>
      <c r="F212" s="1">
        <f>IF(C212 + F211 &lt; 0, C212 + F211, 0)</f>
        <v>0</v>
      </c>
      <c r="G212" s="1">
        <f>IF(D212 + G211 &lt; 0, D212 + G211, 0)</f>
        <v>0</v>
      </c>
      <c r="H212" s="1">
        <f>IF(E212 + H211 &lt; 0, E212 + H211, 0)</f>
        <v>0</v>
      </c>
      <c r="I212" s="1">
        <f>IF(H212 &lt; 0, 1 + I211, 0)</f>
        <v>0</v>
      </c>
      <c r="J212" s="1">
        <f>C212-((ABS(SUM(PL!E212:H212)))*0.125)</f>
        <v>0</v>
      </c>
      <c r="K212" s="1">
        <f>D212-((ABS(SUM(PL!I212:L212)))*0.125)</f>
        <v>0</v>
      </c>
      <c r="L212" s="1">
        <f>J212 + K212</f>
        <v>0</v>
      </c>
      <c r="M212" s="1">
        <f>IF(J212 + M211 &lt; 0, J212 + M211, 0)</f>
        <v>0</v>
      </c>
      <c r="N212" s="1">
        <f>IF(K212 + N211 &lt; 0, K212 + N211, 0)</f>
        <v>0</v>
      </c>
      <c r="O212" s="1">
        <f>IF(L212 + O211 &lt; 0, L212 + O211, 0)</f>
        <v>0</v>
      </c>
      <c r="P212" s="1">
        <f>IF(O212 &lt; 0, 1 + P211, 0)</f>
        <v>0</v>
      </c>
      <c r="Q212" s="1">
        <f>IF(E212&lt;0,1,0)</f>
        <v>0</v>
      </c>
      <c r="R212" s="1">
        <f>IF(Q212=1,E212,0)</f>
        <v>0</v>
      </c>
      <c r="S212" s="1">
        <f>IF(E212&gt;0,1,0)</f>
        <v>0</v>
      </c>
      <c r="T212" s="1">
        <f>IF(S212=1,E212,0)</f>
        <v>0</v>
      </c>
      <c r="U212" s="1">
        <f>IF(R212&lt;-100000000/100,1,0)</f>
        <v>0</v>
      </c>
      <c r="V212" s="1">
        <f>IF(T212&gt;100000000/100,1,0)</f>
        <v>0</v>
      </c>
      <c r="W212" s="1">
        <f>IF(L212&lt;0,1,0)</f>
        <v>0</v>
      </c>
      <c r="X212" s="1">
        <f>IF(W212=1,L212,0)</f>
        <v>0</v>
      </c>
      <c r="Y212" s="1">
        <f>IF(L212&gt;0,1,0)</f>
        <v>0</v>
      </c>
      <c r="Z212" s="1">
        <f>IF(Y212=1,L212,0)</f>
        <v>0</v>
      </c>
      <c r="AA212" s="1">
        <f>IF(X212&lt;-100000000/100,1,0)</f>
        <v>0</v>
      </c>
      <c r="AB212" s="1">
        <f>IF(Z212&gt;100000000/100,1,0)</f>
        <v>0</v>
      </c>
    </row>
    <row r="213" spans="1:28" s="1" customFormat="1">
      <c r="A213" s="3">
        <v>45246</v>
      </c>
      <c r="B213" s="2" t="s">
        <v>16</v>
      </c>
      <c r="C213" s="1">
        <f>SUM(PL!E213:H213)</f>
        <v>0</v>
      </c>
      <c r="D213" s="1">
        <f>SUM(PL!I213:L213)</f>
        <v>0</v>
      </c>
      <c r="E213" s="1">
        <f>SUM(C213:D213)</f>
        <v>0</v>
      </c>
      <c r="F213" s="1">
        <f>IF(C213 + F212 &lt; 0, C213 + F212, 0)</f>
        <v>0</v>
      </c>
      <c r="G213" s="1">
        <f>IF(D213 + G212 &lt; 0, D213 + G212, 0)</f>
        <v>0</v>
      </c>
      <c r="H213" s="1">
        <f>IF(E213 + H212 &lt; 0, E213 + H212, 0)</f>
        <v>0</v>
      </c>
      <c r="I213" s="1">
        <f>IF(H213 &lt; 0, 1 + I212, 0)</f>
        <v>0</v>
      </c>
      <c r="J213" s="1">
        <f>C213-((ABS(SUM(PL!E213:H213)))*0.125)</f>
        <v>0</v>
      </c>
      <c r="K213" s="1">
        <f>D213-((ABS(SUM(PL!I213:L213)))*0.125)</f>
        <v>0</v>
      </c>
      <c r="L213" s="1">
        <f>J213 + K213</f>
        <v>0</v>
      </c>
      <c r="M213" s="1">
        <f>IF(J213 + M212 &lt; 0, J213 + M212, 0)</f>
        <v>0</v>
      </c>
      <c r="N213" s="1">
        <f>IF(K213 + N212 &lt; 0, K213 + N212, 0)</f>
        <v>0</v>
      </c>
      <c r="O213" s="1">
        <f>IF(L213 + O212 &lt; 0, L213 + O212, 0)</f>
        <v>0</v>
      </c>
      <c r="P213" s="1">
        <f>IF(O213 &lt; 0, 1 + P212, 0)</f>
        <v>0</v>
      </c>
      <c r="Q213" s="1">
        <f>IF(E213&lt;0,1,0)</f>
        <v>0</v>
      </c>
      <c r="R213" s="1">
        <f>IF(Q213=1,E213,0)</f>
        <v>0</v>
      </c>
      <c r="S213" s="1">
        <f>IF(E213&gt;0,1,0)</f>
        <v>0</v>
      </c>
      <c r="T213" s="1">
        <f>IF(S213=1,E213,0)</f>
        <v>0</v>
      </c>
      <c r="U213" s="1">
        <f>IF(R213&lt;-100000000/100,1,0)</f>
        <v>0</v>
      </c>
      <c r="V213" s="1">
        <f>IF(T213&gt;100000000/100,1,0)</f>
        <v>0</v>
      </c>
      <c r="W213" s="1">
        <f>IF(L213&lt;0,1,0)</f>
        <v>0</v>
      </c>
      <c r="X213" s="1">
        <f>IF(W213=1,L213,0)</f>
        <v>0</v>
      </c>
      <c r="Y213" s="1">
        <f>IF(L213&gt;0,1,0)</f>
        <v>0</v>
      </c>
      <c r="Z213" s="1">
        <f>IF(Y213=1,L213,0)</f>
        <v>0</v>
      </c>
      <c r="AA213" s="1">
        <f>IF(X213&lt;-100000000/100,1,0)</f>
        <v>0</v>
      </c>
      <c r="AB213" s="1">
        <f>IF(Z213&gt;100000000/100,1,0)</f>
        <v>0</v>
      </c>
    </row>
    <row r="214" spans="1:28" s="1" customFormat="1">
      <c r="A214" s="3">
        <v>45247</v>
      </c>
      <c r="B214" s="2" t="s">
        <v>15</v>
      </c>
      <c r="C214" s="1">
        <f>SUM(PL!E214:H214)</f>
        <v>0</v>
      </c>
      <c r="D214" s="1">
        <f>SUM(PL!I214:L214)</f>
        <v>0</v>
      </c>
      <c r="E214" s="1">
        <f>SUM(C214:D214)</f>
        <v>0</v>
      </c>
      <c r="F214" s="1">
        <f>IF(C214 + F213 &lt; 0, C214 + F213, 0)</f>
        <v>0</v>
      </c>
      <c r="G214" s="1">
        <f>IF(D214 + G213 &lt; 0, D214 + G213, 0)</f>
        <v>0</v>
      </c>
      <c r="H214" s="1">
        <f>IF(E214 + H213 &lt; 0, E214 + H213, 0)</f>
        <v>0</v>
      </c>
      <c r="I214" s="1">
        <f>IF(H214 &lt; 0, 1 + I213, 0)</f>
        <v>0</v>
      </c>
      <c r="J214" s="1">
        <f>C214-((ABS(SUM(PL!E214:H214)))*0.125)</f>
        <v>0</v>
      </c>
      <c r="K214" s="1">
        <f>D214-((ABS(SUM(PL!I214:L214)))*0.125)</f>
        <v>0</v>
      </c>
      <c r="L214" s="1">
        <f>J214 + K214</f>
        <v>0</v>
      </c>
      <c r="M214" s="1">
        <f>IF(J214 + M213 &lt; 0, J214 + M213, 0)</f>
        <v>0</v>
      </c>
      <c r="N214" s="1">
        <f>IF(K214 + N213 &lt; 0, K214 + N213, 0)</f>
        <v>0</v>
      </c>
      <c r="O214" s="1">
        <f>IF(L214 + O213 &lt; 0, L214 + O213, 0)</f>
        <v>0</v>
      </c>
      <c r="P214" s="1">
        <f>IF(O214 &lt; 0, 1 + P213, 0)</f>
        <v>0</v>
      </c>
      <c r="Q214" s="1">
        <f>IF(E214&lt;0,1,0)</f>
        <v>0</v>
      </c>
      <c r="R214" s="1">
        <f>IF(Q214=1,E214,0)</f>
        <v>0</v>
      </c>
      <c r="S214" s="1">
        <f>IF(E214&gt;0,1,0)</f>
        <v>0</v>
      </c>
      <c r="T214" s="1">
        <f>IF(S214=1,E214,0)</f>
        <v>0</v>
      </c>
      <c r="U214" s="1">
        <f>IF(R214&lt;-100000000/100,1,0)</f>
        <v>0</v>
      </c>
      <c r="V214" s="1">
        <f>IF(T214&gt;100000000/100,1,0)</f>
        <v>0</v>
      </c>
      <c r="W214" s="1">
        <f>IF(L214&lt;0,1,0)</f>
        <v>0</v>
      </c>
      <c r="X214" s="1">
        <f>IF(W214=1,L214,0)</f>
        <v>0</v>
      </c>
      <c r="Y214" s="1">
        <f>IF(L214&gt;0,1,0)</f>
        <v>0</v>
      </c>
      <c r="Z214" s="1">
        <f>IF(Y214=1,L214,0)</f>
        <v>0</v>
      </c>
      <c r="AA214" s="1">
        <f>IF(X214&lt;-100000000/100,1,0)</f>
        <v>0</v>
      </c>
      <c r="AB214" s="1">
        <f>IF(Z214&gt;100000000/100,1,0)</f>
        <v>0</v>
      </c>
    </row>
    <row r="215" spans="1:28" s="1" customFormat="1">
      <c r="A215" s="3">
        <v>45251</v>
      </c>
      <c r="B215" s="2" t="s">
        <v>13</v>
      </c>
      <c r="C215" s="1">
        <f>SUM(PL!E215:H215)</f>
        <v>0</v>
      </c>
      <c r="D215" s="1">
        <f>SUM(PL!I215:L215)</f>
        <v>0</v>
      </c>
      <c r="E215" s="1">
        <f>SUM(C215:D215)</f>
        <v>0</v>
      </c>
      <c r="F215" s="1">
        <f>IF(C215 + F214 &lt; 0, C215 + F214, 0)</f>
        <v>0</v>
      </c>
      <c r="G215" s="1">
        <f>IF(D215 + G214 &lt; 0, D215 + G214, 0)</f>
        <v>0</v>
      </c>
      <c r="H215" s="1">
        <f>IF(E215 + H214 &lt; 0, E215 + H214, 0)</f>
        <v>0</v>
      </c>
      <c r="I215" s="1">
        <f>IF(H215 &lt; 0, 1 + I214, 0)</f>
        <v>0</v>
      </c>
      <c r="J215" s="1">
        <f>C215-((ABS(SUM(PL!E215:H215)))*0.125)</f>
        <v>0</v>
      </c>
      <c r="K215" s="1">
        <f>D215-((ABS(SUM(PL!I215:L215)))*0.125)</f>
        <v>0</v>
      </c>
      <c r="L215" s="1">
        <f>J215 + K215</f>
        <v>0</v>
      </c>
      <c r="M215" s="1">
        <f>IF(J215 + M214 &lt; 0, J215 + M214, 0)</f>
        <v>0</v>
      </c>
      <c r="N215" s="1">
        <f>IF(K215 + N214 &lt; 0, K215 + N214, 0)</f>
        <v>0</v>
      </c>
      <c r="O215" s="1">
        <f>IF(L215 + O214 &lt; 0, L215 + O214, 0)</f>
        <v>0</v>
      </c>
      <c r="P215" s="1">
        <f>IF(O215 &lt; 0, 1 + P214, 0)</f>
        <v>0</v>
      </c>
      <c r="Q215" s="1">
        <f>IF(E215&lt;0,1,0)</f>
        <v>0</v>
      </c>
      <c r="R215" s="1">
        <f>IF(Q215=1,E215,0)</f>
        <v>0</v>
      </c>
      <c r="S215" s="1">
        <f>IF(E215&gt;0,1,0)</f>
        <v>0</v>
      </c>
      <c r="T215" s="1">
        <f>IF(S215=1,E215,0)</f>
        <v>0</v>
      </c>
      <c r="U215" s="1">
        <f>IF(R215&lt;-100000000/100,1,0)</f>
        <v>0</v>
      </c>
      <c r="V215" s="1">
        <f>IF(T215&gt;100000000/100,1,0)</f>
        <v>0</v>
      </c>
      <c r="W215" s="1">
        <f>IF(L215&lt;0,1,0)</f>
        <v>0</v>
      </c>
      <c r="X215" s="1">
        <f>IF(W215=1,L215,0)</f>
        <v>0</v>
      </c>
      <c r="Y215" s="1">
        <f>IF(L215&gt;0,1,0)</f>
        <v>0</v>
      </c>
      <c r="Z215" s="1">
        <f>IF(Y215=1,L215,0)</f>
        <v>0</v>
      </c>
      <c r="AA215" s="1">
        <f>IF(X215&lt;-100000000/100,1,0)</f>
        <v>0</v>
      </c>
      <c r="AB215" s="1">
        <f>IF(Z215&gt;100000000/100,1,0)</f>
        <v>0</v>
      </c>
    </row>
    <row r="216" spans="1:28" s="1" customFormat="1">
      <c r="A216" s="3">
        <v>45252</v>
      </c>
      <c r="B216" s="2" t="s">
        <v>14</v>
      </c>
      <c r="C216" s="1">
        <f>SUM(PL!E216:H216)</f>
        <v>0</v>
      </c>
      <c r="D216" s="1">
        <f>SUM(PL!I216:L216)</f>
        <v>0</v>
      </c>
      <c r="E216" s="1">
        <f>SUM(C216:D216)</f>
        <v>0</v>
      </c>
      <c r="F216" s="1">
        <f>IF(C216 + F215 &lt; 0, C216 + F215, 0)</f>
        <v>0</v>
      </c>
      <c r="G216" s="1">
        <f>IF(D216 + G215 &lt; 0, D216 + G215, 0)</f>
        <v>0</v>
      </c>
      <c r="H216" s="1">
        <f>IF(E216 + H215 &lt; 0, E216 + H215, 0)</f>
        <v>0</v>
      </c>
      <c r="I216" s="1">
        <f>IF(H216 &lt; 0, 1 + I215, 0)</f>
        <v>0</v>
      </c>
      <c r="J216" s="1">
        <f>C216-((ABS(SUM(PL!E216:H216)))*0.125)</f>
        <v>0</v>
      </c>
      <c r="K216" s="1">
        <f>D216-((ABS(SUM(PL!I216:L216)))*0.125)</f>
        <v>0</v>
      </c>
      <c r="L216" s="1">
        <f>J216 + K216</f>
        <v>0</v>
      </c>
      <c r="M216" s="1">
        <f>IF(J216 + M215 &lt; 0, J216 + M215, 0)</f>
        <v>0</v>
      </c>
      <c r="N216" s="1">
        <f>IF(K216 + N215 &lt; 0, K216 + N215, 0)</f>
        <v>0</v>
      </c>
      <c r="O216" s="1">
        <f>IF(L216 + O215 &lt; 0, L216 + O215, 0)</f>
        <v>0</v>
      </c>
      <c r="P216" s="1">
        <f>IF(O216 &lt; 0, 1 + P215, 0)</f>
        <v>0</v>
      </c>
      <c r="Q216" s="1">
        <f>IF(E216&lt;0,1,0)</f>
        <v>0</v>
      </c>
      <c r="R216" s="1">
        <f>IF(Q216=1,E216,0)</f>
        <v>0</v>
      </c>
      <c r="S216" s="1">
        <f>IF(E216&gt;0,1,0)</f>
        <v>0</v>
      </c>
      <c r="T216" s="1">
        <f>IF(S216=1,E216,0)</f>
        <v>0</v>
      </c>
      <c r="U216" s="1">
        <f>IF(R216&lt;-100000000/100,1,0)</f>
        <v>0</v>
      </c>
      <c r="V216" s="1">
        <f>IF(T216&gt;100000000/100,1,0)</f>
        <v>0</v>
      </c>
      <c r="W216" s="1">
        <f>IF(L216&lt;0,1,0)</f>
        <v>0</v>
      </c>
      <c r="X216" s="1">
        <f>IF(W216=1,L216,0)</f>
        <v>0</v>
      </c>
      <c r="Y216" s="1">
        <f>IF(L216&gt;0,1,0)</f>
        <v>0</v>
      </c>
      <c r="Z216" s="1">
        <f>IF(Y216=1,L216,0)</f>
        <v>0</v>
      </c>
      <c r="AA216" s="1">
        <f>IF(X216&lt;-100000000/100,1,0)</f>
        <v>0</v>
      </c>
      <c r="AB216" s="1">
        <f>IF(Z216&gt;100000000/100,1,0)</f>
        <v>0</v>
      </c>
    </row>
    <row r="217" spans="1:28" s="1" customFormat="1">
      <c r="A217" s="3">
        <v>45253</v>
      </c>
      <c r="B217" s="2" t="s">
        <v>16</v>
      </c>
      <c r="C217" s="1">
        <f>SUM(PL!E217:H217)</f>
        <v>0</v>
      </c>
      <c r="D217" s="1">
        <f>SUM(PL!I217:L217)</f>
        <v>0</v>
      </c>
      <c r="E217" s="1">
        <f>SUM(C217:D217)</f>
        <v>0</v>
      </c>
      <c r="F217" s="1">
        <f>IF(C217 + F216 &lt; 0, C217 + F216, 0)</f>
        <v>0</v>
      </c>
      <c r="G217" s="1">
        <f>IF(D217 + G216 &lt; 0, D217 + G216, 0)</f>
        <v>0</v>
      </c>
      <c r="H217" s="1">
        <f>IF(E217 + H216 &lt; 0, E217 + H216, 0)</f>
        <v>0</v>
      </c>
      <c r="I217" s="1">
        <f>IF(H217 &lt; 0, 1 + I216, 0)</f>
        <v>0</v>
      </c>
      <c r="J217" s="1">
        <f>C217-((ABS(SUM(PL!E217:H217)))*0.125)</f>
        <v>0</v>
      </c>
      <c r="K217" s="1">
        <f>D217-((ABS(SUM(PL!I217:L217)))*0.125)</f>
        <v>0</v>
      </c>
      <c r="L217" s="1">
        <f>J217 + K217</f>
        <v>0</v>
      </c>
      <c r="M217" s="1">
        <f>IF(J217 + M216 &lt; 0, J217 + M216, 0)</f>
        <v>0</v>
      </c>
      <c r="N217" s="1">
        <f>IF(K217 + N216 &lt; 0, K217 + N216, 0)</f>
        <v>0</v>
      </c>
      <c r="O217" s="1">
        <f>IF(L217 + O216 &lt; 0, L217 + O216, 0)</f>
        <v>0</v>
      </c>
      <c r="P217" s="1">
        <f>IF(O217 &lt; 0, 1 + P216, 0)</f>
        <v>0</v>
      </c>
      <c r="Q217" s="1">
        <f>IF(E217&lt;0,1,0)</f>
        <v>0</v>
      </c>
      <c r="R217" s="1">
        <f>IF(Q217=1,E217,0)</f>
        <v>0</v>
      </c>
      <c r="S217" s="1">
        <f>IF(E217&gt;0,1,0)</f>
        <v>0</v>
      </c>
      <c r="T217" s="1">
        <f>IF(S217=1,E217,0)</f>
        <v>0</v>
      </c>
      <c r="U217" s="1">
        <f>IF(R217&lt;-100000000/100,1,0)</f>
        <v>0</v>
      </c>
      <c r="V217" s="1">
        <f>IF(T217&gt;100000000/100,1,0)</f>
        <v>0</v>
      </c>
      <c r="W217" s="1">
        <f>IF(L217&lt;0,1,0)</f>
        <v>0</v>
      </c>
      <c r="X217" s="1">
        <f>IF(W217=1,L217,0)</f>
        <v>0</v>
      </c>
      <c r="Y217" s="1">
        <f>IF(L217&gt;0,1,0)</f>
        <v>0</v>
      </c>
      <c r="Z217" s="1">
        <f>IF(Y217=1,L217,0)</f>
        <v>0</v>
      </c>
      <c r="AA217" s="1">
        <f>IF(X217&lt;-100000000/100,1,0)</f>
        <v>0</v>
      </c>
      <c r="AB217" s="1">
        <f>IF(Z217&gt;100000000/100,1,0)</f>
        <v>0</v>
      </c>
    </row>
    <row r="218" spans="1:28" s="1" customFormat="1">
      <c r="A218" s="3">
        <v>45254</v>
      </c>
      <c r="B218" s="2" t="s">
        <v>15</v>
      </c>
      <c r="C218" s="1">
        <f>SUM(PL!E218:H218)</f>
        <v>0</v>
      </c>
      <c r="D218" s="1">
        <f>SUM(PL!I218:L218)</f>
        <v>0</v>
      </c>
      <c r="E218" s="1">
        <f>SUM(C218:D218)</f>
        <v>0</v>
      </c>
      <c r="F218" s="1">
        <f>IF(C218 + F217 &lt; 0, C218 + F217, 0)</f>
        <v>0</v>
      </c>
      <c r="G218" s="1">
        <f>IF(D218 + G217 &lt; 0, D218 + G217, 0)</f>
        <v>0</v>
      </c>
      <c r="H218" s="1">
        <f>IF(E218 + H217 &lt; 0, E218 + H217, 0)</f>
        <v>0</v>
      </c>
      <c r="I218" s="1">
        <f>IF(H218 &lt; 0, 1 + I217, 0)</f>
        <v>0</v>
      </c>
      <c r="J218" s="1">
        <f>C218-((ABS(SUM(PL!E218:H218)))*0.125)</f>
        <v>0</v>
      </c>
      <c r="K218" s="1">
        <f>D218-((ABS(SUM(PL!I218:L218)))*0.125)</f>
        <v>0</v>
      </c>
      <c r="L218" s="1">
        <f>J218 + K218</f>
        <v>0</v>
      </c>
      <c r="M218" s="1">
        <f>IF(J218 + M217 &lt; 0, J218 + M217, 0)</f>
        <v>0</v>
      </c>
      <c r="N218" s="1">
        <f>IF(K218 + N217 &lt; 0, K218 + N217, 0)</f>
        <v>0</v>
      </c>
      <c r="O218" s="1">
        <f>IF(L218 + O217 &lt; 0, L218 + O217, 0)</f>
        <v>0</v>
      </c>
      <c r="P218" s="1">
        <f>IF(O218 &lt; 0, 1 + P217, 0)</f>
        <v>0</v>
      </c>
      <c r="Q218" s="1">
        <f>IF(E218&lt;0,1,0)</f>
        <v>0</v>
      </c>
      <c r="R218" s="1">
        <f>IF(Q218=1,E218,0)</f>
        <v>0</v>
      </c>
      <c r="S218" s="1">
        <f>IF(E218&gt;0,1,0)</f>
        <v>0</v>
      </c>
      <c r="T218" s="1">
        <f>IF(S218=1,E218,0)</f>
        <v>0</v>
      </c>
      <c r="U218" s="1">
        <f>IF(R218&lt;-100000000/100,1,0)</f>
        <v>0</v>
      </c>
      <c r="V218" s="1">
        <f>IF(T218&gt;100000000/100,1,0)</f>
        <v>0</v>
      </c>
      <c r="W218" s="1">
        <f>IF(L218&lt;0,1,0)</f>
        <v>0</v>
      </c>
      <c r="X218" s="1">
        <f>IF(W218=1,L218,0)</f>
        <v>0</v>
      </c>
      <c r="Y218" s="1">
        <f>IF(L218&gt;0,1,0)</f>
        <v>0</v>
      </c>
      <c r="Z218" s="1">
        <f>IF(Y218=1,L218,0)</f>
        <v>0</v>
      </c>
      <c r="AA218" s="1">
        <f>IF(X218&lt;-100000000/100,1,0)</f>
        <v>0</v>
      </c>
      <c r="AB218" s="1">
        <f>IF(Z218&gt;100000000/100,1,0)</f>
        <v>0</v>
      </c>
    </row>
    <row r="219" spans="1:28" s="1" customFormat="1">
      <c r="A219" s="3">
        <v>45260</v>
      </c>
      <c r="B219" s="2" t="s">
        <v>16</v>
      </c>
      <c r="C219" s="1">
        <f>SUM(PL!E219:H219)</f>
        <v>0</v>
      </c>
      <c r="D219" s="1">
        <f>SUM(PL!I219:L219)</f>
        <v>0</v>
      </c>
      <c r="E219" s="1">
        <f>SUM(C219:D219)</f>
        <v>0</v>
      </c>
      <c r="F219" s="1">
        <f>IF(C219 + F218 &lt; 0, C219 + F218, 0)</f>
        <v>0</v>
      </c>
      <c r="G219" s="1">
        <f>IF(D219 + G218 &lt; 0, D219 + G218, 0)</f>
        <v>0</v>
      </c>
      <c r="H219" s="1">
        <f>IF(E219 + H218 &lt; 0, E219 + H218, 0)</f>
        <v>0</v>
      </c>
      <c r="I219" s="1">
        <f>IF(H219 &lt; 0, 1 + I218, 0)</f>
        <v>0</v>
      </c>
      <c r="J219" s="1">
        <f>C219-((ABS(SUM(PL!E219:H219)))*0.125)</f>
        <v>0</v>
      </c>
      <c r="K219" s="1">
        <f>D219-((ABS(SUM(PL!I219:L219)))*0.125)</f>
        <v>0</v>
      </c>
      <c r="L219" s="1">
        <f>J219 + K219</f>
        <v>0</v>
      </c>
      <c r="M219" s="1">
        <f>IF(J219 + M218 &lt; 0, J219 + M218, 0)</f>
        <v>0</v>
      </c>
      <c r="N219" s="1">
        <f>IF(K219 + N218 &lt; 0, K219 + N218, 0)</f>
        <v>0</v>
      </c>
      <c r="O219" s="1">
        <f>IF(L219 + O218 &lt; 0, L219 + O218, 0)</f>
        <v>0</v>
      </c>
      <c r="P219" s="1">
        <f>IF(O219 &lt; 0, 1 + P218, 0)</f>
        <v>0</v>
      </c>
      <c r="Q219" s="1">
        <f>IF(E219&lt;0,1,0)</f>
        <v>0</v>
      </c>
      <c r="R219" s="1">
        <f>IF(Q219=1,E219,0)</f>
        <v>0</v>
      </c>
      <c r="S219" s="1">
        <f>IF(E219&gt;0,1,0)</f>
        <v>0</v>
      </c>
      <c r="T219" s="1">
        <f>IF(S219=1,E219,0)</f>
        <v>0</v>
      </c>
      <c r="U219" s="1">
        <f>IF(R219&lt;-100000000/100,1,0)</f>
        <v>0</v>
      </c>
      <c r="V219" s="1">
        <f>IF(T219&gt;100000000/100,1,0)</f>
        <v>0</v>
      </c>
      <c r="W219" s="1">
        <f>IF(L219&lt;0,1,0)</f>
        <v>0</v>
      </c>
      <c r="X219" s="1">
        <f>IF(W219=1,L219,0)</f>
        <v>0</v>
      </c>
      <c r="Y219" s="1">
        <f>IF(L219&gt;0,1,0)</f>
        <v>0</v>
      </c>
      <c r="Z219" s="1">
        <f>IF(Y219=1,L219,0)</f>
        <v>0</v>
      </c>
      <c r="AA219" s="1">
        <f>IF(X219&lt;-100000000/100,1,0)</f>
        <v>0</v>
      </c>
      <c r="AB219" s="1">
        <f>IF(Z219&gt;100000000/100,1,0)</f>
        <v>0</v>
      </c>
    </row>
    <row r="220" spans="1:28" s="1" customFormat="1">
      <c r="A220" s="3">
        <v>45261</v>
      </c>
      <c r="B220" s="2" t="s">
        <v>15</v>
      </c>
      <c r="C220" s="1">
        <f>SUM(PL!E220:H220)</f>
        <v>0</v>
      </c>
      <c r="D220" s="1">
        <f>SUM(PL!I220:L220)</f>
        <v>0</v>
      </c>
      <c r="E220" s="1">
        <f>SUM(C220:D220)</f>
        <v>0</v>
      </c>
      <c r="F220" s="1">
        <f>IF(C220 + F219 &lt; 0, C220 + F219, 0)</f>
        <v>0</v>
      </c>
      <c r="G220" s="1">
        <f>IF(D220 + G219 &lt; 0, D220 + G219, 0)</f>
        <v>0</v>
      </c>
      <c r="H220" s="1">
        <f>IF(E220 + H219 &lt; 0, E220 + H219, 0)</f>
        <v>0</v>
      </c>
      <c r="I220" s="1">
        <f>IF(H220 &lt; 0, 1 + I219, 0)</f>
        <v>0</v>
      </c>
      <c r="J220" s="1">
        <f>C220-((ABS(SUM(PL!E220:H220)))*0.125)</f>
        <v>0</v>
      </c>
      <c r="K220" s="1">
        <f>D220-((ABS(SUM(PL!I220:L220)))*0.125)</f>
        <v>0</v>
      </c>
      <c r="L220" s="1">
        <f>J220 + K220</f>
        <v>0</v>
      </c>
      <c r="M220" s="1">
        <f>IF(J220 + M219 &lt; 0, J220 + M219, 0)</f>
        <v>0</v>
      </c>
      <c r="N220" s="1">
        <f>IF(K220 + N219 &lt; 0, K220 + N219, 0)</f>
        <v>0</v>
      </c>
      <c r="O220" s="1">
        <f>IF(L220 + O219 &lt; 0, L220 + O219, 0)</f>
        <v>0</v>
      </c>
      <c r="P220" s="1">
        <f>IF(O220 &lt; 0, 1 + P219, 0)</f>
        <v>0</v>
      </c>
      <c r="Q220" s="1">
        <f>IF(E220&lt;0,1,0)</f>
        <v>0</v>
      </c>
      <c r="R220" s="1">
        <f>IF(Q220=1,E220,0)</f>
        <v>0</v>
      </c>
      <c r="S220" s="1">
        <f>IF(E220&gt;0,1,0)</f>
        <v>0</v>
      </c>
      <c r="T220" s="1">
        <f>IF(S220=1,E220,0)</f>
        <v>0</v>
      </c>
      <c r="U220" s="1">
        <f>IF(R220&lt;-100000000/100,1,0)</f>
        <v>0</v>
      </c>
      <c r="V220" s="1">
        <f>IF(T220&gt;100000000/100,1,0)</f>
        <v>0</v>
      </c>
      <c r="W220" s="1">
        <f>IF(L220&lt;0,1,0)</f>
        <v>0</v>
      </c>
      <c r="X220" s="1">
        <f>IF(W220=1,L220,0)</f>
        <v>0</v>
      </c>
      <c r="Y220" s="1">
        <f>IF(L220&gt;0,1,0)</f>
        <v>0</v>
      </c>
      <c r="Z220" s="1">
        <f>IF(Y220=1,L220,0)</f>
        <v>0</v>
      </c>
      <c r="AA220" s="1">
        <f>IF(X220&lt;-100000000/100,1,0)</f>
        <v>0</v>
      </c>
      <c r="AB220" s="1">
        <f>IF(Z220&gt;100000000/100,1,0)</f>
        <v>0</v>
      </c>
    </row>
    <row r="221" spans="1:28" s="1" customFormat="1">
      <c r="A221" s="3">
        <v>45264</v>
      </c>
      <c r="B221" s="2" t="s">
        <v>12</v>
      </c>
      <c r="C221" s="1">
        <f>SUM(PL!E221:H221)</f>
        <v>0</v>
      </c>
      <c r="D221" s="1">
        <f>SUM(PL!I221:L221)</f>
        <v>0</v>
      </c>
      <c r="E221" s="1">
        <f>SUM(C221:D221)</f>
        <v>0</v>
      </c>
      <c r="F221" s="1">
        <f>IF(C221 + F220 &lt; 0, C221 + F220, 0)</f>
        <v>0</v>
      </c>
      <c r="G221" s="1">
        <f>IF(D221 + G220 &lt; 0, D221 + G220, 0)</f>
        <v>0</v>
      </c>
      <c r="H221" s="1">
        <f>IF(E221 + H220 &lt; 0, E221 + H220, 0)</f>
        <v>0</v>
      </c>
      <c r="I221" s="1">
        <f>IF(H221 &lt; 0, 1 + I220, 0)</f>
        <v>0</v>
      </c>
      <c r="J221" s="1">
        <f>C221-((ABS(SUM(PL!E221:H221)))*0.125)</f>
        <v>0</v>
      </c>
      <c r="K221" s="1">
        <f>D221-((ABS(SUM(PL!I221:L221)))*0.125)</f>
        <v>0</v>
      </c>
      <c r="L221" s="1">
        <f>J221 + K221</f>
        <v>0</v>
      </c>
      <c r="M221" s="1">
        <f>IF(J221 + M220 &lt; 0, J221 + M220, 0)</f>
        <v>0</v>
      </c>
      <c r="N221" s="1">
        <f>IF(K221 + N220 &lt; 0, K221 + N220, 0)</f>
        <v>0</v>
      </c>
      <c r="O221" s="1">
        <f>IF(L221 + O220 &lt; 0, L221 + O220, 0)</f>
        <v>0</v>
      </c>
      <c r="P221" s="1">
        <f>IF(O221 &lt; 0, 1 + P220, 0)</f>
        <v>0</v>
      </c>
      <c r="Q221" s="1">
        <f>IF(E221&lt;0,1,0)</f>
        <v>0</v>
      </c>
      <c r="R221" s="1">
        <f>IF(Q221=1,E221,0)</f>
        <v>0</v>
      </c>
      <c r="S221" s="1">
        <f>IF(E221&gt;0,1,0)</f>
        <v>0</v>
      </c>
      <c r="T221" s="1">
        <f>IF(S221=1,E221,0)</f>
        <v>0</v>
      </c>
      <c r="U221" s="1">
        <f>IF(R221&lt;-100000000/100,1,0)</f>
        <v>0</v>
      </c>
      <c r="V221" s="1">
        <f>IF(T221&gt;100000000/100,1,0)</f>
        <v>0</v>
      </c>
      <c r="W221" s="1">
        <f>IF(L221&lt;0,1,0)</f>
        <v>0</v>
      </c>
      <c r="X221" s="1">
        <f>IF(W221=1,L221,0)</f>
        <v>0</v>
      </c>
      <c r="Y221" s="1">
        <f>IF(L221&gt;0,1,0)</f>
        <v>0</v>
      </c>
      <c r="Z221" s="1">
        <f>IF(Y221=1,L221,0)</f>
        <v>0</v>
      </c>
      <c r="AA221" s="1">
        <f>IF(X221&lt;-100000000/100,1,0)</f>
        <v>0</v>
      </c>
      <c r="AB221" s="1">
        <f>IF(Z221&gt;100000000/100,1,0)</f>
        <v>0</v>
      </c>
    </row>
    <row r="222" spans="1:28" s="1" customFormat="1">
      <c r="A222" s="3">
        <v>45265</v>
      </c>
      <c r="B222" s="2" t="s">
        <v>13</v>
      </c>
      <c r="C222" s="1">
        <f>SUM(PL!E222:H222)</f>
        <v>0</v>
      </c>
      <c r="D222" s="1">
        <f>SUM(PL!I222:L222)</f>
        <v>0</v>
      </c>
      <c r="E222" s="1">
        <f>SUM(C222:D222)</f>
        <v>0</v>
      </c>
      <c r="F222" s="1">
        <f>IF(C222 + F221 &lt; 0, C222 + F221, 0)</f>
        <v>0</v>
      </c>
      <c r="G222" s="1">
        <f>IF(D222 + G221 &lt; 0, D222 + G221, 0)</f>
        <v>0</v>
      </c>
      <c r="H222" s="1">
        <f>IF(E222 + H221 &lt; 0, E222 + H221, 0)</f>
        <v>0</v>
      </c>
      <c r="I222" s="1">
        <f>IF(H222 &lt; 0, 1 + I221, 0)</f>
        <v>0</v>
      </c>
      <c r="J222" s="1">
        <f>C222-((ABS(SUM(PL!E222:H222)))*0.125)</f>
        <v>0</v>
      </c>
      <c r="K222" s="1">
        <f>D222-((ABS(SUM(PL!I222:L222)))*0.125)</f>
        <v>0</v>
      </c>
      <c r="L222" s="1">
        <f>J222 + K222</f>
        <v>0</v>
      </c>
      <c r="M222" s="1">
        <f>IF(J222 + M221 &lt; 0, J222 + M221, 0)</f>
        <v>0</v>
      </c>
      <c r="N222" s="1">
        <f>IF(K222 + N221 &lt; 0, K222 + N221, 0)</f>
        <v>0</v>
      </c>
      <c r="O222" s="1">
        <f>IF(L222 + O221 &lt; 0, L222 + O221, 0)</f>
        <v>0</v>
      </c>
      <c r="P222" s="1">
        <f>IF(O222 &lt; 0, 1 + P221, 0)</f>
        <v>0</v>
      </c>
      <c r="Q222" s="1">
        <f>IF(E222&lt;0,1,0)</f>
        <v>0</v>
      </c>
      <c r="R222" s="1">
        <f>IF(Q222=1,E222,0)</f>
        <v>0</v>
      </c>
      <c r="S222" s="1">
        <f>IF(E222&gt;0,1,0)</f>
        <v>0</v>
      </c>
      <c r="T222" s="1">
        <f>IF(S222=1,E222,0)</f>
        <v>0</v>
      </c>
      <c r="U222" s="1">
        <f>IF(R222&lt;-100000000/100,1,0)</f>
        <v>0</v>
      </c>
      <c r="V222" s="1">
        <f>IF(T222&gt;100000000/100,1,0)</f>
        <v>0</v>
      </c>
      <c r="W222" s="1">
        <f>IF(L222&lt;0,1,0)</f>
        <v>0</v>
      </c>
      <c r="X222" s="1">
        <f>IF(W222=1,L222,0)</f>
        <v>0</v>
      </c>
      <c r="Y222" s="1">
        <f>IF(L222&gt;0,1,0)</f>
        <v>0</v>
      </c>
      <c r="Z222" s="1">
        <f>IF(Y222=1,L222,0)</f>
        <v>0</v>
      </c>
      <c r="AA222" s="1">
        <f>IF(X222&lt;-100000000/100,1,0)</f>
        <v>0</v>
      </c>
      <c r="AB222" s="1">
        <f>IF(Z222&gt;100000000/100,1,0)</f>
        <v>0</v>
      </c>
    </row>
    <row r="223" spans="1:28" s="1" customFormat="1">
      <c r="A223" s="3">
        <v>45266</v>
      </c>
      <c r="B223" s="2" t="s">
        <v>14</v>
      </c>
      <c r="C223" s="1">
        <f>SUM(PL!E223:H223)</f>
        <v>0</v>
      </c>
      <c r="D223" s="1">
        <f>SUM(PL!I223:L223)</f>
        <v>0</v>
      </c>
      <c r="E223" s="1">
        <f>SUM(C223:D223)</f>
        <v>0</v>
      </c>
      <c r="F223" s="1">
        <f>IF(C223 + F222 &lt; 0, C223 + F222, 0)</f>
        <v>0</v>
      </c>
      <c r="G223" s="1">
        <f>IF(D223 + G222 &lt; 0, D223 + G222, 0)</f>
        <v>0</v>
      </c>
      <c r="H223" s="1">
        <f>IF(E223 + H222 &lt; 0, E223 + H222, 0)</f>
        <v>0</v>
      </c>
      <c r="I223" s="1">
        <f>IF(H223 &lt; 0, 1 + I222, 0)</f>
        <v>0</v>
      </c>
      <c r="J223" s="1">
        <f>C223-((ABS(SUM(PL!E223:H223)))*0.125)</f>
        <v>0</v>
      </c>
      <c r="K223" s="1">
        <f>D223-((ABS(SUM(PL!I223:L223)))*0.125)</f>
        <v>0</v>
      </c>
      <c r="L223" s="1">
        <f>J223 + K223</f>
        <v>0</v>
      </c>
      <c r="M223" s="1">
        <f>IF(J223 + M222 &lt; 0, J223 + M222, 0)</f>
        <v>0</v>
      </c>
      <c r="N223" s="1">
        <f>IF(K223 + N222 &lt; 0, K223 + N222, 0)</f>
        <v>0</v>
      </c>
      <c r="O223" s="1">
        <f>IF(L223 + O222 &lt; 0, L223 + O222, 0)</f>
        <v>0</v>
      </c>
      <c r="P223" s="1">
        <f>IF(O223 &lt; 0, 1 + P222, 0)</f>
        <v>0</v>
      </c>
      <c r="Q223" s="1">
        <f>IF(E223&lt;0,1,0)</f>
        <v>0</v>
      </c>
      <c r="R223" s="1">
        <f>IF(Q223=1,E223,0)</f>
        <v>0</v>
      </c>
      <c r="S223" s="1">
        <f>IF(E223&gt;0,1,0)</f>
        <v>0</v>
      </c>
      <c r="T223" s="1">
        <f>IF(S223=1,E223,0)</f>
        <v>0</v>
      </c>
      <c r="U223" s="1">
        <f>IF(R223&lt;-100000000/100,1,0)</f>
        <v>0</v>
      </c>
      <c r="V223" s="1">
        <f>IF(T223&gt;100000000/100,1,0)</f>
        <v>0</v>
      </c>
      <c r="W223" s="1">
        <f>IF(L223&lt;0,1,0)</f>
        <v>0</v>
      </c>
      <c r="X223" s="1">
        <f>IF(W223=1,L223,0)</f>
        <v>0</v>
      </c>
      <c r="Y223" s="1">
        <f>IF(L223&gt;0,1,0)</f>
        <v>0</v>
      </c>
      <c r="Z223" s="1">
        <f>IF(Y223=1,L223,0)</f>
        <v>0</v>
      </c>
      <c r="AA223" s="1">
        <f>IF(X223&lt;-100000000/100,1,0)</f>
        <v>0</v>
      </c>
      <c r="AB223" s="1">
        <f>IF(Z223&gt;100000000/100,1,0)</f>
        <v>0</v>
      </c>
    </row>
    <row r="224" spans="1:28" s="1" customFormat="1">
      <c r="A224" s="3">
        <v>45267</v>
      </c>
      <c r="B224" s="2" t="s">
        <v>16</v>
      </c>
      <c r="C224" s="1">
        <f>SUM(PL!E224:H224)</f>
        <v>0</v>
      </c>
      <c r="D224" s="1">
        <f>SUM(PL!I224:L224)</f>
        <v>0</v>
      </c>
      <c r="E224" s="1">
        <f>SUM(C224:D224)</f>
        <v>0</v>
      </c>
      <c r="F224" s="1">
        <f>IF(C224 + F223 &lt; 0, C224 + F223, 0)</f>
        <v>0</v>
      </c>
      <c r="G224" s="1">
        <f>IF(D224 + G223 &lt; 0, D224 + G223, 0)</f>
        <v>0</v>
      </c>
      <c r="H224" s="1">
        <f>IF(E224 + H223 &lt; 0, E224 + H223, 0)</f>
        <v>0</v>
      </c>
      <c r="I224" s="1">
        <f>IF(H224 &lt; 0, 1 + I223, 0)</f>
        <v>0</v>
      </c>
      <c r="J224" s="1">
        <f>C224-((ABS(SUM(PL!E224:H224)))*0.125)</f>
        <v>0</v>
      </c>
      <c r="K224" s="1">
        <f>D224-((ABS(SUM(PL!I224:L224)))*0.125)</f>
        <v>0</v>
      </c>
      <c r="L224" s="1">
        <f>J224 + K224</f>
        <v>0</v>
      </c>
      <c r="M224" s="1">
        <f>IF(J224 + M223 &lt; 0, J224 + M223, 0)</f>
        <v>0</v>
      </c>
      <c r="N224" s="1">
        <f>IF(K224 + N223 &lt; 0, K224 + N223, 0)</f>
        <v>0</v>
      </c>
      <c r="O224" s="1">
        <f>IF(L224 + O223 &lt; 0, L224 + O223, 0)</f>
        <v>0</v>
      </c>
      <c r="P224" s="1">
        <f>IF(O224 &lt; 0, 1 + P223, 0)</f>
        <v>0</v>
      </c>
      <c r="Q224" s="1">
        <f>IF(E224&lt;0,1,0)</f>
        <v>0</v>
      </c>
      <c r="R224" s="1">
        <f>IF(Q224=1,E224,0)</f>
        <v>0</v>
      </c>
      <c r="S224" s="1">
        <f>IF(E224&gt;0,1,0)</f>
        <v>0</v>
      </c>
      <c r="T224" s="1">
        <f>IF(S224=1,E224,0)</f>
        <v>0</v>
      </c>
      <c r="U224" s="1">
        <f>IF(R224&lt;-100000000/100,1,0)</f>
        <v>0</v>
      </c>
      <c r="V224" s="1">
        <f>IF(T224&gt;100000000/100,1,0)</f>
        <v>0</v>
      </c>
      <c r="W224" s="1">
        <f>IF(L224&lt;0,1,0)</f>
        <v>0</v>
      </c>
      <c r="X224" s="1">
        <f>IF(W224=1,L224,0)</f>
        <v>0</v>
      </c>
      <c r="Y224" s="1">
        <f>IF(L224&gt;0,1,0)</f>
        <v>0</v>
      </c>
      <c r="Z224" s="1">
        <f>IF(Y224=1,L224,0)</f>
        <v>0</v>
      </c>
      <c r="AA224" s="1">
        <f>IF(X224&lt;-100000000/100,1,0)</f>
        <v>0</v>
      </c>
      <c r="AB224" s="1">
        <f>IF(Z224&gt;100000000/100,1,0)</f>
        <v>0</v>
      </c>
    </row>
    <row r="225" spans="1:28" s="1" customFormat="1">
      <c r="A225" s="3">
        <v>45268</v>
      </c>
      <c r="B225" s="2" t="s">
        <v>15</v>
      </c>
      <c r="C225" s="1">
        <f>SUM(PL!E225:H225)</f>
        <v>0</v>
      </c>
      <c r="D225" s="1">
        <f>SUM(PL!I225:L225)</f>
        <v>0</v>
      </c>
      <c r="E225" s="1">
        <f>SUM(C225:D225)</f>
        <v>0</v>
      </c>
      <c r="F225" s="1">
        <f>IF(C225 + F224 &lt; 0, C225 + F224, 0)</f>
        <v>0</v>
      </c>
      <c r="G225" s="1">
        <f>IF(D225 + G224 &lt; 0, D225 + G224, 0)</f>
        <v>0</v>
      </c>
      <c r="H225" s="1">
        <f>IF(E225 + H224 &lt; 0, E225 + H224, 0)</f>
        <v>0</v>
      </c>
      <c r="I225" s="1">
        <f>IF(H225 &lt; 0, 1 + I224, 0)</f>
        <v>0</v>
      </c>
      <c r="J225" s="1">
        <f>C225-((ABS(SUM(PL!E225:H225)))*0.125)</f>
        <v>0</v>
      </c>
      <c r="K225" s="1">
        <f>D225-((ABS(SUM(PL!I225:L225)))*0.125)</f>
        <v>0</v>
      </c>
      <c r="L225" s="1">
        <f>J225 + K225</f>
        <v>0</v>
      </c>
      <c r="M225" s="1">
        <f>IF(J225 + M224 &lt; 0, J225 + M224, 0)</f>
        <v>0</v>
      </c>
      <c r="N225" s="1">
        <f>IF(K225 + N224 &lt; 0, K225 + N224, 0)</f>
        <v>0</v>
      </c>
      <c r="O225" s="1">
        <f>IF(L225 + O224 &lt; 0, L225 + O224, 0)</f>
        <v>0</v>
      </c>
      <c r="P225" s="1">
        <f>IF(O225 &lt; 0, 1 + P224, 0)</f>
        <v>0</v>
      </c>
      <c r="Q225" s="1">
        <f>IF(E225&lt;0,1,0)</f>
        <v>0</v>
      </c>
      <c r="R225" s="1">
        <f>IF(Q225=1,E225,0)</f>
        <v>0</v>
      </c>
      <c r="S225" s="1">
        <f>IF(E225&gt;0,1,0)</f>
        <v>0</v>
      </c>
      <c r="T225" s="1">
        <f>IF(S225=1,E225,0)</f>
        <v>0</v>
      </c>
      <c r="U225" s="1">
        <f>IF(R225&lt;-100000000/100,1,0)</f>
        <v>0</v>
      </c>
      <c r="V225" s="1">
        <f>IF(T225&gt;100000000/100,1,0)</f>
        <v>0</v>
      </c>
      <c r="W225" s="1">
        <f>IF(L225&lt;0,1,0)</f>
        <v>0</v>
      </c>
      <c r="X225" s="1">
        <f>IF(W225=1,L225,0)</f>
        <v>0</v>
      </c>
      <c r="Y225" s="1">
        <f>IF(L225&gt;0,1,0)</f>
        <v>0</v>
      </c>
      <c r="Z225" s="1">
        <f>IF(Y225=1,L225,0)</f>
        <v>0</v>
      </c>
      <c r="AA225" s="1">
        <f>IF(X225&lt;-100000000/100,1,0)</f>
        <v>0</v>
      </c>
      <c r="AB225" s="1">
        <f>IF(Z225&gt;100000000/100,1,0)</f>
        <v>0</v>
      </c>
    </row>
    <row r="226" spans="1:28" s="1" customFormat="1">
      <c r="A226" s="3">
        <v>45271</v>
      </c>
      <c r="B226" s="2" t="s">
        <v>12</v>
      </c>
      <c r="C226" s="1">
        <f>SUM(PL!E226:H226)</f>
        <v>0</v>
      </c>
      <c r="D226" s="1">
        <f>SUM(PL!I226:L226)</f>
        <v>0</v>
      </c>
      <c r="E226" s="1">
        <f>SUM(C226:D226)</f>
        <v>0</v>
      </c>
      <c r="F226" s="1">
        <f>IF(C226 + F225 &lt; 0, C226 + F225, 0)</f>
        <v>0</v>
      </c>
      <c r="G226" s="1">
        <f>IF(D226 + G225 &lt; 0, D226 + G225, 0)</f>
        <v>0</v>
      </c>
      <c r="H226" s="1">
        <f>IF(E226 + H225 &lt; 0, E226 + H225, 0)</f>
        <v>0</v>
      </c>
      <c r="I226" s="1">
        <f>IF(H226 &lt; 0, 1 + I225, 0)</f>
        <v>0</v>
      </c>
      <c r="J226" s="1">
        <f>C226-((ABS(SUM(PL!E226:H226)))*0.125)</f>
        <v>0</v>
      </c>
      <c r="K226" s="1">
        <f>D226-((ABS(SUM(PL!I226:L226)))*0.125)</f>
        <v>0</v>
      </c>
      <c r="L226" s="1">
        <f>J226 + K226</f>
        <v>0</v>
      </c>
      <c r="M226" s="1">
        <f>IF(J226 + M225 &lt; 0, J226 + M225, 0)</f>
        <v>0</v>
      </c>
      <c r="N226" s="1">
        <f>IF(K226 + N225 &lt; 0, K226 + N225, 0)</f>
        <v>0</v>
      </c>
      <c r="O226" s="1">
        <f>IF(L226 + O225 &lt; 0, L226 + O225, 0)</f>
        <v>0</v>
      </c>
      <c r="P226" s="1">
        <f>IF(O226 &lt; 0, 1 + P225, 0)</f>
        <v>0</v>
      </c>
      <c r="Q226" s="1">
        <f>IF(E226&lt;0,1,0)</f>
        <v>0</v>
      </c>
      <c r="R226" s="1">
        <f>IF(Q226=1,E226,0)</f>
        <v>0</v>
      </c>
      <c r="S226" s="1">
        <f>IF(E226&gt;0,1,0)</f>
        <v>0</v>
      </c>
      <c r="T226" s="1">
        <f>IF(S226=1,E226,0)</f>
        <v>0</v>
      </c>
      <c r="U226" s="1">
        <f>IF(R226&lt;-100000000/100,1,0)</f>
        <v>0</v>
      </c>
      <c r="V226" s="1">
        <f>IF(T226&gt;100000000/100,1,0)</f>
        <v>0</v>
      </c>
      <c r="W226" s="1">
        <f>IF(L226&lt;0,1,0)</f>
        <v>0</v>
      </c>
      <c r="X226" s="1">
        <f>IF(W226=1,L226,0)</f>
        <v>0</v>
      </c>
      <c r="Y226" s="1">
        <f>IF(L226&gt;0,1,0)</f>
        <v>0</v>
      </c>
      <c r="Z226" s="1">
        <f>IF(Y226=1,L226,0)</f>
        <v>0</v>
      </c>
      <c r="AA226" s="1">
        <f>IF(X226&lt;-100000000/100,1,0)</f>
        <v>0</v>
      </c>
      <c r="AB226" s="1">
        <f>IF(Z226&gt;100000000/100,1,0)</f>
        <v>0</v>
      </c>
    </row>
    <row r="227" spans="1:28" s="1" customFormat="1">
      <c r="A227" s="3">
        <v>45272</v>
      </c>
      <c r="B227" s="2" t="s">
        <v>13</v>
      </c>
      <c r="C227" s="1">
        <f>SUM(PL!E227:H227)</f>
        <v>0</v>
      </c>
      <c r="D227" s="1">
        <f>SUM(PL!I227:L227)</f>
        <v>0</v>
      </c>
      <c r="E227" s="1">
        <f>SUM(C227:D227)</f>
        <v>0</v>
      </c>
      <c r="F227" s="1">
        <f>IF(C227 + F226 &lt; 0, C227 + F226, 0)</f>
        <v>0</v>
      </c>
      <c r="G227" s="1">
        <f>IF(D227 + G226 &lt; 0, D227 + G226, 0)</f>
        <v>0</v>
      </c>
      <c r="H227" s="1">
        <f>IF(E227 + H226 &lt; 0, E227 + H226, 0)</f>
        <v>0</v>
      </c>
      <c r="I227" s="1">
        <f>IF(H227 &lt; 0, 1 + I226, 0)</f>
        <v>0</v>
      </c>
      <c r="J227" s="1">
        <f>C227-((ABS(SUM(PL!E227:H227)))*0.125)</f>
        <v>0</v>
      </c>
      <c r="K227" s="1">
        <f>D227-((ABS(SUM(PL!I227:L227)))*0.125)</f>
        <v>0</v>
      </c>
      <c r="L227" s="1">
        <f>J227 + K227</f>
        <v>0</v>
      </c>
      <c r="M227" s="1">
        <f>IF(J227 + M226 &lt; 0, J227 + M226, 0)</f>
        <v>0</v>
      </c>
      <c r="N227" s="1">
        <f>IF(K227 + N226 &lt; 0, K227 + N226, 0)</f>
        <v>0</v>
      </c>
      <c r="O227" s="1">
        <f>IF(L227 + O226 &lt; 0, L227 + O226, 0)</f>
        <v>0</v>
      </c>
      <c r="P227" s="1">
        <f>IF(O227 &lt; 0, 1 + P226, 0)</f>
        <v>0</v>
      </c>
      <c r="Q227" s="1">
        <f>IF(E227&lt;0,1,0)</f>
        <v>0</v>
      </c>
      <c r="R227" s="1">
        <f>IF(Q227=1,E227,0)</f>
        <v>0</v>
      </c>
      <c r="S227" s="1">
        <f>IF(E227&gt;0,1,0)</f>
        <v>0</v>
      </c>
      <c r="T227" s="1">
        <f>IF(S227=1,E227,0)</f>
        <v>0</v>
      </c>
      <c r="U227" s="1">
        <f>IF(R227&lt;-100000000/100,1,0)</f>
        <v>0</v>
      </c>
      <c r="V227" s="1">
        <f>IF(T227&gt;100000000/100,1,0)</f>
        <v>0</v>
      </c>
      <c r="W227" s="1">
        <f>IF(L227&lt;0,1,0)</f>
        <v>0</v>
      </c>
      <c r="X227" s="1">
        <f>IF(W227=1,L227,0)</f>
        <v>0</v>
      </c>
      <c r="Y227" s="1">
        <f>IF(L227&gt;0,1,0)</f>
        <v>0</v>
      </c>
      <c r="Z227" s="1">
        <f>IF(Y227=1,L227,0)</f>
        <v>0</v>
      </c>
      <c r="AA227" s="1">
        <f>IF(X227&lt;-100000000/100,1,0)</f>
        <v>0</v>
      </c>
      <c r="AB227" s="1">
        <f>IF(Z227&gt;100000000/100,1,0)</f>
        <v>0</v>
      </c>
    </row>
    <row r="228" spans="1:28" s="1" customFormat="1">
      <c r="A228" s="3">
        <v>45273</v>
      </c>
      <c r="B228" s="2" t="s">
        <v>14</v>
      </c>
      <c r="C228" s="1">
        <f>SUM(PL!E228:H228)</f>
        <v>0</v>
      </c>
      <c r="D228" s="1">
        <f>SUM(PL!I228:L228)</f>
        <v>0</v>
      </c>
      <c r="E228" s="1">
        <f>SUM(C228:D228)</f>
        <v>0</v>
      </c>
      <c r="F228" s="1">
        <f>IF(C228 + F227 &lt; 0, C228 + F227, 0)</f>
        <v>0</v>
      </c>
      <c r="G228" s="1">
        <f>IF(D228 + G227 &lt; 0, D228 + G227, 0)</f>
        <v>0</v>
      </c>
      <c r="H228" s="1">
        <f>IF(E228 + H227 &lt; 0, E228 + H227, 0)</f>
        <v>0</v>
      </c>
      <c r="I228" s="1">
        <f>IF(H228 &lt; 0, 1 + I227, 0)</f>
        <v>0</v>
      </c>
      <c r="J228" s="1">
        <f>C228-((ABS(SUM(PL!E228:H228)))*0.125)</f>
        <v>0</v>
      </c>
      <c r="K228" s="1">
        <f>D228-((ABS(SUM(PL!I228:L228)))*0.125)</f>
        <v>0</v>
      </c>
      <c r="L228" s="1">
        <f>J228 + K228</f>
        <v>0</v>
      </c>
      <c r="M228" s="1">
        <f>IF(J228 + M227 &lt; 0, J228 + M227, 0)</f>
        <v>0</v>
      </c>
      <c r="N228" s="1">
        <f>IF(K228 + N227 &lt; 0, K228 + N227, 0)</f>
        <v>0</v>
      </c>
      <c r="O228" s="1">
        <f>IF(L228 + O227 &lt; 0, L228 + O227, 0)</f>
        <v>0</v>
      </c>
      <c r="P228" s="1">
        <f>IF(O228 &lt; 0, 1 + P227, 0)</f>
        <v>0</v>
      </c>
      <c r="Q228" s="1">
        <f>IF(E228&lt;0,1,0)</f>
        <v>0</v>
      </c>
      <c r="R228" s="1">
        <f>IF(Q228=1,E228,0)</f>
        <v>0</v>
      </c>
      <c r="S228" s="1">
        <f>IF(E228&gt;0,1,0)</f>
        <v>0</v>
      </c>
      <c r="T228" s="1">
        <f>IF(S228=1,E228,0)</f>
        <v>0</v>
      </c>
      <c r="U228" s="1">
        <f>IF(R228&lt;-100000000/100,1,0)</f>
        <v>0</v>
      </c>
      <c r="V228" s="1">
        <f>IF(T228&gt;100000000/100,1,0)</f>
        <v>0</v>
      </c>
      <c r="W228" s="1">
        <f>IF(L228&lt;0,1,0)</f>
        <v>0</v>
      </c>
      <c r="X228" s="1">
        <f>IF(W228=1,L228,0)</f>
        <v>0</v>
      </c>
      <c r="Y228" s="1">
        <f>IF(L228&gt;0,1,0)</f>
        <v>0</v>
      </c>
      <c r="Z228" s="1">
        <f>IF(Y228=1,L228,0)</f>
        <v>0</v>
      </c>
      <c r="AA228" s="1">
        <f>IF(X228&lt;-100000000/100,1,0)</f>
        <v>0</v>
      </c>
      <c r="AB228" s="1">
        <f>IF(Z228&gt;100000000/100,1,0)</f>
        <v>0</v>
      </c>
    </row>
    <row r="229" spans="1:28" s="1" customFormat="1">
      <c r="A229" s="3">
        <v>45274</v>
      </c>
      <c r="B229" s="2" t="s">
        <v>16</v>
      </c>
      <c r="C229" s="1">
        <f>SUM(PL!E229:H229)</f>
        <v>0</v>
      </c>
      <c r="D229" s="1">
        <f>SUM(PL!I229:L229)</f>
        <v>0</v>
      </c>
      <c r="E229" s="1">
        <f>SUM(C229:D229)</f>
        <v>0</v>
      </c>
      <c r="F229" s="1">
        <f>IF(C229 + F228 &lt; 0, C229 + F228, 0)</f>
        <v>0</v>
      </c>
      <c r="G229" s="1">
        <f>IF(D229 + G228 &lt; 0, D229 + G228, 0)</f>
        <v>0</v>
      </c>
      <c r="H229" s="1">
        <f>IF(E229 + H228 &lt; 0, E229 + H228, 0)</f>
        <v>0</v>
      </c>
      <c r="I229" s="1">
        <f>IF(H229 &lt; 0, 1 + I228, 0)</f>
        <v>0</v>
      </c>
      <c r="J229" s="1">
        <f>C229-((ABS(SUM(PL!E229:H229)))*0.125)</f>
        <v>0</v>
      </c>
      <c r="K229" s="1">
        <f>D229-((ABS(SUM(PL!I229:L229)))*0.125)</f>
        <v>0</v>
      </c>
      <c r="L229" s="1">
        <f>J229 + K229</f>
        <v>0</v>
      </c>
      <c r="M229" s="1">
        <f>IF(J229 + M228 &lt; 0, J229 + M228, 0)</f>
        <v>0</v>
      </c>
      <c r="N229" s="1">
        <f>IF(K229 + N228 &lt; 0, K229 + N228, 0)</f>
        <v>0</v>
      </c>
      <c r="O229" s="1">
        <f>IF(L229 + O228 &lt; 0, L229 + O228, 0)</f>
        <v>0</v>
      </c>
      <c r="P229" s="1">
        <f>IF(O229 &lt; 0, 1 + P228, 0)</f>
        <v>0</v>
      </c>
      <c r="Q229" s="1">
        <f>IF(E229&lt;0,1,0)</f>
        <v>0</v>
      </c>
      <c r="R229" s="1">
        <f>IF(Q229=1,E229,0)</f>
        <v>0</v>
      </c>
      <c r="S229" s="1">
        <f>IF(E229&gt;0,1,0)</f>
        <v>0</v>
      </c>
      <c r="T229" s="1">
        <f>IF(S229=1,E229,0)</f>
        <v>0</v>
      </c>
      <c r="U229" s="1">
        <f>IF(R229&lt;-100000000/100,1,0)</f>
        <v>0</v>
      </c>
      <c r="V229" s="1">
        <f>IF(T229&gt;100000000/100,1,0)</f>
        <v>0</v>
      </c>
      <c r="W229" s="1">
        <f>IF(L229&lt;0,1,0)</f>
        <v>0</v>
      </c>
      <c r="X229" s="1">
        <f>IF(W229=1,L229,0)</f>
        <v>0</v>
      </c>
      <c r="Y229" s="1">
        <f>IF(L229&gt;0,1,0)</f>
        <v>0</v>
      </c>
      <c r="Z229" s="1">
        <f>IF(Y229=1,L229,0)</f>
        <v>0</v>
      </c>
      <c r="AA229" s="1">
        <f>IF(X229&lt;-100000000/100,1,0)</f>
        <v>0</v>
      </c>
      <c r="AB229" s="1">
        <f>IF(Z229&gt;100000000/100,1,0)</f>
        <v>0</v>
      </c>
    </row>
    <row r="230" spans="1:28" s="1" customFormat="1">
      <c r="A230" s="3">
        <v>45275</v>
      </c>
      <c r="B230" s="2" t="s">
        <v>15</v>
      </c>
      <c r="C230" s="1">
        <f>SUM(PL!E230:H230)</f>
        <v>0</v>
      </c>
      <c r="D230" s="1">
        <f>SUM(PL!I230:L230)</f>
        <v>0</v>
      </c>
      <c r="E230" s="1">
        <f>SUM(C230:D230)</f>
        <v>0</v>
      </c>
      <c r="F230" s="1">
        <f>IF(C230 + F229 &lt; 0, C230 + F229, 0)</f>
        <v>0</v>
      </c>
      <c r="G230" s="1">
        <f>IF(D230 + G229 &lt; 0, D230 + G229, 0)</f>
        <v>0</v>
      </c>
      <c r="H230" s="1">
        <f>IF(E230 + H229 &lt; 0, E230 + H229, 0)</f>
        <v>0</v>
      </c>
      <c r="I230" s="1">
        <f>IF(H230 &lt; 0, 1 + I229, 0)</f>
        <v>0</v>
      </c>
      <c r="J230" s="1">
        <f>C230-((ABS(SUM(PL!E230:H230)))*0.125)</f>
        <v>0</v>
      </c>
      <c r="K230" s="1">
        <f>D230-((ABS(SUM(PL!I230:L230)))*0.125)</f>
        <v>0</v>
      </c>
      <c r="L230" s="1">
        <f>J230 + K230</f>
        <v>0</v>
      </c>
      <c r="M230" s="1">
        <f>IF(J230 + M229 &lt; 0, J230 + M229, 0)</f>
        <v>0</v>
      </c>
      <c r="N230" s="1">
        <f>IF(K230 + N229 &lt; 0, K230 + N229, 0)</f>
        <v>0</v>
      </c>
      <c r="O230" s="1">
        <f>IF(L230 + O229 &lt; 0, L230 + O229, 0)</f>
        <v>0</v>
      </c>
      <c r="P230" s="1">
        <f>IF(O230 &lt; 0, 1 + P229, 0)</f>
        <v>0</v>
      </c>
      <c r="Q230" s="1">
        <f>IF(E230&lt;0,1,0)</f>
        <v>0</v>
      </c>
      <c r="R230" s="1">
        <f>IF(Q230=1,E230,0)</f>
        <v>0</v>
      </c>
      <c r="S230" s="1">
        <f>IF(E230&gt;0,1,0)</f>
        <v>0</v>
      </c>
      <c r="T230" s="1">
        <f>IF(S230=1,E230,0)</f>
        <v>0</v>
      </c>
      <c r="U230" s="1">
        <f>IF(R230&lt;-100000000/100,1,0)</f>
        <v>0</v>
      </c>
      <c r="V230" s="1">
        <f>IF(T230&gt;100000000/100,1,0)</f>
        <v>0</v>
      </c>
      <c r="W230" s="1">
        <f>IF(L230&lt;0,1,0)</f>
        <v>0</v>
      </c>
      <c r="X230" s="1">
        <f>IF(W230=1,L230,0)</f>
        <v>0</v>
      </c>
      <c r="Y230" s="1">
        <f>IF(L230&gt;0,1,0)</f>
        <v>0</v>
      </c>
      <c r="Z230" s="1">
        <f>IF(Y230=1,L230,0)</f>
        <v>0</v>
      </c>
      <c r="AA230" s="1">
        <f>IF(X230&lt;-100000000/100,1,0)</f>
        <v>0</v>
      </c>
      <c r="AB230" s="1">
        <f>IF(Z230&gt;100000000/100,1,0)</f>
        <v>0</v>
      </c>
    </row>
    <row r="231" spans="1:28" s="1" customFormat="1">
      <c r="A231" s="3">
        <v>45292</v>
      </c>
      <c r="B231" s="2" t="s">
        <v>12</v>
      </c>
      <c r="C231" s="1">
        <f>SUM(PL!E231:H231)</f>
        <v>0</v>
      </c>
      <c r="D231" s="1">
        <f>SUM(PL!I231:L231)</f>
        <v>0</v>
      </c>
      <c r="E231" s="1">
        <f>SUM(C231:D231)</f>
        <v>0</v>
      </c>
      <c r="F231" s="1">
        <f>IF(C231 + F230 &lt; 0, C231 + F230, 0)</f>
        <v>0</v>
      </c>
      <c r="G231" s="1">
        <f>IF(D231 + G230 &lt; 0, D231 + G230, 0)</f>
        <v>0</v>
      </c>
      <c r="H231" s="1">
        <f>IF(E231 + H230 &lt; 0, E231 + H230, 0)</f>
        <v>0</v>
      </c>
      <c r="I231" s="1">
        <f>IF(H231 &lt; 0, 1 + I230, 0)</f>
        <v>0</v>
      </c>
      <c r="J231" s="1">
        <f>C231-((ABS(SUM(PL!E231:H231)))*0.125)</f>
        <v>0</v>
      </c>
      <c r="K231" s="1">
        <f>D231-((ABS(SUM(PL!I231:L231)))*0.125)</f>
        <v>0</v>
      </c>
      <c r="L231" s="1">
        <f>J231 + K231</f>
        <v>0</v>
      </c>
      <c r="M231" s="1">
        <f>IF(J231 + M230 &lt; 0, J231 + M230, 0)</f>
        <v>0</v>
      </c>
      <c r="N231" s="1">
        <f>IF(K231 + N230 &lt; 0, K231 + N230, 0)</f>
        <v>0</v>
      </c>
      <c r="O231" s="1">
        <f>IF(L231 + O230 &lt; 0, L231 + O230, 0)</f>
        <v>0</v>
      </c>
      <c r="P231" s="1">
        <f>IF(O231 &lt; 0, 1 + P230, 0)</f>
        <v>0</v>
      </c>
      <c r="Q231" s="1">
        <f>IF(E231&lt;0,1,0)</f>
        <v>0</v>
      </c>
      <c r="R231" s="1">
        <f>IF(Q231=1,E231,0)</f>
        <v>0</v>
      </c>
      <c r="S231" s="1">
        <f>IF(E231&gt;0,1,0)</f>
        <v>0</v>
      </c>
      <c r="T231" s="1">
        <f>IF(S231=1,E231,0)</f>
        <v>0</v>
      </c>
      <c r="U231" s="1">
        <f>IF(R231&lt;-100000000/100,1,0)</f>
        <v>0</v>
      </c>
      <c r="V231" s="1">
        <f>IF(T231&gt;100000000/100,1,0)</f>
        <v>0</v>
      </c>
      <c r="W231" s="1">
        <f>IF(L231&lt;0,1,0)</f>
        <v>0</v>
      </c>
      <c r="X231" s="1">
        <f>IF(W231=1,L231,0)</f>
        <v>0</v>
      </c>
      <c r="Y231" s="1">
        <f>IF(L231&gt;0,1,0)</f>
        <v>0</v>
      </c>
      <c r="Z231" s="1">
        <f>IF(Y231=1,L231,0)</f>
        <v>0</v>
      </c>
      <c r="AA231" s="1">
        <f>IF(X231&lt;-100000000/100,1,0)</f>
        <v>0</v>
      </c>
      <c r="AB231" s="1">
        <f>IF(Z231&gt;100000000/100,1,0)</f>
        <v>0</v>
      </c>
    </row>
    <row r="232" spans="1:28" s="1" customFormat="1">
      <c r="A232" s="3">
        <v>45293</v>
      </c>
      <c r="B232" s="2" t="s">
        <v>13</v>
      </c>
      <c r="C232" s="1">
        <f>SUM(PL!E232:H232)</f>
        <v>0</v>
      </c>
      <c r="D232" s="1">
        <f>SUM(PL!I232:L232)</f>
        <v>0</v>
      </c>
      <c r="E232" s="1">
        <f>SUM(C232:D232)</f>
        <v>0</v>
      </c>
      <c r="F232" s="1">
        <f>IF(C232 + F231 &lt; 0, C232 + F231, 0)</f>
        <v>0</v>
      </c>
      <c r="G232" s="1">
        <f>IF(D232 + G231 &lt; 0, D232 + G231, 0)</f>
        <v>0</v>
      </c>
      <c r="H232" s="1">
        <f>IF(E232 + H231 &lt; 0, E232 + H231, 0)</f>
        <v>0</v>
      </c>
      <c r="I232" s="1">
        <f>IF(H232 &lt; 0, 1 + I231, 0)</f>
        <v>0</v>
      </c>
      <c r="J232" s="1">
        <f>C232-((ABS(SUM(PL!E232:H232)))*0.125)</f>
        <v>0</v>
      </c>
      <c r="K232" s="1">
        <f>D232-((ABS(SUM(PL!I232:L232)))*0.125)</f>
        <v>0</v>
      </c>
      <c r="L232" s="1">
        <f>J232 + K232</f>
        <v>0</v>
      </c>
      <c r="M232" s="1">
        <f>IF(J232 + M231 &lt; 0, J232 + M231, 0)</f>
        <v>0</v>
      </c>
      <c r="N232" s="1">
        <f>IF(K232 + N231 &lt; 0, K232 + N231, 0)</f>
        <v>0</v>
      </c>
      <c r="O232" s="1">
        <f>IF(L232 + O231 &lt; 0, L232 + O231, 0)</f>
        <v>0</v>
      </c>
      <c r="P232" s="1">
        <f>IF(O232 &lt; 0, 1 + P231, 0)</f>
        <v>0</v>
      </c>
      <c r="Q232" s="1">
        <f>IF(E232&lt;0,1,0)</f>
        <v>0</v>
      </c>
      <c r="R232" s="1">
        <f>IF(Q232=1,E232,0)</f>
        <v>0</v>
      </c>
      <c r="S232" s="1">
        <f>IF(E232&gt;0,1,0)</f>
        <v>0</v>
      </c>
      <c r="T232" s="1">
        <f>IF(S232=1,E232,0)</f>
        <v>0</v>
      </c>
      <c r="U232" s="1">
        <f>IF(R232&lt;-100000000/100,1,0)</f>
        <v>0</v>
      </c>
      <c r="V232" s="1">
        <f>IF(T232&gt;100000000/100,1,0)</f>
        <v>0</v>
      </c>
      <c r="W232" s="1">
        <f>IF(L232&lt;0,1,0)</f>
        <v>0</v>
      </c>
      <c r="X232" s="1">
        <f>IF(W232=1,L232,0)</f>
        <v>0</v>
      </c>
      <c r="Y232" s="1">
        <f>IF(L232&gt;0,1,0)</f>
        <v>0</v>
      </c>
      <c r="Z232" s="1">
        <f>IF(Y232=1,L232,0)</f>
        <v>0</v>
      </c>
      <c r="AA232" s="1">
        <f>IF(X232&lt;-100000000/100,1,0)</f>
        <v>0</v>
      </c>
      <c r="AB232" s="1">
        <f>IF(Z232&gt;100000000/100,1,0)</f>
        <v>0</v>
      </c>
    </row>
    <row r="233" spans="1:28" s="1" customFormat="1">
      <c r="A233" s="3">
        <v>45294</v>
      </c>
      <c r="B233" s="2" t="s">
        <v>14</v>
      </c>
      <c r="C233" s="1">
        <f>SUM(PL!E233:H233)</f>
        <v>0</v>
      </c>
      <c r="D233" s="1">
        <f>SUM(PL!I233:L233)</f>
        <v>0</v>
      </c>
      <c r="E233" s="1">
        <f>SUM(C233:D233)</f>
        <v>0</v>
      </c>
      <c r="F233" s="1">
        <f>IF(C233 + F232 &lt; 0, C233 + F232, 0)</f>
        <v>0</v>
      </c>
      <c r="G233" s="1">
        <f>IF(D233 + G232 &lt; 0, D233 + G232, 0)</f>
        <v>0</v>
      </c>
      <c r="H233" s="1">
        <f>IF(E233 + H232 &lt; 0, E233 + H232, 0)</f>
        <v>0</v>
      </c>
      <c r="I233" s="1">
        <f>IF(H233 &lt; 0, 1 + I232, 0)</f>
        <v>0</v>
      </c>
      <c r="J233" s="1">
        <f>C233-((ABS(SUM(PL!E233:H233)))*0.125)</f>
        <v>0</v>
      </c>
      <c r="K233" s="1">
        <f>D233-((ABS(SUM(PL!I233:L233)))*0.125)</f>
        <v>0</v>
      </c>
      <c r="L233" s="1">
        <f>J233 + K233</f>
        <v>0</v>
      </c>
      <c r="M233" s="1">
        <f>IF(J233 + M232 &lt; 0, J233 + M232, 0)</f>
        <v>0</v>
      </c>
      <c r="N233" s="1">
        <f>IF(K233 + N232 &lt; 0, K233 + N232, 0)</f>
        <v>0</v>
      </c>
      <c r="O233" s="1">
        <f>IF(L233 + O232 &lt; 0, L233 + O232, 0)</f>
        <v>0</v>
      </c>
      <c r="P233" s="1">
        <f>IF(O233 &lt; 0, 1 + P232, 0)</f>
        <v>0</v>
      </c>
      <c r="Q233" s="1">
        <f>IF(E233&lt;0,1,0)</f>
        <v>0</v>
      </c>
      <c r="R233" s="1">
        <f>IF(Q233=1,E233,0)</f>
        <v>0</v>
      </c>
      <c r="S233" s="1">
        <f>IF(E233&gt;0,1,0)</f>
        <v>0</v>
      </c>
      <c r="T233" s="1">
        <f>IF(S233=1,E233,0)</f>
        <v>0</v>
      </c>
      <c r="U233" s="1">
        <f>IF(R233&lt;-100000000/100,1,0)</f>
        <v>0</v>
      </c>
      <c r="V233" s="1">
        <f>IF(T233&gt;100000000/100,1,0)</f>
        <v>0</v>
      </c>
      <c r="W233" s="1">
        <f>IF(L233&lt;0,1,0)</f>
        <v>0</v>
      </c>
      <c r="X233" s="1">
        <f>IF(W233=1,L233,0)</f>
        <v>0</v>
      </c>
      <c r="Y233" s="1">
        <f>IF(L233&gt;0,1,0)</f>
        <v>0</v>
      </c>
      <c r="Z233" s="1">
        <f>IF(Y233=1,L233,0)</f>
        <v>0</v>
      </c>
      <c r="AA233" s="1">
        <f>IF(X233&lt;-100000000/100,1,0)</f>
        <v>0</v>
      </c>
      <c r="AB233" s="1">
        <f>IF(Z233&gt;100000000/100,1,0)</f>
        <v>0</v>
      </c>
    </row>
    <row r="234" spans="1:28" s="1" customFormat="1">
      <c r="A234" s="3">
        <v>45308</v>
      </c>
      <c r="B234" s="2" t="s">
        <v>14</v>
      </c>
      <c r="C234" s="1">
        <f>SUM(PL!E234:H234)</f>
        <v>0</v>
      </c>
      <c r="D234" s="1">
        <f>SUM(PL!I234:L234)</f>
        <v>0</v>
      </c>
      <c r="E234" s="1">
        <f>SUM(C234:D234)</f>
        <v>0</v>
      </c>
      <c r="F234" s="1">
        <f>IF(C234 + F233 &lt; 0, C234 + F233, 0)</f>
        <v>0</v>
      </c>
      <c r="G234" s="1">
        <f>IF(D234 + G233 &lt; 0, D234 + G233, 0)</f>
        <v>0</v>
      </c>
      <c r="H234" s="1">
        <f>IF(E234 + H233 &lt; 0, E234 + H233, 0)</f>
        <v>0</v>
      </c>
      <c r="I234" s="1">
        <f>IF(H234 &lt; 0, 1 + I233, 0)</f>
        <v>0</v>
      </c>
      <c r="J234" s="1">
        <f>C234-((ABS(SUM(PL!E234:H234)))*0.125)</f>
        <v>0</v>
      </c>
      <c r="K234" s="1">
        <f>D234-((ABS(SUM(PL!I234:L234)))*0.125)</f>
        <v>0</v>
      </c>
      <c r="L234" s="1">
        <f>J234 + K234</f>
        <v>0</v>
      </c>
      <c r="M234" s="1">
        <f>IF(J234 + M233 &lt; 0, J234 + M233, 0)</f>
        <v>0</v>
      </c>
      <c r="N234" s="1">
        <f>IF(K234 + N233 &lt; 0, K234 + N233, 0)</f>
        <v>0</v>
      </c>
      <c r="O234" s="1">
        <f>IF(L234 + O233 &lt; 0, L234 + O233, 0)</f>
        <v>0</v>
      </c>
      <c r="P234" s="1">
        <f>IF(O234 &lt; 0, 1 + P233, 0)</f>
        <v>0</v>
      </c>
      <c r="Q234" s="1">
        <f>IF(E234&lt;0,1,0)</f>
        <v>0</v>
      </c>
      <c r="R234" s="1">
        <f>IF(Q234=1,E234,0)</f>
        <v>0</v>
      </c>
      <c r="S234" s="1">
        <f>IF(E234&gt;0,1,0)</f>
        <v>0</v>
      </c>
      <c r="T234" s="1">
        <f>IF(S234=1,E234,0)</f>
        <v>0</v>
      </c>
      <c r="U234" s="1">
        <f>IF(R234&lt;-100000000/100,1,0)</f>
        <v>0</v>
      </c>
      <c r="V234" s="1">
        <f>IF(T234&gt;100000000/100,1,0)</f>
        <v>0</v>
      </c>
      <c r="W234" s="1">
        <f>IF(L234&lt;0,1,0)</f>
        <v>0</v>
      </c>
      <c r="X234" s="1">
        <f>IF(W234=1,L234,0)</f>
        <v>0</v>
      </c>
      <c r="Y234" s="1">
        <f>IF(L234&gt;0,1,0)</f>
        <v>0</v>
      </c>
      <c r="Z234" s="1">
        <f>IF(Y234=1,L234,0)</f>
        <v>0</v>
      </c>
      <c r="AA234" s="1">
        <f>IF(X234&lt;-100000000/100,1,0)</f>
        <v>0</v>
      </c>
      <c r="AB234" s="1">
        <f>IF(Z234&gt;100000000/100,1,0)</f>
        <v>0</v>
      </c>
    </row>
    <row r="235" spans="1:28" s="1" customFormat="1">
      <c r="A235" s="3">
        <v>45309</v>
      </c>
      <c r="B235" s="2" t="s">
        <v>16</v>
      </c>
      <c r="C235" s="1">
        <f>SUM(PL!E235:H235)</f>
        <v>0</v>
      </c>
      <c r="D235" s="1">
        <f>SUM(PL!I235:L235)</f>
        <v>0</v>
      </c>
      <c r="E235" s="1">
        <f>SUM(C235:D235)</f>
        <v>0</v>
      </c>
      <c r="F235" s="1">
        <f>IF(C235 + F234 &lt; 0, C235 + F234, 0)</f>
        <v>0</v>
      </c>
      <c r="G235" s="1">
        <f>IF(D235 + G234 &lt; 0, D235 + G234, 0)</f>
        <v>0</v>
      </c>
      <c r="H235" s="1">
        <f>IF(E235 + H234 &lt; 0, E235 + H234, 0)</f>
        <v>0</v>
      </c>
      <c r="I235" s="1">
        <f>IF(H235 &lt; 0, 1 + I234, 0)</f>
        <v>0</v>
      </c>
      <c r="J235" s="1">
        <f>C235-((ABS(SUM(PL!E235:H235)))*0.125)</f>
        <v>0</v>
      </c>
      <c r="K235" s="1">
        <f>D235-((ABS(SUM(PL!I235:L235)))*0.125)</f>
        <v>0</v>
      </c>
      <c r="L235" s="1">
        <f>J235 + K235</f>
        <v>0</v>
      </c>
      <c r="M235" s="1">
        <f>IF(J235 + M234 &lt; 0, J235 + M234, 0)</f>
        <v>0</v>
      </c>
      <c r="N235" s="1">
        <f>IF(K235 + N234 &lt; 0, K235 + N234, 0)</f>
        <v>0</v>
      </c>
      <c r="O235" s="1">
        <f>IF(L235 + O234 &lt; 0, L235 + O234, 0)</f>
        <v>0</v>
      </c>
      <c r="P235" s="1">
        <f>IF(O235 &lt; 0, 1 + P234, 0)</f>
        <v>0</v>
      </c>
      <c r="Q235" s="1">
        <f>IF(E235&lt;0,1,0)</f>
        <v>0</v>
      </c>
      <c r="R235" s="1">
        <f>IF(Q235=1,E235,0)</f>
        <v>0</v>
      </c>
      <c r="S235" s="1">
        <f>IF(E235&gt;0,1,0)</f>
        <v>0</v>
      </c>
      <c r="T235" s="1">
        <f>IF(S235=1,E235,0)</f>
        <v>0</v>
      </c>
      <c r="U235" s="1">
        <f>IF(R235&lt;-100000000/100,1,0)</f>
        <v>0</v>
      </c>
      <c r="V235" s="1">
        <f>IF(T235&gt;100000000/100,1,0)</f>
        <v>0</v>
      </c>
      <c r="W235" s="1">
        <f>IF(L235&lt;0,1,0)</f>
        <v>0</v>
      </c>
      <c r="X235" s="1">
        <f>IF(W235=1,L235,0)</f>
        <v>0</v>
      </c>
      <c r="Y235" s="1">
        <f>IF(L235&gt;0,1,0)</f>
        <v>0</v>
      </c>
      <c r="Z235" s="1">
        <f>IF(Y235=1,L235,0)</f>
        <v>0</v>
      </c>
      <c r="AA235" s="1">
        <f>IF(X235&lt;-100000000/100,1,0)</f>
        <v>0</v>
      </c>
      <c r="AB235" s="1">
        <f>IF(Z235&gt;100000000/100,1,0)</f>
        <v>0</v>
      </c>
    </row>
    <row r="236" spans="1:28" s="1" customFormat="1">
      <c r="A236" s="3">
        <v>45327</v>
      </c>
      <c r="B236" s="2" t="s">
        <v>12</v>
      </c>
      <c r="C236" s="1">
        <f>SUM(PL!E236:H236)</f>
        <v>0</v>
      </c>
      <c r="D236" s="1">
        <f>SUM(PL!I236:L236)</f>
        <v>0</v>
      </c>
      <c r="E236" s="1">
        <f>SUM(C236:D236)</f>
        <v>0</v>
      </c>
      <c r="F236" s="1">
        <f>IF(C236 + F235 &lt; 0, C236 + F235, 0)</f>
        <v>0</v>
      </c>
      <c r="G236" s="1">
        <f>IF(D236 + G235 &lt; 0, D236 + G235, 0)</f>
        <v>0</v>
      </c>
      <c r="H236" s="1">
        <f>IF(E236 + H235 &lt; 0, E236 + H235, 0)</f>
        <v>0</v>
      </c>
      <c r="I236" s="1">
        <f>IF(H236 &lt; 0, 1 + I235, 0)</f>
        <v>0</v>
      </c>
      <c r="J236" s="1">
        <f>C236-((ABS(SUM(PL!E236:H236)))*0.125)</f>
        <v>0</v>
      </c>
      <c r="K236" s="1">
        <f>D236-((ABS(SUM(PL!I236:L236)))*0.125)</f>
        <v>0</v>
      </c>
      <c r="L236" s="1">
        <f>J236 + K236</f>
        <v>0</v>
      </c>
      <c r="M236" s="1">
        <f>IF(J236 + M235 &lt; 0, J236 + M235, 0)</f>
        <v>0</v>
      </c>
      <c r="N236" s="1">
        <f>IF(K236 + N235 &lt; 0, K236 + N235, 0)</f>
        <v>0</v>
      </c>
      <c r="O236" s="1">
        <f>IF(L236 + O235 &lt; 0, L236 + O235, 0)</f>
        <v>0</v>
      </c>
      <c r="P236" s="1">
        <f>IF(O236 &lt; 0, 1 + P235, 0)</f>
        <v>0</v>
      </c>
      <c r="Q236" s="1">
        <f>IF(E236&lt;0,1,0)</f>
        <v>0</v>
      </c>
      <c r="R236" s="1">
        <f>IF(Q236=1,E236,0)</f>
        <v>0</v>
      </c>
      <c r="S236" s="1">
        <f>IF(E236&gt;0,1,0)</f>
        <v>0</v>
      </c>
      <c r="T236" s="1">
        <f>IF(S236=1,E236,0)</f>
        <v>0</v>
      </c>
      <c r="U236" s="1">
        <f>IF(R236&lt;-100000000/100,1,0)</f>
        <v>0</v>
      </c>
      <c r="V236" s="1">
        <f>IF(T236&gt;100000000/100,1,0)</f>
        <v>0</v>
      </c>
      <c r="W236" s="1">
        <f>IF(L236&lt;0,1,0)</f>
        <v>0</v>
      </c>
      <c r="X236" s="1">
        <f>IF(W236=1,L236,0)</f>
        <v>0</v>
      </c>
      <c r="Y236" s="1">
        <f>IF(L236&gt;0,1,0)</f>
        <v>0</v>
      </c>
      <c r="Z236" s="1">
        <f>IF(Y236=1,L236,0)</f>
        <v>0</v>
      </c>
      <c r="AA236" s="1">
        <f>IF(X236&lt;-100000000/100,1,0)</f>
        <v>0</v>
      </c>
      <c r="AB236" s="1">
        <f>IF(Z236&gt;100000000/100,1,0)</f>
        <v>0</v>
      </c>
    </row>
    <row r="237" spans="1:28" s="1" customFormat="1">
      <c r="A237" s="3">
        <v>45328</v>
      </c>
      <c r="B237" s="2" t="s">
        <v>13</v>
      </c>
      <c r="C237" s="1">
        <f>SUM(PL!E237:H237)</f>
        <v>0</v>
      </c>
      <c r="D237" s="1">
        <f>SUM(PL!I237:L237)</f>
        <v>0</v>
      </c>
      <c r="E237" s="1">
        <f>SUM(C237:D237)</f>
        <v>0</v>
      </c>
      <c r="F237" s="1">
        <f>IF(C237 + F236 &lt; 0, C237 + F236, 0)</f>
        <v>0</v>
      </c>
      <c r="G237" s="1">
        <f>IF(D237 + G236 &lt; 0, D237 + G236, 0)</f>
        <v>0</v>
      </c>
      <c r="H237" s="1">
        <f>IF(E237 + H236 &lt; 0, E237 + H236, 0)</f>
        <v>0</v>
      </c>
      <c r="I237" s="1">
        <f>IF(H237 &lt; 0, 1 + I236, 0)</f>
        <v>0</v>
      </c>
      <c r="J237" s="1">
        <f>C237-((ABS(SUM(PL!E237:H237)))*0.125)</f>
        <v>0</v>
      </c>
      <c r="K237" s="1">
        <f>D237-((ABS(SUM(PL!I237:L237)))*0.125)</f>
        <v>0</v>
      </c>
      <c r="L237" s="1">
        <f>J237 + K237</f>
        <v>0</v>
      </c>
      <c r="M237" s="1">
        <f>IF(J237 + M236 &lt; 0, J237 + M236, 0)</f>
        <v>0</v>
      </c>
      <c r="N237" s="1">
        <f>IF(K237 + N236 &lt; 0, K237 + N236, 0)</f>
        <v>0</v>
      </c>
      <c r="O237" s="1">
        <f>IF(L237 + O236 &lt; 0, L237 + O236, 0)</f>
        <v>0</v>
      </c>
      <c r="P237" s="1">
        <f>IF(O237 &lt; 0, 1 + P236, 0)</f>
        <v>0</v>
      </c>
      <c r="Q237" s="1">
        <f>IF(E237&lt;0,1,0)</f>
        <v>0</v>
      </c>
      <c r="R237" s="1">
        <f>IF(Q237=1,E237,0)</f>
        <v>0</v>
      </c>
      <c r="S237" s="1">
        <f>IF(E237&gt;0,1,0)</f>
        <v>0</v>
      </c>
      <c r="T237" s="1">
        <f>IF(S237=1,E237,0)</f>
        <v>0</v>
      </c>
      <c r="U237" s="1">
        <f>IF(R237&lt;-100000000/100,1,0)</f>
        <v>0</v>
      </c>
      <c r="V237" s="1">
        <f>IF(T237&gt;100000000/100,1,0)</f>
        <v>0</v>
      </c>
      <c r="W237" s="1">
        <f>IF(L237&lt;0,1,0)</f>
        <v>0</v>
      </c>
      <c r="X237" s="1">
        <f>IF(W237=1,L237,0)</f>
        <v>0</v>
      </c>
      <c r="Y237" s="1">
        <f>IF(L237&gt;0,1,0)</f>
        <v>0</v>
      </c>
      <c r="Z237" s="1">
        <f>IF(Y237=1,L237,0)</f>
        <v>0</v>
      </c>
      <c r="AA237" s="1">
        <f>IF(X237&lt;-100000000/100,1,0)</f>
        <v>0</v>
      </c>
      <c r="AB237" s="1">
        <f>IF(Z237&gt;100000000/100,1,0)</f>
        <v>0</v>
      </c>
    </row>
    <row r="238" spans="1:28" s="1" customFormat="1">
      <c r="A238" s="3">
        <v>45329</v>
      </c>
      <c r="B238" s="2" t="s">
        <v>14</v>
      </c>
      <c r="C238" s="1">
        <f>SUM(PL!E238:H238)</f>
        <v>0</v>
      </c>
      <c r="D238" s="1">
        <f>SUM(PL!I238:L238)</f>
        <v>0</v>
      </c>
      <c r="E238" s="1">
        <f>SUM(C238:D238)</f>
        <v>0</v>
      </c>
      <c r="F238" s="1">
        <f>IF(C238 + F237 &lt; 0, C238 + F237, 0)</f>
        <v>0</v>
      </c>
      <c r="G238" s="1">
        <f>IF(D238 + G237 &lt; 0, D238 + G237, 0)</f>
        <v>0</v>
      </c>
      <c r="H238" s="1">
        <f>IF(E238 + H237 &lt; 0, E238 + H237, 0)</f>
        <v>0</v>
      </c>
      <c r="I238" s="1">
        <f>IF(H238 &lt; 0, 1 + I237, 0)</f>
        <v>0</v>
      </c>
      <c r="J238" s="1">
        <f>C238-((ABS(SUM(PL!E238:H238)))*0.125)</f>
        <v>0</v>
      </c>
      <c r="K238" s="1">
        <f>D238-((ABS(SUM(PL!I238:L238)))*0.125)</f>
        <v>0</v>
      </c>
      <c r="L238" s="1">
        <f>J238 + K238</f>
        <v>0</v>
      </c>
      <c r="M238" s="1">
        <f>IF(J238 + M237 &lt; 0, J238 + M237, 0)</f>
        <v>0</v>
      </c>
      <c r="N238" s="1">
        <f>IF(K238 + N237 &lt; 0, K238 + N237, 0)</f>
        <v>0</v>
      </c>
      <c r="O238" s="1">
        <f>IF(L238 + O237 &lt; 0, L238 + O237, 0)</f>
        <v>0</v>
      </c>
      <c r="P238" s="1">
        <f>IF(O238 &lt; 0, 1 + P237, 0)</f>
        <v>0</v>
      </c>
      <c r="Q238" s="1">
        <f>IF(E238&lt;0,1,0)</f>
        <v>0</v>
      </c>
      <c r="R238" s="1">
        <f>IF(Q238=1,E238,0)</f>
        <v>0</v>
      </c>
      <c r="S238" s="1">
        <f>IF(E238&gt;0,1,0)</f>
        <v>0</v>
      </c>
      <c r="T238" s="1">
        <f>IF(S238=1,E238,0)</f>
        <v>0</v>
      </c>
      <c r="U238" s="1">
        <f>IF(R238&lt;-100000000/100,1,0)</f>
        <v>0</v>
      </c>
      <c r="V238" s="1">
        <f>IF(T238&gt;100000000/100,1,0)</f>
        <v>0</v>
      </c>
      <c r="W238" s="1">
        <f>IF(L238&lt;0,1,0)</f>
        <v>0</v>
      </c>
      <c r="X238" s="1">
        <f>IF(W238=1,L238,0)</f>
        <v>0</v>
      </c>
      <c r="Y238" s="1">
        <f>IF(L238&gt;0,1,0)</f>
        <v>0</v>
      </c>
      <c r="Z238" s="1">
        <f>IF(Y238=1,L238,0)</f>
        <v>0</v>
      </c>
      <c r="AA238" s="1">
        <f>IF(X238&lt;-100000000/100,1,0)</f>
        <v>0</v>
      </c>
      <c r="AB238" s="1">
        <f>IF(Z238&gt;100000000/100,1,0)</f>
        <v>0</v>
      </c>
    </row>
    <row r="239" spans="1:28" s="1" customFormat="1">
      <c r="A239" s="3">
        <v>45334</v>
      </c>
      <c r="B239" s="2" t="s">
        <v>12</v>
      </c>
      <c r="C239" s="1">
        <f>SUM(PL!E239:H239)</f>
        <v>0</v>
      </c>
      <c r="D239" s="1">
        <f>SUM(PL!I239:L239)</f>
        <v>0</v>
      </c>
      <c r="E239" s="1">
        <f>SUM(C239:D239)</f>
        <v>0</v>
      </c>
      <c r="F239" s="1">
        <f>IF(C239 + F238 &lt; 0, C239 + F238, 0)</f>
        <v>0</v>
      </c>
      <c r="G239" s="1">
        <f>IF(D239 + G238 &lt; 0, D239 + G238, 0)</f>
        <v>0</v>
      </c>
      <c r="H239" s="1">
        <f>IF(E239 + H238 &lt; 0, E239 + H238, 0)</f>
        <v>0</v>
      </c>
      <c r="I239" s="1">
        <f>IF(H239 &lt; 0, 1 + I238, 0)</f>
        <v>0</v>
      </c>
      <c r="J239" s="1">
        <f>C239-((ABS(SUM(PL!E239:H239)))*0.125)</f>
        <v>0</v>
      </c>
      <c r="K239" s="1">
        <f>D239-((ABS(SUM(PL!I239:L239)))*0.125)</f>
        <v>0</v>
      </c>
      <c r="L239" s="1">
        <f>J239 + K239</f>
        <v>0</v>
      </c>
      <c r="M239" s="1">
        <f>IF(J239 + M238 &lt; 0, J239 + M238, 0)</f>
        <v>0</v>
      </c>
      <c r="N239" s="1">
        <f>IF(K239 + N238 &lt; 0, K239 + N238, 0)</f>
        <v>0</v>
      </c>
      <c r="O239" s="1">
        <f>IF(L239 + O238 &lt; 0, L239 + O238, 0)</f>
        <v>0</v>
      </c>
      <c r="P239" s="1">
        <f>IF(O239 &lt; 0, 1 + P238, 0)</f>
        <v>0</v>
      </c>
      <c r="Q239" s="1">
        <f>IF(E239&lt;0,1,0)</f>
        <v>0</v>
      </c>
      <c r="R239" s="1">
        <f>IF(Q239=1,E239,0)</f>
        <v>0</v>
      </c>
      <c r="S239" s="1">
        <f>IF(E239&gt;0,1,0)</f>
        <v>0</v>
      </c>
      <c r="T239" s="1">
        <f>IF(S239=1,E239,0)</f>
        <v>0</v>
      </c>
      <c r="U239" s="1">
        <f>IF(R239&lt;-100000000/100,1,0)</f>
        <v>0</v>
      </c>
      <c r="V239" s="1">
        <f>IF(T239&gt;100000000/100,1,0)</f>
        <v>0</v>
      </c>
      <c r="W239" s="1">
        <f>IF(L239&lt;0,1,0)</f>
        <v>0</v>
      </c>
      <c r="X239" s="1">
        <f>IF(W239=1,L239,0)</f>
        <v>0</v>
      </c>
      <c r="Y239" s="1">
        <f>IF(L239&gt;0,1,0)</f>
        <v>0</v>
      </c>
      <c r="Z239" s="1">
        <f>IF(Y239=1,L239,0)</f>
        <v>0</v>
      </c>
      <c r="AA239" s="1">
        <f>IF(X239&lt;-100000000/100,1,0)</f>
        <v>0</v>
      </c>
      <c r="AB239" s="1">
        <f>IF(Z239&gt;100000000/100,1,0)</f>
        <v>0</v>
      </c>
    </row>
    <row r="240" spans="1:28" s="1" customFormat="1">
      <c r="A240" s="3">
        <v>45335</v>
      </c>
      <c r="B240" s="2" t="s">
        <v>13</v>
      </c>
      <c r="C240" s="1">
        <f>SUM(PL!E240:H240)</f>
        <v>0</v>
      </c>
      <c r="D240" s="1">
        <f>SUM(PL!I240:L240)</f>
        <v>0</v>
      </c>
      <c r="E240" s="1">
        <f>SUM(C240:D240)</f>
        <v>0</v>
      </c>
      <c r="F240" s="1">
        <f>IF(C240 + F239 &lt; 0, C240 + F239, 0)</f>
        <v>0</v>
      </c>
      <c r="G240" s="1">
        <f>IF(D240 + G239 &lt; 0, D240 + G239, 0)</f>
        <v>0</v>
      </c>
      <c r="H240" s="1">
        <f>IF(E240 + H239 &lt; 0, E240 + H239, 0)</f>
        <v>0</v>
      </c>
      <c r="I240" s="1">
        <f>IF(H240 &lt; 0, 1 + I239, 0)</f>
        <v>0</v>
      </c>
      <c r="J240" s="1">
        <f>C240-((ABS(SUM(PL!E240:H240)))*0.125)</f>
        <v>0</v>
      </c>
      <c r="K240" s="1">
        <f>D240-((ABS(SUM(PL!I240:L240)))*0.125)</f>
        <v>0</v>
      </c>
      <c r="L240" s="1">
        <f>J240 + K240</f>
        <v>0</v>
      </c>
      <c r="M240" s="1">
        <f>IF(J240 + M239 &lt; 0, J240 + M239, 0)</f>
        <v>0</v>
      </c>
      <c r="N240" s="1">
        <f>IF(K240 + N239 &lt; 0, K240 + N239, 0)</f>
        <v>0</v>
      </c>
      <c r="O240" s="1">
        <f>IF(L240 + O239 &lt; 0, L240 + O239, 0)</f>
        <v>0</v>
      </c>
      <c r="P240" s="1">
        <f>IF(O240 &lt; 0, 1 + P239, 0)</f>
        <v>0</v>
      </c>
      <c r="Q240" s="1">
        <f>IF(E240&lt;0,1,0)</f>
        <v>0</v>
      </c>
      <c r="R240" s="1">
        <f>IF(Q240=1,E240,0)</f>
        <v>0</v>
      </c>
      <c r="S240" s="1">
        <f>IF(E240&gt;0,1,0)</f>
        <v>0</v>
      </c>
      <c r="T240" s="1">
        <f>IF(S240=1,E240,0)</f>
        <v>0</v>
      </c>
      <c r="U240" s="1">
        <f>IF(R240&lt;-100000000/100,1,0)</f>
        <v>0</v>
      </c>
      <c r="V240" s="1">
        <f>IF(T240&gt;100000000/100,1,0)</f>
        <v>0</v>
      </c>
      <c r="W240" s="1">
        <f>IF(L240&lt;0,1,0)</f>
        <v>0</v>
      </c>
      <c r="X240" s="1">
        <f>IF(W240=1,L240,0)</f>
        <v>0</v>
      </c>
      <c r="Y240" s="1">
        <f>IF(L240&gt;0,1,0)</f>
        <v>0</v>
      </c>
      <c r="Z240" s="1">
        <f>IF(Y240=1,L240,0)</f>
        <v>0</v>
      </c>
      <c r="AA240" s="1">
        <f>IF(X240&lt;-100000000/100,1,0)</f>
        <v>0</v>
      </c>
      <c r="AB240" s="1">
        <f>IF(Z240&gt;100000000/100,1,0)</f>
        <v>0</v>
      </c>
    </row>
    <row r="241" spans="1:28" s="1" customFormat="1">
      <c r="A241" s="3">
        <v>45336</v>
      </c>
      <c r="B241" s="2" t="s">
        <v>14</v>
      </c>
      <c r="C241" s="1">
        <f>SUM(PL!E241:H241)</f>
        <v>0</v>
      </c>
      <c r="D241" s="1">
        <f>SUM(PL!I241:L241)</f>
        <v>0</v>
      </c>
      <c r="E241" s="1">
        <f>SUM(C241:D241)</f>
        <v>0</v>
      </c>
      <c r="F241" s="1">
        <f>IF(C241 + F240 &lt; 0, C241 + F240, 0)</f>
        <v>0</v>
      </c>
      <c r="G241" s="1">
        <f>IF(D241 + G240 &lt; 0, D241 + G240, 0)</f>
        <v>0</v>
      </c>
      <c r="H241" s="1">
        <f>IF(E241 + H240 &lt; 0, E241 + H240, 0)</f>
        <v>0</v>
      </c>
      <c r="I241" s="1">
        <f>IF(H241 &lt; 0, 1 + I240, 0)</f>
        <v>0</v>
      </c>
      <c r="J241" s="1">
        <f>C241-((ABS(SUM(PL!E241:H241)))*0.125)</f>
        <v>0</v>
      </c>
      <c r="K241" s="1">
        <f>D241-((ABS(SUM(PL!I241:L241)))*0.125)</f>
        <v>0</v>
      </c>
      <c r="L241" s="1">
        <f>J241 + K241</f>
        <v>0</v>
      </c>
      <c r="M241" s="1">
        <f>IF(J241 + M240 &lt; 0, J241 + M240, 0)</f>
        <v>0</v>
      </c>
      <c r="N241" s="1">
        <f>IF(K241 + N240 &lt; 0, K241 + N240, 0)</f>
        <v>0</v>
      </c>
      <c r="O241" s="1">
        <f>IF(L241 + O240 &lt; 0, L241 + O240, 0)</f>
        <v>0</v>
      </c>
      <c r="P241" s="1">
        <f>IF(O241 &lt; 0, 1 + P240, 0)</f>
        <v>0</v>
      </c>
      <c r="Q241" s="1">
        <f>IF(E241&lt;0,1,0)</f>
        <v>0</v>
      </c>
      <c r="R241" s="1">
        <f>IF(Q241=1,E241,0)</f>
        <v>0</v>
      </c>
      <c r="S241" s="1">
        <f>IF(E241&gt;0,1,0)</f>
        <v>0</v>
      </c>
      <c r="T241" s="1">
        <f>IF(S241=1,E241,0)</f>
        <v>0</v>
      </c>
      <c r="U241" s="1">
        <f>IF(R241&lt;-100000000/100,1,0)</f>
        <v>0</v>
      </c>
      <c r="V241" s="1">
        <f>IF(T241&gt;100000000/100,1,0)</f>
        <v>0</v>
      </c>
      <c r="W241" s="1">
        <f>IF(L241&lt;0,1,0)</f>
        <v>0</v>
      </c>
      <c r="X241" s="1">
        <f>IF(W241=1,L241,0)</f>
        <v>0</v>
      </c>
      <c r="Y241" s="1">
        <f>IF(L241&gt;0,1,0)</f>
        <v>0</v>
      </c>
      <c r="Z241" s="1">
        <f>IF(Y241=1,L241,0)</f>
        <v>0</v>
      </c>
      <c r="AA241" s="1">
        <f>IF(X241&lt;-100000000/100,1,0)</f>
        <v>0</v>
      </c>
      <c r="AB241" s="1">
        <f>IF(Z241&gt;100000000/100,1,0)</f>
        <v>0</v>
      </c>
    </row>
    <row r="242" spans="1:28" s="1" customFormat="1">
      <c r="A242" s="3">
        <v>45337</v>
      </c>
      <c r="B242" s="2" t="s">
        <v>16</v>
      </c>
      <c r="C242" s="1">
        <f>SUM(PL!E242:H242)</f>
        <v>0</v>
      </c>
      <c r="D242" s="1">
        <f>SUM(PL!I242:L242)</f>
        <v>0</v>
      </c>
      <c r="E242" s="1">
        <f>SUM(C242:D242)</f>
        <v>0</v>
      </c>
      <c r="F242" s="1">
        <f>IF(C242 + F241 &lt; 0, C242 + F241, 0)</f>
        <v>0</v>
      </c>
      <c r="G242" s="1">
        <f>IF(D242 + G241 &lt; 0, D242 + G241, 0)</f>
        <v>0</v>
      </c>
      <c r="H242" s="1">
        <f>IF(E242 + H241 &lt; 0, E242 + H241, 0)</f>
        <v>0</v>
      </c>
      <c r="I242" s="1">
        <f>IF(H242 &lt; 0, 1 + I241, 0)</f>
        <v>0</v>
      </c>
      <c r="J242" s="1">
        <f>C242-((ABS(SUM(PL!E242:H242)))*0.125)</f>
        <v>0</v>
      </c>
      <c r="K242" s="1">
        <f>D242-((ABS(SUM(PL!I242:L242)))*0.125)</f>
        <v>0</v>
      </c>
      <c r="L242" s="1">
        <f>J242 + K242</f>
        <v>0</v>
      </c>
      <c r="M242" s="1">
        <f>IF(J242 + M241 &lt; 0, J242 + M241, 0)</f>
        <v>0</v>
      </c>
      <c r="N242" s="1">
        <f>IF(K242 + N241 &lt; 0, K242 + N241, 0)</f>
        <v>0</v>
      </c>
      <c r="O242" s="1">
        <f>IF(L242 + O241 &lt; 0, L242 + O241, 0)</f>
        <v>0</v>
      </c>
      <c r="P242" s="1">
        <f>IF(O242 &lt; 0, 1 + P241, 0)</f>
        <v>0</v>
      </c>
      <c r="Q242" s="1">
        <f>IF(E242&lt;0,1,0)</f>
        <v>0</v>
      </c>
      <c r="R242" s="1">
        <f>IF(Q242=1,E242,0)</f>
        <v>0</v>
      </c>
      <c r="S242" s="1">
        <f>IF(E242&gt;0,1,0)</f>
        <v>0</v>
      </c>
      <c r="T242" s="1">
        <f>IF(S242=1,E242,0)</f>
        <v>0</v>
      </c>
      <c r="U242" s="1">
        <f>IF(R242&lt;-100000000/100,1,0)</f>
        <v>0</v>
      </c>
      <c r="V242" s="1">
        <f>IF(T242&gt;100000000/100,1,0)</f>
        <v>0</v>
      </c>
      <c r="W242" s="1">
        <f>IF(L242&lt;0,1,0)</f>
        <v>0</v>
      </c>
      <c r="X242" s="1">
        <f>IF(W242=1,L242,0)</f>
        <v>0</v>
      </c>
      <c r="Y242" s="1">
        <f>IF(L242&gt;0,1,0)</f>
        <v>0</v>
      </c>
      <c r="Z242" s="1">
        <f>IF(Y242=1,L242,0)</f>
        <v>0</v>
      </c>
      <c r="AA242" s="1">
        <f>IF(X242&lt;-100000000/100,1,0)</f>
        <v>0</v>
      </c>
      <c r="AB242" s="1">
        <f>IF(Z242&gt;100000000/100,1,0)</f>
        <v>0</v>
      </c>
    </row>
    <row r="243" spans="1:28" s="1" customFormat="1">
      <c r="A243" s="3">
        <v>45338</v>
      </c>
      <c r="B243" s="2" t="s">
        <v>15</v>
      </c>
      <c r="C243" s="1">
        <f>SUM(PL!E243:H243)</f>
        <v>0</v>
      </c>
      <c r="D243" s="1">
        <f>SUM(PL!I243:L243)</f>
        <v>0</v>
      </c>
      <c r="E243" s="1">
        <f>SUM(C243:D243)</f>
        <v>0</v>
      </c>
      <c r="F243" s="1">
        <f>IF(C243 + F242 &lt; 0, C243 + F242, 0)</f>
        <v>0</v>
      </c>
      <c r="G243" s="1">
        <f>IF(D243 + G242 &lt; 0, D243 + G242, 0)</f>
        <v>0</v>
      </c>
      <c r="H243" s="1">
        <f>IF(E243 + H242 &lt; 0, E243 + H242, 0)</f>
        <v>0</v>
      </c>
      <c r="I243" s="1">
        <f>IF(H243 &lt; 0, 1 + I242, 0)</f>
        <v>0</v>
      </c>
      <c r="J243" s="1">
        <f>C243-((ABS(SUM(PL!E243:H243)))*0.125)</f>
        <v>0</v>
      </c>
      <c r="K243" s="1">
        <f>D243-((ABS(SUM(PL!I243:L243)))*0.125)</f>
        <v>0</v>
      </c>
      <c r="L243" s="1">
        <f>J243 + K243</f>
        <v>0</v>
      </c>
      <c r="M243" s="1">
        <f>IF(J243 + M242 &lt; 0, J243 + M242, 0)</f>
        <v>0</v>
      </c>
      <c r="N243" s="1">
        <f>IF(K243 + N242 &lt; 0, K243 + N242, 0)</f>
        <v>0</v>
      </c>
      <c r="O243" s="1">
        <f>IF(L243 + O242 &lt; 0, L243 + O242, 0)</f>
        <v>0</v>
      </c>
      <c r="P243" s="1">
        <f>IF(O243 &lt; 0, 1 + P242, 0)</f>
        <v>0</v>
      </c>
      <c r="Q243" s="1">
        <f>IF(E243&lt;0,1,0)</f>
        <v>0</v>
      </c>
      <c r="R243" s="1">
        <f>IF(Q243=1,E243,0)</f>
        <v>0</v>
      </c>
      <c r="S243" s="1">
        <f>IF(E243&gt;0,1,0)</f>
        <v>0</v>
      </c>
      <c r="T243" s="1">
        <f>IF(S243=1,E243,0)</f>
        <v>0</v>
      </c>
      <c r="U243" s="1">
        <f>IF(R243&lt;-100000000/100,1,0)</f>
        <v>0</v>
      </c>
      <c r="V243" s="1">
        <f>IF(T243&gt;100000000/100,1,0)</f>
        <v>0</v>
      </c>
      <c r="W243" s="1">
        <f>IF(L243&lt;0,1,0)</f>
        <v>0</v>
      </c>
      <c r="X243" s="1">
        <f>IF(W243=1,L243,0)</f>
        <v>0</v>
      </c>
      <c r="Y243" s="1">
        <f>IF(L243&gt;0,1,0)</f>
        <v>0</v>
      </c>
      <c r="Z243" s="1">
        <f>IF(Y243=1,L243,0)</f>
        <v>0</v>
      </c>
      <c r="AA243" s="1">
        <f>IF(X243&lt;-100000000/100,1,0)</f>
        <v>0</v>
      </c>
      <c r="AB243" s="1">
        <f>IF(Z243&gt;100000000/100,1,0)</f>
        <v>0</v>
      </c>
    </row>
    <row r="244" spans="1:28" s="1" customFormat="1">
      <c r="A244" s="3">
        <v>45341</v>
      </c>
      <c r="B244" s="2" t="s">
        <v>12</v>
      </c>
      <c r="C244" s="1">
        <f>SUM(PL!E244:H244)</f>
        <v>0</v>
      </c>
      <c r="D244" s="1">
        <f>SUM(PL!I244:L244)</f>
        <v>0</v>
      </c>
      <c r="E244" s="1">
        <f>SUM(C244:D244)</f>
        <v>0</v>
      </c>
      <c r="F244" s="1">
        <f>IF(C244 + F243 &lt; 0, C244 + F243, 0)</f>
        <v>0</v>
      </c>
      <c r="G244" s="1">
        <f>IF(D244 + G243 &lt; 0, D244 + G243, 0)</f>
        <v>0</v>
      </c>
      <c r="H244" s="1">
        <f>IF(E244 + H243 &lt; 0, E244 + H243, 0)</f>
        <v>0</v>
      </c>
      <c r="I244" s="1">
        <f>IF(H244 &lt; 0, 1 + I243, 0)</f>
        <v>0</v>
      </c>
      <c r="J244" s="1">
        <f>C244-((ABS(SUM(PL!E244:H244)))*0.125)</f>
        <v>0</v>
      </c>
      <c r="K244" s="1">
        <f>D244-((ABS(SUM(PL!I244:L244)))*0.125)</f>
        <v>0</v>
      </c>
      <c r="L244" s="1">
        <f>J244 + K244</f>
        <v>0</v>
      </c>
      <c r="M244" s="1">
        <f>IF(J244 + M243 &lt; 0, J244 + M243, 0)</f>
        <v>0</v>
      </c>
      <c r="N244" s="1">
        <f>IF(K244 + N243 &lt; 0, K244 + N243, 0)</f>
        <v>0</v>
      </c>
      <c r="O244" s="1">
        <f>IF(L244 + O243 &lt; 0, L244 + O243, 0)</f>
        <v>0</v>
      </c>
      <c r="P244" s="1">
        <f>IF(O244 &lt; 0, 1 + P243, 0)</f>
        <v>0</v>
      </c>
      <c r="Q244" s="1">
        <f>IF(E244&lt;0,1,0)</f>
        <v>0</v>
      </c>
      <c r="R244" s="1">
        <f>IF(Q244=1,E244,0)</f>
        <v>0</v>
      </c>
      <c r="S244" s="1">
        <f>IF(E244&gt;0,1,0)</f>
        <v>0</v>
      </c>
      <c r="T244" s="1">
        <f>IF(S244=1,E244,0)</f>
        <v>0</v>
      </c>
      <c r="U244" s="1">
        <f>IF(R244&lt;-100000000/100,1,0)</f>
        <v>0</v>
      </c>
      <c r="V244" s="1">
        <f>IF(T244&gt;100000000/100,1,0)</f>
        <v>0</v>
      </c>
      <c r="W244" s="1">
        <f>IF(L244&lt;0,1,0)</f>
        <v>0</v>
      </c>
      <c r="X244" s="1">
        <f>IF(W244=1,L244,0)</f>
        <v>0</v>
      </c>
      <c r="Y244" s="1">
        <f>IF(L244&gt;0,1,0)</f>
        <v>0</v>
      </c>
      <c r="Z244" s="1">
        <f>IF(Y244=1,L244,0)</f>
        <v>0</v>
      </c>
      <c r="AA244" s="1">
        <f>IF(X244&lt;-100000000/100,1,0)</f>
        <v>0</v>
      </c>
      <c r="AB244" s="1">
        <f>IF(Z244&gt;100000000/100,1,0)</f>
        <v>0</v>
      </c>
    </row>
    <row r="245" spans="1:28" s="1" customFormat="1">
      <c r="A245" s="3">
        <v>45342</v>
      </c>
      <c r="B245" s="2" t="s">
        <v>13</v>
      </c>
      <c r="C245" s="1">
        <f>SUM(PL!E245:H245)</f>
        <v>0</v>
      </c>
      <c r="D245" s="1">
        <f>SUM(PL!I245:L245)</f>
        <v>0</v>
      </c>
      <c r="E245" s="1">
        <f>SUM(C245:D245)</f>
        <v>0</v>
      </c>
      <c r="F245" s="1">
        <f>IF(C245 + F244 &lt; 0, C245 + F244, 0)</f>
        <v>0</v>
      </c>
      <c r="G245" s="1">
        <f>IF(D245 + G244 &lt; 0, D245 + G244, 0)</f>
        <v>0</v>
      </c>
      <c r="H245" s="1">
        <f>IF(E245 + H244 &lt; 0, E245 + H244, 0)</f>
        <v>0</v>
      </c>
      <c r="I245" s="1">
        <f>IF(H245 &lt; 0, 1 + I244, 0)</f>
        <v>0</v>
      </c>
      <c r="J245" s="1">
        <f>C245-((ABS(SUM(PL!E245:H245)))*0.125)</f>
        <v>0</v>
      </c>
      <c r="K245" s="1">
        <f>D245-((ABS(SUM(PL!I245:L245)))*0.125)</f>
        <v>0</v>
      </c>
      <c r="L245" s="1">
        <f>J245 + K245</f>
        <v>0</v>
      </c>
      <c r="M245" s="1">
        <f>IF(J245 + M244 &lt; 0, J245 + M244, 0)</f>
        <v>0</v>
      </c>
      <c r="N245" s="1">
        <f>IF(K245 + N244 &lt; 0, K245 + N244, 0)</f>
        <v>0</v>
      </c>
      <c r="O245" s="1">
        <f>IF(L245 + O244 &lt; 0, L245 + O244, 0)</f>
        <v>0</v>
      </c>
      <c r="P245" s="1">
        <f>IF(O245 &lt; 0, 1 + P244, 0)</f>
        <v>0</v>
      </c>
      <c r="Q245" s="1">
        <f>IF(E245&lt;0,1,0)</f>
        <v>0</v>
      </c>
      <c r="R245" s="1">
        <f>IF(Q245=1,E245,0)</f>
        <v>0</v>
      </c>
      <c r="S245" s="1">
        <f>IF(E245&gt;0,1,0)</f>
        <v>0</v>
      </c>
      <c r="T245" s="1">
        <f>IF(S245=1,E245,0)</f>
        <v>0</v>
      </c>
      <c r="U245" s="1">
        <f>IF(R245&lt;-100000000/100,1,0)</f>
        <v>0</v>
      </c>
      <c r="V245" s="1">
        <f>IF(T245&gt;100000000/100,1,0)</f>
        <v>0</v>
      </c>
      <c r="W245" s="1">
        <f>IF(L245&lt;0,1,0)</f>
        <v>0</v>
      </c>
      <c r="X245" s="1">
        <f>IF(W245=1,L245,0)</f>
        <v>0</v>
      </c>
      <c r="Y245" s="1">
        <f>IF(L245&gt;0,1,0)</f>
        <v>0</v>
      </c>
      <c r="Z245" s="1">
        <f>IF(Y245=1,L245,0)</f>
        <v>0</v>
      </c>
      <c r="AA245" s="1">
        <f>IF(X245&lt;-100000000/100,1,0)</f>
        <v>0</v>
      </c>
      <c r="AB245" s="1">
        <f>IF(Z245&gt;100000000/100,1,0)</f>
        <v>0</v>
      </c>
    </row>
    <row r="246" spans="1:28" s="1" customFormat="1">
      <c r="A246" s="3">
        <v>45343</v>
      </c>
      <c r="B246" s="2" t="s">
        <v>14</v>
      </c>
      <c r="C246" s="1">
        <f>SUM(PL!E246:H246)</f>
        <v>0</v>
      </c>
      <c r="D246" s="1">
        <f>SUM(PL!I246:L246)</f>
        <v>0</v>
      </c>
      <c r="E246" s="1">
        <f>SUM(C246:D246)</f>
        <v>0</v>
      </c>
      <c r="F246" s="1">
        <f>IF(C246 + F245 &lt; 0, C246 + F245, 0)</f>
        <v>0</v>
      </c>
      <c r="G246" s="1">
        <f>IF(D246 + G245 &lt; 0, D246 + G245, 0)</f>
        <v>0</v>
      </c>
      <c r="H246" s="1">
        <f>IF(E246 + H245 &lt; 0, E246 + H245, 0)</f>
        <v>0</v>
      </c>
      <c r="I246" s="1">
        <f>IF(H246 &lt; 0, 1 + I245, 0)</f>
        <v>0</v>
      </c>
      <c r="J246" s="1">
        <f>C246-((ABS(SUM(PL!E246:H246)))*0.125)</f>
        <v>0</v>
      </c>
      <c r="K246" s="1">
        <f>D246-((ABS(SUM(PL!I246:L246)))*0.125)</f>
        <v>0</v>
      </c>
      <c r="L246" s="1">
        <f>J246 + K246</f>
        <v>0</v>
      </c>
      <c r="M246" s="1">
        <f>IF(J246 + M245 &lt; 0, J246 + M245, 0)</f>
        <v>0</v>
      </c>
      <c r="N246" s="1">
        <f>IF(K246 + N245 &lt; 0, K246 + N245, 0)</f>
        <v>0</v>
      </c>
      <c r="O246" s="1">
        <f>IF(L246 + O245 &lt; 0, L246 + O245, 0)</f>
        <v>0</v>
      </c>
      <c r="P246" s="1">
        <f>IF(O246 &lt; 0, 1 + P245, 0)</f>
        <v>0</v>
      </c>
      <c r="Q246" s="1">
        <f>IF(E246&lt;0,1,0)</f>
        <v>0</v>
      </c>
      <c r="R246" s="1">
        <f>IF(Q246=1,E246,0)</f>
        <v>0</v>
      </c>
      <c r="S246" s="1">
        <f>IF(E246&gt;0,1,0)</f>
        <v>0</v>
      </c>
      <c r="T246" s="1">
        <f>IF(S246=1,E246,0)</f>
        <v>0</v>
      </c>
      <c r="U246" s="1">
        <f>IF(R246&lt;-100000000/100,1,0)</f>
        <v>0</v>
      </c>
      <c r="V246" s="1">
        <f>IF(T246&gt;100000000/100,1,0)</f>
        <v>0</v>
      </c>
      <c r="W246" s="1">
        <f>IF(L246&lt;0,1,0)</f>
        <v>0</v>
      </c>
      <c r="X246" s="1">
        <f>IF(W246=1,L246,0)</f>
        <v>0</v>
      </c>
      <c r="Y246" s="1">
        <f>IF(L246&gt;0,1,0)</f>
        <v>0</v>
      </c>
      <c r="Z246" s="1">
        <f>IF(Y246=1,L246,0)</f>
        <v>0</v>
      </c>
      <c r="AA246" s="1">
        <f>IF(X246&lt;-100000000/100,1,0)</f>
        <v>0</v>
      </c>
      <c r="AB246" s="1">
        <f>IF(Z246&gt;100000000/100,1,0)</f>
        <v>0</v>
      </c>
    </row>
    <row r="247" spans="1:28" s="1" customFormat="1">
      <c r="A247" s="3">
        <v>45344</v>
      </c>
      <c r="B247" s="2" t="s">
        <v>16</v>
      </c>
      <c r="C247" s="1">
        <f>SUM(PL!E247:H247)</f>
        <v>0</v>
      </c>
      <c r="D247" s="1">
        <f>SUM(PL!I247:L247)</f>
        <v>0</v>
      </c>
      <c r="E247" s="1">
        <f>SUM(C247:D247)</f>
        <v>0</v>
      </c>
      <c r="F247" s="1">
        <f>IF(C247 + F246 &lt; 0, C247 + F246, 0)</f>
        <v>0</v>
      </c>
      <c r="G247" s="1">
        <f>IF(D247 + G246 &lt; 0, D247 + G246, 0)</f>
        <v>0</v>
      </c>
      <c r="H247" s="1">
        <f>IF(E247 + H246 &lt; 0, E247 + H246, 0)</f>
        <v>0</v>
      </c>
      <c r="I247" s="1">
        <f>IF(H247 &lt; 0, 1 + I246, 0)</f>
        <v>0</v>
      </c>
      <c r="J247" s="1">
        <f>C247-((ABS(SUM(PL!E247:H247)))*0.125)</f>
        <v>0</v>
      </c>
      <c r="K247" s="1">
        <f>D247-((ABS(SUM(PL!I247:L247)))*0.125)</f>
        <v>0</v>
      </c>
      <c r="L247" s="1">
        <f>J247 + K247</f>
        <v>0</v>
      </c>
      <c r="M247" s="1">
        <f>IF(J247 + M246 &lt; 0, J247 + M246, 0)</f>
        <v>0</v>
      </c>
      <c r="N247" s="1">
        <f>IF(K247 + N246 &lt; 0, K247 + N246, 0)</f>
        <v>0</v>
      </c>
      <c r="O247" s="1">
        <f>IF(L247 + O246 &lt; 0, L247 + O246, 0)</f>
        <v>0</v>
      </c>
      <c r="P247" s="1">
        <f>IF(O247 &lt; 0, 1 + P246, 0)</f>
        <v>0</v>
      </c>
      <c r="Q247" s="1">
        <f>IF(E247&lt;0,1,0)</f>
        <v>0</v>
      </c>
      <c r="R247" s="1">
        <f>IF(Q247=1,E247,0)</f>
        <v>0</v>
      </c>
      <c r="S247" s="1">
        <f>IF(E247&gt;0,1,0)</f>
        <v>0</v>
      </c>
      <c r="T247" s="1">
        <f>IF(S247=1,E247,0)</f>
        <v>0</v>
      </c>
      <c r="U247" s="1">
        <f>IF(R247&lt;-100000000/100,1,0)</f>
        <v>0</v>
      </c>
      <c r="V247" s="1">
        <f>IF(T247&gt;100000000/100,1,0)</f>
        <v>0</v>
      </c>
      <c r="W247" s="1">
        <f>IF(L247&lt;0,1,0)</f>
        <v>0</v>
      </c>
      <c r="X247" s="1">
        <f>IF(W247=1,L247,0)</f>
        <v>0</v>
      </c>
      <c r="Y247" s="1">
        <f>IF(L247&gt;0,1,0)</f>
        <v>0</v>
      </c>
      <c r="Z247" s="1">
        <f>IF(Y247=1,L247,0)</f>
        <v>0</v>
      </c>
      <c r="AA247" s="1">
        <f>IF(X247&lt;-100000000/100,1,0)</f>
        <v>0</v>
      </c>
      <c r="AB247" s="1">
        <f>IF(Z247&gt;100000000/100,1,0)</f>
        <v>0</v>
      </c>
    </row>
    <row r="248" spans="1:28" s="1" customFormat="1">
      <c r="A248" s="3">
        <v>45345</v>
      </c>
      <c r="B248" s="2" t="s">
        <v>15</v>
      </c>
      <c r="C248" s="1">
        <f>SUM(PL!E248:H248)</f>
        <v>0</v>
      </c>
      <c r="D248" s="1">
        <f>SUM(PL!I248:L248)</f>
        <v>0</v>
      </c>
      <c r="E248" s="1">
        <f>SUM(C248:D248)</f>
        <v>0</v>
      </c>
      <c r="F248" s="1">
        <f>IF(C248 + F247 &lt; 0, C248 + F247, 0)</f>
        <v>0</v>
      </c>
      <c r="G248" s="1">
        <f>IF(D248 + G247 &lt; 0, D248 + G247, 0)</f>
        <v>0</v>
      </c>
      <c r="H248" s="1">
        <f>IF(E248 + H247 &lt; 0, E248 + H247, 0)</f>
        <v>0</v>
      </c>
      <c r="I248" s="1">
        <f>IF(H248 &lt; 0, 1 + I247, 0)</f>
        <v>0</v>
      </c>
      <c r="J248" s="1">
        <f>C248-((ABS(SUM(PL!E248:H248)))*0.125)</f>
        <v>0</v>
      </c>
      <c r="K248" s="1">
        <f>D248-((ABS(SUM(PL!I248:L248)))*0.125)</f>
        <v>0</v>
      </c>
      <c r="L248" s="1">
        <f>J248 + K248</f>
        <v>0</v>
      </c>
      <c r="M248" s="1">
        <f>IF(J248 + M247 &lt; 0, J248 + M247, 0)</f>
        <v>0</v>
      </c>
      <c r="N248" s="1">
        <f>IF(K248 + N247 &lt; 0, K248 + N247, 0)</f>
        <v>0</v>
      </c>
      <c r="O248" s="1">
        <f>IF(L248 + O247 &lt; 0, L248 + O247, 0)</f>
        <v>0</v>
      </c>
      <c r="P248" s="1">
        <f>IF(O248 &lt; 0, 1 + P247, 0)</f>
        <v>0</v>
      </c>
      <c r="Q248" s="1">
        <f>IF(E248&lt;0,1,0)</f>
        <v>0</v>
      </c>
      <c r="R248" s="1">
        <f>IF(Q248=1,E248,0)</f>
        <v>0</v>
      </c>
      <c r="S248" s="1">
        <f>IF(E248&gt;0,1,0)</f>
        <v>0</v>
      </c>
      <c r="T248" s="1">
        <f>IF(S248=1,E248,0)</f>
        <v>0</v>
      </c>
      <c r="U248" s="1">
        <f>IF(R248&lt;-100000000/100,1,0)</f>
        <v>0</v>
      </c>
      <c r="V248" s="1">
        <f>IF(T248&gt;100000000/100,1,0)</f>
        <v>0</v>
      </c>
      <c r="W248" s="1">
        <f>IF(L248&lt;0,1,0)</f>
        <v>0</v>
      </c>
      <c r="X248" s="1">
        <f>IF(W248=1,L248,0)</f>
        <v>0</v>
      </c>
      <c r="Y248" s="1">
        <f>IF(L248&gt;0,1,0)</f>
        <v>0</v>
      </c>
      <c r="Z248" s="1">
        <f>IF(Y248=1,L248,0)</f>
        <v>0</v>
      </c>
      <c r="AA248" s="1">
        <f>IF(X248&lt;-100000000/100,1,0)</f>
        <v>0</v>
      </c>
      <c r="AB248" s="1">
        <f>IF(Z248&gt;100000000/100,1,0)</f>
        <v>0</v>
      </c>
    </row>
    <row r="249" spans="1:28" s="1" customFormat="1">
      <c r="A249" s="3">
        <v>45348</v>
      </c>
      <c r="B249" s="2" t="s">
        <v>12</v>
      </c>
      <c r="C249" s="1">
        <f>SUM(PL!E249:H249)</f>
        <v>0</v>
      </c>
      <c r="D249" s="1">
        <f>SUM(PL!I249:L249)</f>
        <v>0</v>
      </c>
      <c r="E249" s="1">
        <f>SUM(C249:D249)</f>
        <v>0</v>
      </c>
      <c r="F249" s="1">
        <f>IF(C249 + F248 &lt; 0, C249 + F248, 0)</f>
        <v>0</v>
      </c>
      <c r="G249" s="1">
        <f>IF(D249 + G248 &lt; 0, D249 + G248, 0)</f>
        <v>0</v>
      </c>
      <c r="H249" s="1">
        <f>IF(E249 + H248 &lt; 0, E249 + H248, 0)</f>
        <v>0</v>
      </c>
      <c r="I249" s="1">
        <f>IF(H249 &lt; 0, 1 + I248, 0)</f>
        <v>0</v>
      </c>
      <c r="J249" s="1">
        <f>C249-((ABS(SUM(PL!E249:H249)))*0.125)</f>
        <v>0</v>
      </c>
      <c r="K249" s="1">
        <f>D249-((ABS(SUM(PL!I249:L249)))*0.125)</f>
        <v>0</v>
      </c>
      <c r="L249" s="1">
        <f>J249 + K249</f>
        <v>0</v>
      </c>
      <c r="M249" s="1">
        <f>IF(J249 + M248 &lt; 0, J249 + M248, 0)</f>
        <v>0</v>
      </c>
      <c r="N249" s="1">
        <f>IF(K249 + N248 &lt; 0, K249 + N248, 0)</f>
        <v>0</v>
      </c>
      <c r="O249" s="1">
        <f>IF(L249 + O248 &lt; 0, L249 + O248, 0)</f>
        <v>0</v>
      </c>
      <c r="P249" s="1">
        <f>IF(O249 &lt; 0, 1 + P248, 0)</f>
        <v>0</v>
      </c>
      <c r="Q249" s="1">
        <f>IF(E249&lt;0,1,0)</f>
        <v>0</v>
      </c>
      <c r="R249" s="1">
        <f>IF(Q249=1,E249,0)</f>
        <v>0</v>
      </c>
      <c r="S249" s="1">
        <f>IF(E249&gt;0,1,0)</f>
        <v>0</v>
      </c>
      <c r="T249" s="1">
        <f>IF(S249=1,E249,0)</f>
        <v>0</v>
      </c>
      <c r="U249" s="1">
        <f>IF(R249&lt;-100000000/100,1,0)</f>
        <v>0</v>
      </c>
      <c r="V249" s="1">
        <f>IF(T249&gt;100000000/100,1,0)</f>
        <v>0</v>
      </c>
      <c r="W249" s="1">
        <f>IF(L249&lt;0,1,0)</f>
        <v>0</v>
      </c>
      <c r="X249" s="1">
        <f>IF(W249=1,L249,0)</f>
        <v>0</v>
      </c>
      <c r="Y249" s="1">
        <f>IF(L249&gt;0,1,0)</f>
        <v>0</v>
      </c>
      <c r="Z249" s="1">
        <f>IF(Y249=1,L249,0)</f>
        <v>0</v>
      </c>
      <c r="AA249" s="1">
        <f>IF(X249&lt;-100000000/100,1,0)</f>
        <v>0</v>
      </c>
      <c r="AB249" s="1">
        <f>IF(Z249&gt;100000000/100,1,0)</f>
        <v>0</v>
      </c>
    </row>
    <row r="250" spans="1:28" s="1" customFormat="1">
      <c r="A250" s="3">
        <v>45349</v>
      </c>
      <c r="B250" s="2" t="s">
        <v>13</v>
      </c>
      <c r="C250" s="1">
        <f>SUM(PL!E250:H250)</f>
        <v>0</v>
      </c>
      <c r="D250" s="1">
        <f>SUM(PL!I250:L250)</f>
        <v>0</v>
      </c>
      <c r="E250" s="1">
        <f>SUM(C250:D250)</f>
        <v>0</v>
      </c>
      <c r="F250" s="1">
        <f>IF(C250 + F249 &lt; 0, C250 + F249, 0)</f>
        <v>0</v>
      </c>
      <c r="G250" s="1">
        <f>IF(D250 + G249 &lt; 0, D250 + G249, 0)</f>
        <v>0</v>
      </c>
      <c r="H250" s="1">
        <f>IF(E250 + H249 &lt; 0, E250 + H249, 0)</f>
        <v>0</v>
      </c>
      <c r="I250" s="1">
        <f>IF(H250 &lt; 0, 1 + I249, 0)</f>
        <v>0</v>
      </c>
      <c r="J250" s="1">
        <f>C250-((ABS(SUM(PL!E250:H250)))*0.125)</f>
        <v>0</v>
      </c>
      <c r="K250" s="1">
        <f>D250-((ABS(SUM(PL!I250:L250)))*0.125)</f>
        <v>0</v>
      </c>
      <c r="L250" s="1">
        <f>J250 + K250</f>
        <v>0</v>
      </c>
      <c r="M250" s="1">
        <f>IF(J250 + M249 &lt; 0, J250 + M249, 0)</f>
        <v>0</v>
      </c>
      <c r="N250" s="1">
        <f>IF(K250 + N249 &lt; 0, K250 + N249, 0)</f>
        <v>0</v>
      </c>
      <c r="O250" s="1">
        <f>IF(L250 + O249 &lt; 0, L250 + O249, 0)</f>
        <v>0</v>
      </c>
      <c r="P250" s="1">
        <f>IF(O250 &lt; 0, 1 + P249, 0)</f>
        <v>0</v>
      </c>
      <c r="Q250" s="1">
        <f>IF(E250&lt;0,1,0)</f>
        <v>0</v>
      </c>
      <c r="R250" s="1">
        <f>IF(Q250=1,E250,0)</f>
        <v>0</v>
      </c>
      <c r="S250" s="1">
        <f>IF(E250&gt;0,1,0)</f>
        <v>0</v>
      </c>
      <c r="T250" s="1">
        <f>IF(S250=1,E250,0)</f>
        <v>0</v>
      </c>
      <c r="U250" s="1">
        <f>IF(R250&lt;-100000000/100,1,0)</f>
        <v>0</v>
      </c>
      <c r="V250" s="1">
        <f>IF(T250&gt;100000000/100,1,0)</f>
        <v>0</v>
      </c>
      <c r="W250" s="1">
        <f>IF(L250&lt;0,1,0)</f>
        <v>0</v>
      </c>
      <c r="X250" s="1">
        <f>IF(W250=1,L250,0)</f>
        <v>0</v>
      </c>
      <c r="Y250" s="1">
        <f>IF(L250&gt;0,1,0)</f>
        <v>0</v>
      </c>
      <c r="Z250" s="1">
        <f>IF(Y250=1,L250,0)</f>
        <v>0</v>
      </c>
      <c r="AA250" s="1">
        <f>IF(X250&lt;-100000000/100,1,0)</f>
        <v>0</v>
      </c>
      <c r="AB250" s="1">
        <f>IF(Z250&gt;100000000/100,1,0)</f>
        <v>0</v>
      </c>
    </row>
    <row r="251" spans="1:28" s="1" customFormat="1">
      <c r="A251" s="3">
        <v>45350</v>
      </c>
      <c r="B251" s="2" t="s">
        <v>14</v>
      </c>
      <c r="C251" s="1">
        <f>SUM(PL!E251:H251)</f>
        <v>0</v>
      </c>
      <c r="D251" s="1">
        <f>SUM(PL!I251:L251)</f>
        <v>0</v>
      </c>
      <c r="E251" s="1">
        <f>SUM(C251:D251)</f>
        <v>0</v>
      </c>
      <c r="F251" s="1">
        <f>IF(C251 + F250 &lt; 0, C251 + F250, 0)</f>
        <v>0</v>
      </c>
      <c r="G251" s="1">
        <f>IF(D251 + G250 &lt; 0, D251 + G250, 0)</f>
        <v>0</v>
      </c>
      <c r="H251" s="1">
        <f>IF(E251 + H250 &lt; 0, E251 + H250, 0)</f>
        <v>0</v>
      </c>
      <c r="I251" s="1">
        <f>IF(H251 &lt; 0, 1 + I250, 0)</f>
        <v>0</v>
      </c>
      <c r="J251" s="1">
        <f>C251-((ABS(SUM(PL!E251:H251)))*0.125)</f>
        <v>0</v>
      </c>
      <c r="K251" s="1">
        <f>D251-((ABS(SUM(PL!I251:L251)))*0.125)</f>
        <v>0</v>
      </c>
      <c r="L251" s="1">
        <f>J251 + K251</f>
        <v>0</v>
      </c>
      <c r="M251" s="1">
        <f>IF(J251 + M250 &lt; 0, J251 + M250, 0)</f>
        <v>0</v>
      </c>
      <c r="N251" s="1">
        <f>IF(K251 + N250 &lt; 0, K251 + N250, 0)</f>
        <v>0</v>
      </c>
      <c r="O251" s="1">
        <f>IF(L251 + O250 &lt; 0, L251 + O250, 0)</f>
        <v>0</v>
      </c>
      <c r="P251" s="1">
        <f>IF(O251 &lt; 0, 1 + P250, 0)</f>
        <v>0</v>
      </c>
      <c r="Q251" s="1">
        <f>IF(E251&lt;0,1,0)</f>
        <v>0</v>
      </c>
      <c r="R251" s="1">
        <f>IF(Q251=1,E251,0)</f>
        <v>0</v>
      </c>
      <c r="S251" s="1">
        <f>IF(E251&gt;0,1,0)</f>
        <v>0</v>
      </c>
      <c r="T251" s="1">
        <f>IF(S251=1,E251,0)</f>
        <v>0</v>
      </c>
      <c r="U251" s="1">
        <f>IF(R251&lt;-100000000/100,1,0)</f>
        <v>0</v>
      </c>
      <c r="V251" s="1">
        <f>IF(T251&gt;100000000/100,1,0)</f>
        <v>0</v>
      </c>
      <c r="W251" s="1">
        <f>IF(L251&lt;0,1,0)</f>
        <v>0</v>
      </c>
      <c r="X251" s="1">
        <f>IF(W251=1,L251,0)</f>
        <v>0</v>
      </c>
      <c r="Y251" s="1">
        <f>IF(L251&gt;0,1,0)</f>
        <v>0</v>
      </c>
      <c r="Z251" s="1">
        <f>IF(Y251=1,L251,0)</f>
        <v>0</v>
      </c>
      <c r="AA251" s="1">
        <f>IF(X251&lt;-100000000/100,1,0)</f>
        <v>0</v>
      </c>
      <c r="AB251" s="1">
        <f>IF(Z251&gt;100000000/100,1,0)</f>
        <v>0</v>
      </c>
    </row>
    <row r="252" spans="1:28" s="1" customFormat="1">
      <c r="A252" s="3">
        <v>45351</v>
      </c>
      <c r="B252" s="2" t="s">
        <v>16</v>
      </c>
      <c r="C252" s="1">
        <f>SUM(PL!E252:H252)</f>
        <v>0</v>
      </c>
      <c r="D252" s="1">
        <f>SUM(PL!I252:L252)</f>
        <v>0</v>
      </c>
      <c r="E252" s="1">
        <f>SUM(C252:D252)</f>
        <v>0</v>
      </c>
      <c r="F252" s="1">
        <f>IF(C252 + F251 &lt; 0, C252 + F251, 0)</f>
        <v>0</v>
      </c>
      <c r="G252" s="1">
        <f>IF(D252 + G251 &lt; 0, D252 + G251, 0)</f>
        <v>0</v>
      </c>
      <c r="H252" s="1">
        <f>IF(E252 + H251 &lt; 0, E252 + H251, 0)</f>
        <v>0</v>
      </c>
      <c r="I252" s="1">
        <f>IF(H252 &lt; 0, 1 + I251, 0)</f>
        <v>0</v>
      </c>
      <c r="J252" s="1">
        <f>C252-((ABS(SUM(PL!E252:H252)))*0.125)</f>
        <v>0</v>
      </c>
      <c r="K252" s="1">
        <f>D252-((ABS(SUM(PL!I252:L252)))*0.125)</f>
        <v>0</v>
      </c>
      <c r="L252" s="1">
        <f>J252 + K252</f>
        <v>0</v>
      </c>
      <c r="M252" s="1">
        <f>IF(J252 + M251 &lt; 0, J252 + M251, 0)</f>
        <v>0</v>
      </c>
      <c r="N252" s="1">
        <f>IF(K252 + N251 &lt; 0, K252 + N251, 0)</f>
        <v>0</v>
      </c>
      <c r="O252" s="1">
        <f>IF(L252 + O251 &lt; 0, L252 + O251, 0)</f>
        <v>0</v>
      </c>
      <c r="P252" s="1">
        <f>IF(O252 &lt; 0, 1 + P251, 0)</f>
        <v>0</v>
      </c>
      <c r="Q252" s="1">
        <f>IF(E252&lt;0,1,0)</f>
        <v>0</v>
      </c>
      <c r="R252" s="1">
        <f>IF(Q252=1,E252,0)</f>
        <v>0</v>
      </c>
      <c r="S252" s="1">
        <f>IF(E252&gt;0,1,0)</f>
        <v>0</v>
      </c>
      <c r="T252" s="1">
        <f>IF(S252=1,E252,0)</f>
        <v>0</v>
      </c>
      <c r="U252" s="1">
        <f>IF(R252&lt;-100000000/100,1,0)</f>
        <v>0</v>
      </c>
      <c r="V252" s="1">
        <f>IF(T252&gt;100000000/100,1,0)</f>
        <v>0</v>
      </c>
      <c r="W252" s="1">
        <f>IF(L252&lt;0,1,0)</f>
        <v>0</v>
      </c>
      <c r="X252" s="1">
        <f>IF(W252=1,L252,0)</f>
        <v>0</v>
      </c>
      <c r="Y252" s="1">
        <f>IF(L252&gt;0,1,0)</f>
        <v>0</v>
      </c>
      <c r="Z252" s="1">
        <f>IF(Y252=1,L252,0)</f>
        <v>0</v>
      </c>
      <c r="AA252" s="1">
        <f>IF(X252&lt;-100000000/100,1,0)</f>
        <v>0</v>
      </c>
      <c r="AB252" s="1">
        <f>IF(Z252&gt;100000000/100,1,0)</f>
        <v>0</v>
      </c>
    </row>
    <row r="253" spans="1:28" s="1" customFormat="1">
      <c r="A253" s="3">
        <v>45352</v>
      </c>
      <c r="B253" s="2" t="s">
        <v>15</v>
      </c>
      <c r="C253" s="1">
        <f>SUM(PL!E253:H253)</f>
        <v>0</v>
      </c>
      <c r="D253" s="1">
        <f>SUM(PL!I253:L253)</f>
        <v>0</v>
      </c>
      <c r="E253" s="1">
        <f>SUM(C253:D253)</f>
        <v>0</v>
      </c>
      <c r="F253" s="1">
        <f>IF(C253 + F252 &lt; 0, C253 + F252, 0)</f>
        <v>0</v>
      </c>
      <c r="G253" s="1">
        <f>IF(D253 + G252 &lt; 0, D253 + G252, 0)</f>
        <v>0</v>
      </c>
      <c r="H253" s="1">
        <f>IF(E253 + H252 &lt; 0, E253 + H252, 0)</f>
        <v>0</v>
      </c>
      <c r="I253" s="1">
        <f>IF(H253 &lt; 0, 1 + I252, 0)</f>
        <v>0</v>
      </c>
      <c r="J253" s="1">
        <f>C253-((ABS(SUM(PL!E253:H253)))*0.125)</f>
        <v>0</v>
      </c>
      <c r="K253" s="1">
        <f>D253-((ABS(SUM(PL!I253:L253)))*0.125)</f>
        <v>0</v>
      </c>
      <c r="L253" s="1">
        <f>J253 + K253</f>
        <v>0</v>
      </c>
      <c r="M253" s="1">
        <f>IF(J253 + M252 &lt; 0, J253 + M252, 0)</f>
        <v>0</v>
      </c>
      <c r="N253" s="1">
        <f>IF(K253 + N252 &lt; 0, K253 + N252, 0)</f>
        <v>0</v>
      </c>
      <c r="O253" s="1">
        <f>IF(L253 + O252 &lt; 0, L253 + O252, 0)</f>
        <v>0</v>
      </c>
      <c r="P253" s="1">
        <f>IF(O253 &lt; 0, 1 + P252, 0)</f>
        <v>0</v>
      </c>
      <c r="Q253" s="1">
        <f>IF(E253&lt;0,1,0)</f>
        <v>0</v>
      </c>
      <c r="R253" s="1">
        <f>IF(Q253=1,E253,0)</f>
        <v>0</v>
      </c>
      <c r="S253" s="1">
        <f>IF(E253&gt;0,1,0)</f>
        <v>0</v>
      </c>
      <c r="T253" s="1">
        <f>IF(S253=1,E253,0)</f>
        <v>0</v>
      </c>
      <c r="U253" s="1">
        <f>IF(R253&lt;-100000000/100,1,0)</f>
        <v>0</v>
      </c>
      <c r="V253" s="1">
        <f>IF(T253&gt;100000000/100,1,0)</f>
        <v>0</v>
      </c>
      <c r="W253" s="1">
        <f>IF(L253&lt;0,1,0)</f>
        <v>0</v>
      </c>
      <c r="X253" s="1">
        <f>IF(W253=1,L253,0)</f>
        <v>0</v>
      </c>
      <c r="Y253" s="1">
        <f>IF(L253&gt;0,1,0)</f>
        <v>0</v>
      </c>
      <c r="Z253" s="1">
        <f>IF(Y253=1,L253,0)</f>
        <v>0</v>
      </c>
      <c r="AA253" s="1">
        <f>IF(X253&lt;-100000000/100,1,0)</f>
        <v>0</v>
      </c>
      <c r="AB253" s="1">
        <f>IF(Z253&gt;100000000/100,1,0)</f>
        <v>0</v>
      </c>
    </row>
    <row r="254" spans="1:28" s="1" customFormat="1">
      <c r="A254" s="3">
        <v>45355</v>
      </c>
      <c r="B254" s="2" t="s">
        <v>12</v>
      </c>
      <c r="C254" s="1">
        <f>SUM(PL!E254:H254)</f>
        <v>0</v>
      </c>
      <c r="D254" s="1">
        <f>SUM(PL!I254:L254)</f>
        <v>0</v>
      </c>
      <c r="E254" s="1">
        <f>SUM(C254:D254)</f>
        <v>0</v>
      </c>
      <c r="F254" s="1">
        <f>IF(C254 + F253 &lt; 0, C254 + F253, 0)</f>
        <v>0</v>
      </c>
      <c r="G254" s="1">
        <f>IF(D254 + G253 &lt; 0, D254 + G253, 0)</f>
        <v>0</v>
      </c>
      <c r="H254" s="1">
        <f>IF(E254 + H253 &lt; 0, E254 + H253, 0)</f>
        <v>0</v>
      </c>
      <c r="I254" s="1">
        <f>IF(H254 &lt; 0, 1 + I253, 0)</f>
        <v>0</v>
      </c>
      <c r="J254" s="1">
        <f>C254-((ABS(SUM(PL!E254:H254)))*0.125)</f>
        <v>0</v>
      </c>
      <c r="K254" s="1">
        <f>D254-((ABS(SUM(PL!I254:L254)))*0.125)</f>
        <v>0</v>
      </c>
      <c r="L254" s="1">
        <f>J254 + K254</f>
        <v>0</v>
      </c>
      <c r="M254" s="1">
        <f>IF(J254 + M253 &lt; 0, J254 + M253, 0)</f>
        <v>0</v>
      </c>
      <c r="N254" s="1">
        <f>IF(K254 + N253 &lt; 0, K254 + N253, 0)</f>
        <v>0</v>
      </c>
      <c r="O254" s="1">
        <f>IF(L254 + O253 &lt; 0, L254 + O253, 0)</f>
        <v>0</v>
      </c>
      <c r="P254" s="1">
        <f>IF(O254 &lt; 0, 1 + P253, 0)</f>
        <v>0</v>
      </c>
      <c r="Q254" s="1">
        <f>IF(E254&lt;0,1,0)</f>
        <v>0</v>
      </c>
      <c r="R254" s="1">
        <f>IF(Q254=1,E254,0)</f>
        <v>0</v>
      </c>
      <c r="S254" s="1">
        <f>IF(E254&gt;0,1,0)</f>
        <v>0</v>
      </c>
      <c r="T254" s="1">
        <f>IF(S254=1,E254,0)</f>
        <v>0</v>
      </c>
      <c r="U254" s="1">
        <f>IF(R254&lt;-100000000/100,1,0)</f>
        <v>0</v>
      </c>
      <c r="V254" s="1">
        <f>IF(T254&gt;100000000/100,1,0)</f>
        <v>0</v>
      </c>
      <c r="W254" s="1">
        <f>IF(L254&lt;0,1,0)</f>
        <v>0</v>
      </c>
      <c r="X254" s="1">
        <f>IF(W254=1,L254,0)</f>
        <v>0</v>
      </c>
      <c r="Y254" s="1">
        <f>IF(L254&gt;0,1,0)</f>
        <v>0</v>
      </c>
      <c r="Z254" s="1">
        <f>IF(Y254=1,L254,0)</f>
        <v>0</v>
      </c>
      <c r="AA254" s="1">
        <f>IF(X254&lt;-100000000/100,1,0)</f>
        <v>0</v>
      </c>
      <c r="AB254" s="1">
        <f>IF(Z254&gt;100000000/100,1,0)</f>
        <v>0</v>
      </c>
    </row>
    <row r="255" spans="1:28" s="1" customFormat="1">
      <c r="A255" s="3">
        <v>45356</v>
      </c>
      <c r="B255" s="2" t="s">
        <v>13</v>
      </c>
      <c r="C255" s="1">
        <f>SUM(PL!E255:H255)</f>
        <v>0</v>
      </c>
      <c r="D255" s="1">
        <f>SUM(PL!I255:L255)</f>
        <v>0</v>
      </c>
      <c r="E255" s="1">
        <f>SUM(C255:D255)</f>
        <v>0</v>
      </c>
      <c r="F255" s="1">
        <f>IF(C255 + F254 &lt; 0, C255 + F254, 0)</f>
        <v>0</v>
      </c>
      <c r="G255" s="1">
        <f>IF(D255 + G254 &lt; 0, D255 + G254, 0)</f>
        <v>0</v>
      </c>
      <c r="H255" s="1">
        <f>IF(E255 + H254 &lt; 0, E255 + H254, 0)</f>
        <v>0</v>
      </c>
      <c r="I255" s="1">
        <f>IF(H255 &lt; 0, 1 + I254, 0)</f>
        <v>0</v>
      </c>
      <c r="J255" s="1">
        <f>C255-((ABS(SUM(PL!E255:H255)))*0.125)</f>
        <v>0</v>
      </c>
      <c r="K255" s="1">
        <f>D255-((ABS(SUM(PL!I255:L255)))*0.125)</f>
        <v>0</v>
      </c>
      <c r="L255" s="1">
        <f>J255 + K255</f>
        <v>0</v>
      </c>
      <c r="M255" s="1">
        <f>IF(J255 + M254 &lt; 0, J255 + M254, 0)</f>
        <v>0</v>
      </c>
      <c r="N255" s="1">
        <f>IF(K255 + N254 &lt; 0, K255 + N254, 0)</f>
        <v>0</v>
      </c>
      <c r="O255" s="1">
        <f>IF(L255 + O254 &lt; 0, L255 + O254, 0)</f>
        <v>0</v>
      </c>
      <c r="P255" s="1">
        <f>IF(O255 &lt; 0, 1 + P254, 0)</f>
        <v>0</v>
      </c>
      <c r="Q255" s="1">
        <f>IF(E255&lt;0,1,0)</f>
        <v>0</v>
      </c>
      <c r="R255" s="1">
        <f>IF(Q255=1,E255,0)</f>
        <v>0</v>
      </c>
      <c r="S255" s="1">
        <f>IF(E255&gt;0,1,0)</f>
        <v>0</v>
      </c>
      <c r="T255" s="1">
        <f>IF(S255=1,E255,0)</f>
        <v>0</v>
      </c>
      <c r="U255" s="1">
        <f>IF(R255&lt;-100000000/100,1,0)</f>
        <v>0</v>
      </c>
      <c r="V255" s="1">
        <f>IF(T255&gt;100000000/100,1,0)</f>
        <v>0</v>
      </c>
      <c r="W255" s="1">
        <f>IF(L255&lt;0,1,0)</f>
        <v>0</v>
      </c>
      <c r="X255" s="1">
        <f>IF(W255=1,L255,0)</f>
        <v>0</v>
      </c>
      <c r="Y255" s="1">
        <f>IF(L255&gt;0,1,0)</f>
        <v>0</v>
      </c>
      <c r="Z255" s="1">
        <f>IF(Y255=1,L255,0)</f>
        <v>0</v>
      </c>
      <c r="AA255" s="1">
        <f>IF(X255&lt;-100000000/100,1,0)</f>
        <v>0</v>
      </c>
      <c r="AB255" s="1">
        <f>IF(Z255&gt;100000000/100,1,0)</f>
        <v>0</v>
      </c>
    </row>
    <row r="256" spans="1:28" s="1" customFormat="1">
      <c r="A256" s="3">
        <v>45357</v>
      </c>
      <c r="B256" s="2" t="s">
        <v>14</v>
      </c>
      <c r="C256" s="1">
        <f>SUM(PL!E256:H256)</f>
        <v>0</v>
      </c>
      <c r="D256" s="1">
        <f>SUM(PL!I256:L256)</f>
        <v>0</v>
      </c>
      <c r="E256" s="1">
        <f>SUM(C256:D256)</f>
        <v>0</v>
      </c>
      <c r="F256" s="1">
        <f>IF(C256 + F255 &lt; 0, C256 + F255, 0)</f>
        <v>0</v>
      </c>
      <c r="G256" s="1">
        <f>IF(D256 + G255 &lt; 0, D256 + G255, 0)</f>
        <v>0</v>
      </c>
      <c r="H256" s="1">
        <f>IF(E256 + H255 &lt; 0, E256 + H255, 0)</f>
        <v>0</v>
      </c>
      <c r="I256" s="1">
        <f>IF(H256 &lt; 0, 1 + I255, 0)</f>
        <v>0</v>
      </c>
      <c r="J256" s="1">
        <f>C256-((ABS(SUM(PL!E256:H256)))*0.125)</f>
        <v>0</v>
      </c>
      <c r="K256" s="1">
        <f>D256-((ABS(SUM(PL!I256:L256)))*0.125)</f>
        <v>0</v>
      </c>
      <c r="L256" s="1">
        <f>J256 + K256</f>
        <v>0</v>
      </c>
      <c r="M256" s="1">
        <f>IF(J256 + M255 &lt; 0, J256 + M255, 0)</f>
        <v>0</v>
      </c>
      <c r="N256" s="1">
        <f>IF(K256 + N255 &lt; 0, K256 + N255, 0)</f>
        <v>0</v>
      </c>
      <c r="O256" s="1">
        <f>IF(L256 + O255 &lt; 0, L256 + O255, 0)</f>
        <v>0</v>
      </c>
      <c r="P256" s="1">
        <f>IF(O256 &lt; 0, 1 + P255, 0)</f>
        <v>0</v>
      </c>
      <c r="Q256" s="1">
        <f>IF(E256&lt;0,1,0)</f>
        <v>0</v>
      </c>
      <c r="R256" s="1">
        <f>IF(Q256=1,E256,0)</f>
        <v>0</v>
      </c>
      <c r="S256" s="1">
        <f>IF(E256&gt;0,1,0)</f>
        <v>0</v>
      </c>
      <c r="T256" s="1">
        <f>IF(S256=1,E256,0)</f>
        <v>0</v>
      </c>
      <c r="U256" s="1">
        <f>IF(R256&lt;-100000000/100,1,0)</f>
        <v>0</v>
      </c>
      <c r="V256" s="1">
        <f>IF(T256&gt;100000000/100,1,0)</f>
        <v>0</v>
      </c>
      <c r="W256" s="1">
        <f>IF(L256&lt;0,1,0)</f>
        <v>0</v>
      </c>
      <c r="X256" s="1">
        <f>IF(W256=1,L256,0)</f>
        <v>0</v>
      </c>
      <c r="Y256" s="1">
        <f>IF(L256&gt;0,1,0)</f>
        <v>0</v>
      </c>
      <c r="Z256" s="1">
        <f>IF(Y256=1,L256,0)</f>
        <v>0</v>
      </c>
      <c r="AA256" s="1">
        <f>IF(X256&lt;-100000000/100,1,0)</f>
        <v>0</v>
      </c>
      <c r="AB256" s="1">
        <f>IF(Z256&gt;100000000/100,1,0)</f>
        <v>0</v>
      </c>
    </row>
    <row r="257" spans="1:28" s="1" customFormat="1">
      <c r="A257" s="3">
        <v>45358</v>
      </c>
      <c r="B257" s="2" t="s">
        <v>16</v>
      </c>
      <c r="C257" s="1">
        <f>SUM(PL!E257:H257)</f>
        <v>0</v>
      </c>
      <c r="D257" s="1">
        <f>SUM(PL!I257:L257)</f>
        <v>0</v>
      </c>
      <c r="E257" s="1">
        <f>SUM(C257:D257)</f>
        <v>0</v>
      </c>
      <c r="F257" s="1">
        <f>IF(C257 + F256 &lt; 0, C257 + F256, 0)</f>
        <v>0</v>
      </c>
      <c r="G257" s="1">
        <f>IF(D257 + G256 &lt; 0, D257 + G256, 0)</f>
        <v>0</v>
      </c>
      <c r="H257" s="1">
        <f>IF(E257 + H256 &lt; 0, E257 + H256, 0)</f>
        <v>0</v>
      </c>
      <c r="I257" s="1">
        <f>IF(H257 &lt; 0, 1 + I256, 0)</f>
        <v>0</v>
      </c>
      <c r="J257" s="1">
        <f>C257-((ABS(SUM(PL!E257:H257)))*0.125)</f>
        <v>0</v>
      </c>
      <c r="K257" s="1">
        <f>D257-((ABS(SUM(PL!I257:L257)))*0.125)</f>
        <v>0</v>
      </c>
      <c r="L257" s="1">
        <f>J257 + K257</f>
        <v>0</v>
      </c>
      <c r="M257" s="1">
        <f>IF(J257 + M256 &lt; 0, J257 + M256, 0)</f>
        <v>0</v>
      </c>
      <c r="N257" s="1">
        <f>IF(K257 + N256 &lt; 0, K257 + N256, 0)</f>
        <v>0</v>
      </c>
      <c r="O257" s="1">
        <f>IF(L257 + O256 &lt; 0, L257 + O256, 0)</f>
        <v>0</v>
      </c>
      <c r="P257" s="1">
        <f>IF(O257 &lt; 0, 1 + P256, 0)</f>
        <v>0</v>
      </c>
      <c r="Q257" s="1">
        <f>IF(E257&lt;0,1,0)</f>
        <v>0</v>
      </c>
      <c r="R257" s="1">
        <f>IF(Q257=1,E257,0)</f>
        <v>0</v>
      </c>
      <c r="S257" s="1">
        <f>IF(E257&gt;0,1,0)</f>
        <v>0</v>
      </c>
      <c r="T257" s="1">
        <f>IF(S257=1,E257,0)</f>
        <v>0</v>
      </c>
      <c r="U257" s="1">
        <f>IF(R257&lt;-100000000/100,1,0)</f>
        <v>0</v>
      </c>
      <c r="V257" s="1">
        <f>IF(T257&gt;100000000/100,1,0)</f>
        <v>0</v>
      </c>
      <c r="W257" s="1">
        <f>IF(L257&lt;0,1,0)</f>
        <v>0</v>
      </c>
      <c r="X257" s="1">
        <f>IF(W257=1,L257,0)</f>
        <v>0</v>
      </c>
      <c r="Y257" s="1">
        <f>IF(L257&gt;0,1,0)</f>
        <v>0</v>
      </c>
      <c r="Z257" s="1">
        <f>IF(Y257=1,L257,0)</f>
        <v>0</v>
      </c>
      <c r="AA257" s="1">
        <f>IF(X257&lt;-100000000/100,1,0)</f>
        <v>0</v>
      </c>
      <c r="AB257" s="1">
        <f>IF(Z257&gt;100000000/100,1,0)</f>
        <v>0</v>
      </c>
    </row>
    <row r="258" spans="1:28" s="1" customFormat="1">
      <c r="A258" s="3">
        <v>45359</v>
      </c>
      <c r="B258" s="2" t="s">
        <v>15</v>
      </c>
      <c r="C258" s="1">
        <f>SUM(PL!E258:H258)</f>
        <v>0</v>
      </c>
      <c r="D258" s="1">
        <f>SUM(PL!I258:L258)</f>
        <v>0</v>
      </c>
      <c r="E258" s="1">
        <f>SUM(C258:D258)</f>
        <v>0</v>
      </c>
      <c r="F258" s="1">
        <f>IF(C258 + F257 &lt; 0, C258 + F257, 0)</f>
        <v>0</v>
      </c>
      <c r="G258" s="1">
        <f>IF(D258 + G257 &lt; 0, D258 + G257, 0)</f>
        <v>0</v>
      </c>
      <c r="H258" s="1">
        <f>IF(E258 + H257 &lt; 0, E258 + H257, 0)</f>
        <v>0</v>
      </c>
      <c r="I258" s="1">
        <f>IF(H258 &lt; 0, 1 + I257, 0)</f>
        <v>0</v>
      </c>
      <c r="J258" s="1">
        <f>C258-((ABS(SUM(PL!E258:H258)))*0.125)</f>
        <v>0</v>
      </c>
      <c r="K258" s="1">
        <f>D258-((ABS(SUM(PL!I258:L258)))*0.125)</f>
        <v>0</v>
      </c>
      <c r="L258" s="1">
        <f>J258 + K258</f>
        <v>0</v>
      </c>
      <c r="M258" s="1">
        <f>IF(J258 + M257 &lt; 0, J258 + M257, 0)</f>
        <v>0</v>
      </c>
      <c r="N258" s="1">
        <f>IF(K258 + N257 &lt; 0, K258 + N257, 0)</f>
        <v>0</v>
      </c>
      <c r="O258" s="1">
        <f>IF(L258 + O257 &lt; 0, L258 + O257, 0)</f>
        <v>0</v>
      </c>
      <c r="P258" s="1">
        <f>IF(O258 &lt; 0, 1 + P257, 0)</f>
        <v>0</v>
      </c>
      <c r="Q258" s="1">
        <f>IF(E258&lt;0,1,0)</f>
        <v>0</v>
      </c>
      <c r="R258" s="1">
        <f>IF(Q258=1,E258,0)</f>
        <v>0</v>
      </c>
      <c r="S258" s="1">
        <f>IF(E258&gt;0,1,0)</f>
        <v>0</v>
      </c>
      <c r="T258" s="1">
        <f>IF(S258=1,E258,0)</f>
        <v>0</v>
      </c>
      <c r="U258" s="1">
        <f>IF(R258&lt;-100000000/100,1,0)</f>
        <v>0</v>
      </c>
      <c r="V258" s="1">
        <f>IF(T258&gt;100000000/100,1,0)</f>
        <v>0</v>
      </c>
      <c r="W258" s="1">
        <f>IF(L258&lt;0,1,0)</f>
        <v>0</v>
      </c>
      <c r="X258" s="1">
        <f>IF(W258=1,L258,0)</f>
        <v>0</v>
      </c>
      <c r="Y258" s="1">
        <f>IF(L258&gt;0,1,0)</f>
        <v>0</v>
      </c>
      <c r="Z258" s="1">
        <f>IF(Y258=1,L258,0)</f>
        <v>0</v>
      </c>
      <c r="AA258" s="1">
        <f>IF(X258&lt;-100000000/100,1,0)</f>
        <v>0</v>
      </c>
      <c r="AB258" s="1">
        <f>IF(Z258&gt;100000000/100,1,0)</f>
        <v>0</v>
      </c>
    </row>
    <row r="259" spans="1:28" s="1" customFormat="1">
      <c r="A259" s="3">
        <v>45362</v>
      </c>
      <c r="B259" s="2" t="s">
        <v>12</v>
      </c>
      <c r="C259" s="1">
        <f>SUM(PL!E259:H259)</f>
        <v>0</v>
      </c>
      <c r="D259" s="1">
        <f>SUM(PL!I259:L259)</f>
        <v>0</v>
      </c>
      <c r="E259" s="1">
        <f>SUM(C259:D259)</f>
        <v>0</v>
      </c>
      <c r="F259" s="1">
        <f>IF(C259 + F258 &lt; 0, C259 + F258, 0)</f>
        <v>0</v>
      </c>
      <c r="G259" s="1">
        <f>IF(D259 + G258 &lt; 0, D259 + G258, 0)</f>
        <v>0</v>
      </c>
      <c r="H259" s="1">
        <f>IF(E259 + H258 &lt; 0, E259 + H258, 0)</f>
        <v>0</v>
      </c>
      <c r="I259" s="1">
        <f>IF(H259 &lt; 0, 1 + I258, 0)</f>
        <v>0</v>
      </c>
      <c r="J259" s="1">
        <f>C259-((ABS(SUM(PL!E259:H259)))*0.125)</f>
        <v>0</v>
      </c>
      <c r="K259" s="1">
        <f>D259-((ABS(SUM(PL!I259:L259)))*0.125)</f>
        <v>0</v>
      </c>
      <c r="L259" s="1">
        <f>J259 + K259</f>
        <v>0</v>
      </c>
      <c r="M259" s="1">
        <f>IF(J259 + M258 &lt; 0, J259 + M258, 0)</f>
        <v>0</v>
      </c>
      <c r="N259" s="1">
        <f>IF(K259 + N258 &lt; 0, K259 + N258, 0)</f>
        <v>0</v>
      </c>
      <c r="O259" s="1">
        <f>IF(L259 + O258 &lt; 0, L259 + O258, 0)</f>
        <v>0</v>
      </c>
      <c r="P259" s="1">
        <f>IF(O259 &lt; 0, 1 + P258, 0)</f>
        <v>0</v>
      </c>
      <c r="Q259" s="1">
        <f>IF(E259&lt;0,1,0)</f>
        <v>0</v>
      </c>
      <c r="R259" s="1">
        <f>IF(Q259=1,E259,0)</f>
        <v>0</v>
      </c>
      <c r="S259" s="1">
        <f>IF(E259&gt;0,1,0)</f>
        <v>0</v>
      </c>
      <c r="T259" s="1">
        <f>IF(S259=1,E259,0)</f>
        <v>0</v>
      </c>
      <c r="U259" s="1">
        <f>IF(R259&lt;-100000000/100,1,0)</f>
        <v>0</v>
      </c>
      <c r="V259" s="1">
        <f>IF(T259&gt;100000000/100,1,0)</f>
        <v>0</v>
      </c>
      <c r="W259" s="1">
        <f>IF(L259&lt;0,1,0)</f>
        <v>0</v>
      </c>
      <c r="X259" s="1">
        <f>IF(W259=1,L259,0)</f>
        <v>0</v>
      </c>
      <c r="Y259" s="1">
        <f>IF(L259&gt;0,1,0)</f>
        <v>0</v>
      </c>
      <c r="Z259" s="1">
        <f>IF(Y259=1,L259,0)</f>
        <v>0</v>
      </c>
      <c r="AA259" s="1">
        <f>IF(X259&lt;-100000000/100,1,0)</f>
        <v>0</v>
      </c>
      <c r="AB259" s="1">
        <f>IF(Z259&gt;100000000/100,1,0)</f>
        <v>0</v>
      </c>
    </row>
    <row r="260" spans="1:28" s="1" customFormat="1">
      <c r="A260" s="3">
        <v>45363</v>
      </c>
      <c r="B260" s="2" t="s">
        <v>13</v>
      </c>
      <c r="C260" s="1">
        <f>SUM(PL!E260:H260)</f>
        <v>0</v>
      </c>
      <c r="D260" s="1">
        <f>SUM(PL!I260:L260)</f>
        <v>0</v>
      </c>
      <c r="E260" s="1">
        <f>SUM(C260:D260)</f>
        <v>0</v>
      </c>
      <c r="F260" s="1">
        <f>IF(C260 + F259 &lt; 0, C260 + F259, 0)</f>
        <v>0</v>
      </c>
      <c r="G260" s="1">
        <f>IF(D260 + G259 &lt; 0, D260 + G259, 0)</f>
        <v>0</v>
      </c>
      <c r="H260" s="1">
        <f>IF(E260 + H259 &lt; 0, E260 + H259, 0)</f>
        <v>0</v>
      </c>
      <c r="I260" s="1">
        <f>IF(H260 &lt; 0, 1 + I259, 0)</f>
        <v>0</v>
      </c>
      <c r="J260" s="1">
        <f>C260-((ABS(SUM(PL!E260:H260)))*0.125)</f>
        <v>0</v>
      </c>
      <c r="K260" s="1">
        <f>D260-((ABS(SUM(PL!I260:L260)))*0.125)</f>
        <v>0</v>
      </c>
      <c r="L260" s="1">
        <f>J260 + K260</f>
        <v>0</v>
      </c>
      <c r="M260" s="1">
        <f>IF(J260 + M259 &lt; 0, J260 + M259, 0)</f>
        <v>0</v>
      </c>
      <c r="N260" s="1">
        <f>IF(K260 + N259 &lt; 0, K260 + N259, 0)</f>
        <v>0</v>
      </c>
      <c r="O260" s="1">
        <f>IF(L260 + O259 &lt; 0, L260 + O259, 0)</f>
        <v>0</v>
      </c>
      <c r="P260" s="1">
        <f>IF(O260 &lt; 0, 1 + P259, 0)</f>
        <v>0</v>
      </c>
      <c r="Q260" s="1">
        <f>IF(E260&lt;0,1,0)</f>
        <v>0</v>
      </c>
      <c r="R260" s="1">
        <f>IF(Q260=1,E260,0)</f>
        <v>0</v>
      </c>
      <c r="S260" s="1">
        <f>IF(E260&gt;0,1,0)</f>
        <v>0</v>
      </c>
      <c r="T260" s="1">
        <f>IF(S260=1,E260,0)</f>
        <v>0</v>
      </c>
      <c r="U260" s="1">
        <f>IF(R260&lt;-100000000/100,1,0)</f>
        <v>0</v>
      </c>
      <c r="V260" s="1">
        <f>IF(T260&gt;100000000/100,1,0)</f>
        <v>0</v>
      </c>
      <c r="W260" s="1">
        <f>IF(L260&lt;0,1,0)</f>
        <v>0</v>
      </c>
      <c r="X260" s="1">
        <f>IF(W260=1,L260,0)</f>
        <v>0</v>
      </c>
      <c r="Y260" s="1">
        <f>IF(L260&gt;0,1,0)</f>
        <v>0</v>
      </c>
      <c r="Z260" s="1">
        <f>IF(Y260=1,L260,0)</f>
        <v>0</v>
      </c>
      <c r="AA260" s="1">
        <f>IF(X260&lt;-100000000/100,1,0)</f>
        <v>0</v>
      </c>
      <c r="AB260" s="1">
        <f>IF(Z260&gt;100000000/100,1,0)</f>
        <v>0</v>
      </c>
    </row>
    <row r="261" spans="1:28" s="1" customFormat="1">
      <c r="A261" s="3">
        <v>45364</v>
      </c>
      <c r="B261" s="2" t="s">
        <v>14</v>
      </c>
      <c r="C261" s="1">
        <f>SUM(PL!E261:H261)</f>
        <v>0</v>
      </c>
      <c r="D261" s="1">
        <f>SUM(PL!I261:L261)</f>
        <v>0</v>
      </c>
      <c r="E261" s="1">
        <f>SUM(C261:D261)</f>
        <v>0</v>
      </c>
      <c r="F261" s="1">
        <f>IF(C261 + F260 &lt; 0, C261 + F260, 0)</f>
        <v>0</v>
      </c>
      <c r="G261" s="1">
        <f>IF(D261 + G260 &lt; 0, D261 + G260, 0)</f>
        <v>0</v>
      </c>
      <c r="H261" s="1">
        <f>IF(E261 + H260 &lt; 0, E261 + H260, 0)</f>
        <v>0</v>
      </c>
      <c r="I261" s="1">
        <f>IF(H261 &lt; 0, 1 + I260, 0)</f>
        <v>0</v>
      </c>
      <c r="J261" s="1">
        <f>C261-((ABS(SUM(PL!E261:H261)))*0.125)</f>
        <v>0</v>
      </c>
      <c r="K261" s="1">
        <f>D261-((ABS(SUM(PL!I261:L261)))*0.125)</f>
        <v>0</v>
      </c>
      <c r="L261" s="1">
        <f>J261 + K261</f>
        <v>0</v>
      </c>
      <c r="M261" s="1">
        <f>IF(J261 + M260 &lt; 0, J261 + M260, 0)</f>
        <v>0</v>
      </c>
      <c r="N261" s="1">
        <f>IF(K261 + N260 &lt; 0, K261 + N260, 0)</f>
        <v>0</v>
      </c>
      <c r="O261" s="1">
        <f>IF(L261 + O260 &lt; 0, L261 + O260, 0)</f>
        <v>0</v>
      </c>
      <c r="P261" s="1">
        <f>IF(O261 &lt; 0, 1 + P260, 0)</f>
        <v>0</v>
      </c>
      <c r="Q261" s="1">
        <f>IF(E261&lt;0,1,0)</f>
        <v>0</v>
      </c>
      <c r="R261" s="1">
        <f>IF(Q261=1,E261,0)</f>
        <v>0</v>
      </c>
      <c r="S261" s="1">
        <f>IF(E261&gt;0,1,0)</f>
        <v>0</v>
      </c>
      <c r="T261" s="1">
        <f>IF(S261=1,E261,0)</f>
        <v>0</v>
      </c>
      <c r="U261" s="1">
        <f>IF(R261&lt;-100000000/100,1,0)</f>
        <v>0</v>
      </c>
      <c r="V261" s="1">
        <f>IF(T261&gt;100000000/100,1,0)</f>
        <v>0</v>
      </c>
      <c r="W261" s="1">
        <f>IF(L261&lt;0,1,0)</f>
        <v>0</v>
      </c>
      <c r="X261" s="1">
        <f>IF(W261=1,L261,0)</f>
        <v>0</v>
      </c>
      <c r="Y261" s="1">
        <f>IF(L261&gt;0,1,0)</f>
        <v>0</v>
      </c>
      <c r="Z261" s="1">
        <f>IF(Y261=1,L261,0)</f>
        <v>0</v>
      </c>
      <c r="AA261" s="1">
        <f>IF(X261&lt;-100000000/100,1,0)</f>
        <v>0</v>
      </c>
      <c r="AB261" s="1">
        <f>IF(Z261&gt;100000000/100,1,0)</f>
        <v>0</v>
      </c>
    </row>
    <row r="262" spans="1:28" s="1" customFormat="1">
      <c r="A262" s="3">
        <v>45365</v>
      </c>
      <c r="B262" s="2" t="s">
        <v>16</v>
      </c>
      <c r="C262" s="1">
        <f>SUM(PL!E262:H262)</f>
        <v>0</v>
      </c>
      <c r="D262" s="1">
        <f>SUM(PL!I262:L262)</f>
        <v>0</v>
      </c>
      <c r="E262" s="1">
        <f>SUM(C262:D262)</f>
        <v>0</v>
      </c>
      <c r="F262" s="1">
        <f>IF(C262 + F261 &lt; 0, C262 + F261, 0)</f>
        <v>0</v>
      </c>
      <c r="G262" s="1">
        <f>IF(D262 + G261 &lt; 0, D262 + G261, 0)</f>
        <v>0</v>
      </c>
      <c r="H262" s="1">
        <f>IF(E262 + H261 &lt; 0, E262 + H261, 0)</f>
        <v>0</v>
      </c>
      <c r="I262" s="1">
        <f>IF(H262 &lt; 0, 1 + I261, 0)</f>
        <v>0</v>
      </c>
      <c r="J262" s="1">
        <f>C262-((ABS(SUM(PL!E262:H262)))*0.125)</f>
        <v>0</v>
      </c>
      <c r="K262" s="1">
        <f>D262-((ABS(SUM(PL!I262:L262)))*0.125)</f>
        <v>0</v>
      </c>
      <c r="L262" s="1">
        <f>J262 + K262</f>
        <v>0</v>
      </c>
      <c r="M262" s="1">
        <f>IF(J262 + M261 &lt; 0, J262 + M261, 0)</f>
        <v>0</v>
      </c>
      <c r="N262" s="1">
        <f>IF(K262 + N261 &lt; 0, K262 + N261, 0)</f>
        <v>0</v>
      </c>
      <c r="O262" s="1">
        <f>IF(L262 + O261 &lt; 0, L262 + O261, 0)</f>
        <v>0</v>
      </c>
      <c r="P262" s="1">
        <f>IF(O262 &lt; 0, 1 + P261, 0)</f>
        <v>0</v>
      </c>
      <c r="Q262" s="1">
        <f>IF(E262&lt;0,1,0)</f>
        <v>0</v>
      </c>
      <c r="R262" s="1">
        <f>IF(Q262=1,E262,0)</f>
        <v>0</v>
      </c>
      <c r="S262" s="1">
        <f>IF(E262&gt;0,1,0)</f>
        <v>0</v>
      </c>
      <c r="T262" s="1">
        <f>IF(S262=1,E262,0)</f>
        <v>0</v>
      </c>
      <c r="U262" s="1">
        <f>IF(R262&lt;-100000000/100,1,0)</f>
        <v>0</v>
      </c>
      <c r="V262" s="1">
        <f>IF(T262&gt;100000000/100,1,0)</f>
        <v>0</v>
      </c>
      <c r="W262" s="1">
        <f>IF(L262&lt;0,1,0)</f>
        <v>0</v>
      </c>
      <c r="X262" s="1">
        <f>IF(W262=1,L262,0)</f>
        <v>0</v>
      </c>
      <c r="Y262" s="1">
        <f>IF(L262&gt;0,1,0)</f>
        <v>0</v>
      </c>
      <c r="Z262" s="1">
        <f>IF(Y262=1,L262,0)</f>
        <v>0</v>
      </c>
      <c r="AA262" s="1">
        <f>IF(X262&lt;-100000000/100,1,0)</f>
        <v>0</v>
      </c>
      <c r="AB262" s="1">
        <f>IF(Z262&gt;100000000/100,1,0)</f>
        <v>0</v>
      </c>
    </row>
    <row r="263" spans="1:28" s="1" customFormat="1">
      <c r="A263" s="3">
        <v>45366</v>
      </c>
      <c r="B263" s="2" t="s">
        <v>15</v>
      </c>
      <c r="C263" s="1">
        <f>SUM(PL!E263:H263)</f>
        <v>0</v>
      </c>
      <c r="D263" s="1">
        <f>SUM(PL!I263:L263)</f>
        <v>0</v>
      </c>
      <c r="E263" s="1">
        <f>SUM(C263:D263)</f>
        <v>0</v>
      </c>
      <c r="F263" s="1">
        <f>IF(C263 + F262 &lt; 0, C263 + F262, 0)</f>
        <v>0</v>
      </c>
      <c r="G263" s="1">
        <f>IF(D263 + G262 &lt; 0, D263 + G262, 0)</f>
        <v>0</v>
      </c>
      <c r="H263" s="1">
        <f>IF(E263 + H262 &lt; 0, E263 + H262, 0)</f>
        <v>0</v>
      </c>
      <c r="I263" s="1">
        <f>IF(H263 &lt; 0, 1 + I262, 0)</f>
        <v>0</v>
      </c>
      <c r="J263" s="1">
        <f>C263-((ABS(SUM(PL!E263:H263)))*0.125)</f>
        <v>0</v>
      </c>
      <c r="K263" s="1">
        <f>D263-((ABS(SUM(PL!I263:L263)))*0.125)</f>
        <v>0</v>
      </c>
      <c r="L263" s="1">
        <f>J263 + K263</f>
        <v>0</v>
      </c>
      <c r="M263" s="1">
        <f>IF(J263 + M262 &lt; 0, J263 + M262, 0)</f>
        <v>0</v>
      </c>
      <c r="N263" s="1">
        <f>IF(K263 + N262 &lt; 0, K263 + N262, 0)</f>
        <v>0</v>
      </c>
      <c r="O263" s="1">
        <f>IF(L263 + O262 &lt; 0, L263 + O262, 0)</f>
        <v>0</v>
      </c>
      <c r="P263" s="1">
        <f>IF(O263 &lt; 0, 1 + P262, 0)</f>
        <v>0</v>
      </c>
      <c r="Q263" s="1">
        <f>IF(E263&lt;0,1,0)</f>
        <v>0</v>
      </c>
      <c r="R263" s="1">
        <f>IF(Q263=1,E263,0)</f>
        <v>0</v>
      </c>
      <c r="S263" s="1">
        <f>IF(E263&gt;0,1,0)</f>
        <v>0</v>
      </c>
      <c r="T263" s="1">
        <f>IF(S263=1,E263,0)</f>
        <v>0</v>
      </c>
      <c r="U263" s="1">
        <f>IF(R263&lt;-100000000/100,1,0)</f>
        <v>0</v>
      </c>
      <c r="V263" s="1">
        <f>IF(T263&gt;100000000/100,1,0)</f>
        <v>0</v>
      </c>
      <c r="W263" s="1">
        <f>IF(L263&lt;0,1,0)</f>
        <v>0</v>
      </c>
      <c r="X263" s="1">
        <f>IF(W263=1,L263,0)</f>
        <v>0</v>
      </c>
      <c r="Y263" s="1">
        <f>IF(L263&gt;0,1,0)</f>
        <v>0</v>
      </c>
      <c r="Z263" s="1">
        <f>IF(Y263=1,L263,0)</f>
        <v>0</v>
      </c>
      <c r="AA263" s="1">
        <f>IF(X263&lt;-100000000/100,1,0)</f>
        <v>0</v>
      </c>
      <c r="AB263" s="1">
        <f>IF(Z263&gt;100000000/100,1,0)</f>
        <v>0</v>
      </c>
    </row>
    <row r="264" spans="1:28" s="1" customFormat="1">
      <c r="A264" s="3">
        <v>45369</v>
      </c>
      <c r="B264" s="2" t="s">
        <v>12</v>
      </c>
      <c r="C264" s="1">
        <f>SUM(PL!E264:H264)</f>
        <v>0</v>
      </c>
      <c r="D264" s="1">
        <f>SUM(PL!I264:L264)</f>
        <v>0</v>
      </c>
      <c r="E264" s="1">
        <f>SUM(C264:D264)</f>
        <v>0</v>
      </c>
      <c r="F264" s="1">
        <f>IF(C264 + F263 &lt; 0, C264 + F263, 0)</f>
        <v>0</v>
      </c>
      <c r="G264" s="1">
        <f>IF(D264 + G263 &lt; 0, D264 + G263, 0)</f>
        <v>0</v>
      </c>
      <c r="H264" s="1">
        <f>IF(E264 + H263 &lt; 0, E264 + H263, 0)</f>
        <v>0</v>
      </c>
      <c r="I264" s="1">
        <f>IF(H264 &lt; 0, 1 + I263, 0)</f>
        <v>0</v>
      </c>
      <c r="J264" s="1">
        <f>C264-((ABS(SUM(PL!E264:H264)))*0.125)</f>
        <v>0</v>
      </c>
      <c r="K264" s="1">
        <f>D264-((ABS(SUM(PL!I264:L264)))*0.125)</f>
        <v>0</v>
      </c>
      <c r="L264" s="1">
        <f>J264 + K264</f>
        <v>0</v>
      </c>
      <c r="M264" s="1">
        <f>IF(J264 + M263 &lt; 0, J264 + M263, 0)</f>
        <v>0</v>
      </c>
      <c r="N264" s="1">
        <f>IF(K264 + N263 &lt; 0, K264 + N263, 0)</f>
        <v>0</v>
      </c>
      <c r="O264" s="1">
        <f>IF(L264 + O263 &lt; 0, L264 + O263, 0)</f>
        <v>0</v>
      </c>
      <c r="P264" s="1">
        <f>IF(O264 &lt; 0, 1 + P263, 0)</f>
        <v>0</v>
      </c>
      <c r="Q264" s="1">
        <f>IF(E264&lt;0,1,0)</f>
        <v>0</v>
      </c>
      <c r="R264" s="1">
        <f>IF(Q264=1,E264,0)</f>
        <v>0</v>
      </c>
      <c r="S264" s="1">
        <f>IF(E264&gt;0,1,0)</f>
        <v>0</v>
      </c>
      <c r="T264" s="1">
        <f>IF(S264=1,E264,0)</f>
        <v>0</v>
      </c>
      <c r="U264" s="1">
        <f>IF(R264&lt;-100000000/100,1,0)</f>
        <v>0</v>
      </c>
      <c r="V264" s="1">
        <f>IF(T264&gt;100000000/100,1,0)</f>
        <v>0</v>
      </c>
      <c r="W264" s="1">
        <f>IF(L264&lt;0,1,0)</f>
        <v>0</v>
      </c>
      <c r="X264" s="1">
        <f>IF(W264=1,L264,0)</f>
        <v>0</v>
      </c>
      <c r="Y264" s="1">
        <f>IF(L264&gt;0,1,0)</f>
        <v>0</v>
      </c>
      <c r="Z264" s="1">
        <f>IF(Y264=1,L264,0)</f>
        <v>0</v>
      </c>
      <c r="AA264" s="1">
        <f>IF(X264&lt;-100000000/100,1,0)</f>
        <v>0</v>
      </c>
      <c r="AB264" s="1">
        <f>IF(Z264&gt;100000000/100,1,0)</f>
        <v>0</v>
      </c>
    </row>
    <row r="265" spans="1:28" s="1" customFormat="1">
      <c r="A265" s="3">
        <v>45370</v>
      </c>
      <c r="B265" s="2" t="s">
        <v>13</v>
      </c>
      <c r="C265" s="1">
        <f>SUM(PL!E265:H265)</f>
        <v>0</v>
      </c>
      <c r="D265" s="1">
        <f>SUM(PL!I265:L265)</f>
        <v>0</v>
      </c>
      <c r="E265" s="1">
        <f>SUM(C265:D265)</f>
        <v>0</v>
      </c>
      <c r="F265" s="1">
        <f>IF(C265 + F264 &lt; 0, C265 + F264, 0)</f>
        <v>0</v>
      </c>
      <c r="G265" s="1">
        <f>IF(D265 + G264 &lt; 0, D265 + G264, 0)</f>
        <v>0</v>
      </c>
      <c r="H265" s="1">
        <f>IF(E265 + H264 &lt; 0, E265 + H264, 0)</f>
        <v>0</v>
      </c>
      <c r="I265" s="1">
        <f>IF(H265 &lt; 0, 1 + I264, 0)</f>
        <v>0</v>
      </c>
      <c r="J265" s="1">
        <f>C265-((ABS(SUM(PL!E265:H265)))*0.125)</f>
        <v>0</v>
      </c>
      <c r="K265" s="1">
        <f>D265-((ABS(SUM(PL!I265:L265)))*0.125)</f>
        <v>0</v>
      </c>
      <c r="L265" s="1">
        <f>J265 + K265</f>
        <v>0</v>
      </c>
      <c r="M265" s="1">
        <f>IF(J265 + M264 &lt; 0, J265 + M264, 0)</f>
        <v>0</v>
      </c>
      <c r="N265" s="1">
        <f>IF(K265 + N264 &lt; 0, K265 + N264, 0)</f>
        <v>0</v>
      </c>
      <c r="O265" s="1">
        <f>IF(L265 + O264 &lt; 0, L265 + O264, 0)</f>
        <v>0</v>
      </c>
      <c r="P265" s="1">
        <f>IF(O265 &lt; 0, 1 + P264, 0)</f>
        <v>0</v>
      </c>
      <c r="Q265" s="1">
        <f>IF(E265&lt;0,1,0)</f>
        <v>0</v>
      </c>
      <c r="R265" s="1">
        <f>IF(Q265=1,E265,0)</f>
        <v>0</v>
      </c>
      <c r="S265" s="1">
        <f>IF(E265&gt;0,1,0)</f>
        <v>0</v>
      </c>
      <c r="T265" s="1">
        <f>IF(S265=1,E265,0)</f>
        <v>0</v>
      </c>
      <c r="U265" s="1">
        <f>IF(R265&lt;-100000000/100,1,0)</f>
        <v>0</v>
      </c>
      <c r="V265" s="1">
        <f>IF(T265&gt;100000000/100,1,0)</f>
        <v>0</v>
      </c>
      <c r="W265" s="1">
        <f>IF(L265&lt;0,1,0)</f>
        <v>0</v>
      </c>
      <c r="X265" s="1">
        <f>IF(W265=1,L265,0)</f>
        <v>0</v>
      </c>
      <c r="Y265" s="1">
        <f>IF(L265&gt;0,1,0)</f>
        <v>0</v>
      </c>
      <c r="Z265" s="1">
        <f>IF(Y265=1,L265,0)</f>
        <v>0</v>
      </c>
      <c r="AA265" s="1">
        <f>IF(X265&lt;-100000000/100,1,0)</f>
        <v>0</v>
      </c>
      <c r="AB265" s="1">
        <f>IF(Z265&gt;100000000/100,1,0)</f>
        <v>0</v>
      </c>
    </row>
    <row r="266" spans="1:28" s="1" customFormat="1">
      <c r="A266" s="3">
        <v>45371</v>
      </c>
      <c r="B266" s="2" t="s">
        <v>14</v>
      </c>
      <c r="C266" s="1">
        <f>SUM(PL!E266:H266)</f>
        <v>0</v>
      </c>
      <c r="D266" s="1">
        <f>SUM(PL!I266:L266)</f>
        <v>0</v>
      </c>
      <c r="E266" s="1">
        <f>SUM(C266:D266)</f>
        <v>0</v>
      </c>
      <c r="F266" s="1">
        <f>IF(C266 + F265 &lt; 0, C266 + F265, 0)</f>
        <v>0</v>
      </c>
      <c r="G266" s="1">
        <f>IF(D266 + G265 &lt; 0, D266 + G265, 0)</f>
        <v>0</v>
      </c>
      <c r="H266" s="1">
        <f>IF(E266 + H265 &lt; 0, E266 + H265, 0)</f>
        <v>0</v>
      </c>
      <c r="I266" s="1">
        <f>IF(H266 &lt; 0, 1 + I265, 0)</f>
        <v>0</v>
      </c>
      <c r="J266" s="1">
        <f>C266-((ABS(SUM(PL!E266:H266)))*0.125)</f>
        <v>0</v>
      </c>
      <c r="K266" s="1">
        <f>D266-((ABS(SUM(PL!I266:L266)))*0.125)</f>
        <v>0</v>
      </c>
      <c r="L266" s="1">
        <f>J266 + K266</f>
        <v>0</v>
      </c>
      <c r="M266" s="1">
        <f>IF(J266 + M265 &lt; 0, J266 + M265, 0)</f>
        <v>0</v>
      </c>
      <c r="N266" s="1">
        <f>IF(K266 + N265 &lt; 0, K266 + N265, 0)</f>
        <v>0</v>
      </c>
      <c r="O266" s="1">
        <f>IF(L266 + O265 &lt; 0, L266 + O265, 0)</f>
        <v>0</v>
      </c>
      <c r="P266" s="1">
        <f>IF(O266 &lt; 0, 1 + P265, 0)</f>
        <v>0</v>
      </c>
      <c r="Q266" s="1">
        <f>IF(E266&lt;0,1,0)</f>
        <v>0</v>
      </c>
      <c r="R266" s="1">
        <f>IF(Q266=1,E266,0)</f>
        <v>0</v>
      </c>
      <c r="S266" s="1">
        <f>IF(E266&gt;0,1,0)</f>
        <v>0</v>
      </c>
      <c r="T266" s="1">
        <f>IF(S266=1,E266,0)</f>
        <v>0</v>
      </c>
      <c r="U266" s="1">
        <f>IF(R266&lt;-100000000/100,1,0)</f>
        <v>0</v>
      </c>
      <c r="V266" s="1">
        <f>IF(T266&gt;100000000/100,1,0)</f>
        <v>0</v>
      </c>
      <c r="W266" s="1">
        <f>IF(L266&lt;0,1,0)</f>
        <v>0</v>
      </c>
      <c r="X266" s="1">
        <f>IF(W266=1,L266,0)</f>
        <v>0</v>
      </c>
      <c r="Y266" s="1">
        <f>IF(L266&gt;0,1,0)</f>
        <v>0</v>
      </c>
      <c r="Z266" s="1">
        <f>IF(Y266=1,L266,0)</f>
        <v>0</v>
      </c>
      <c r="AA266" s="1">
        <f>IF(X266&lt;-100000000/100,1,0)</f>
        <v>0</v>
      </c>
      <c r="AB266" s="1">
        <f>IF(Z266&gt;100000000/100,1,0)</f>
        <v>0</v>
      </c>
    </row>
    <row r="267" spans="1:28" s="1" customFormat="1">
      <c r="A267" s="3">
        <v>45372</v>
      </c>
      <c r="B267" s="2" t="s">
        <v>16</v>
      </c>
      <c r="C267" s="1">
        <f>SUM(PL!E267:H267)</f>
        <v>0</v>
      </c>
      <c r="D267" s="1">
        <f>SUM(PL!I267:L267)</f>
        <v>0</v>
      </c>
      <c r="E267" s="1">
        <f>SUM(C267:D267)</f>
        <v>0</v>
      </c>
      <c r="F267" s="1">
        <f>IF(C267 + F266 &lt; 0, C267 + F266, 0)</f>
        <v>0</v>
      </c>
      <c r="G267" s="1">
        <f>IF(D267 + G266 &lt; 0, D267 + G266, 0)</f>
        <v>0</v>
      </c>
      <c r="H267" s="1">
        <f>IF(E267 + H266 &lt; 0, E267 + H266, 0)</f>
        <v>0</v>
      </c>
      <c r="I267" s="1">
        <f>IF(H267 &lt; 0, 1 + I266, 0)</f>
        <v>0</v>
      </c>
      <c r="J267" s="1">
        <f>C267-((ABS(SUM(PL!E267:H267)))*0.125)</f>
        <v>0</v>
      </c>
      <c r="K267" s="1">
        <f>D267-((ABS(SUM(PL!I267:L267)))*0.125)</f>
        <v>0</v>
      </c>
      <c r="L267" s="1">
        <f>J267 + K267</f>
        <v>0</v>
      </c>
      <c r="M267" s="1">
        <f>IF(J267 + M266 &lt; 0, J267 + M266, 0)</f>
        <v>0</v>
      </c>
      <c r="N267" s="1">
        <f>IF(K267 + N266 &lt; 0, K267 + N266, 0)</f>
        <v>0</v>
      </c>
      <c r="O267" s="1">
        <f>IF(L267 + O266 &lt; 0, L267 + O266, 0)</f>
        <v>0</v>
      </c>
      <c r="P267" s="1">
        <f>IF(O267 &lt; 0, 1 + P266, 0)</f>
        <v>0</v>
      </c>
      <c r="Q267" s="1">
        <f>IF(E267&lt;0,1,0)</f>
        <v>0</v>
      </c>
      <c r="R267" s="1">
        <f>IF(Q267=1,E267,0)</f>
        <v>0</v>
      </c>
      <c r="S267" s="1">
        <f>IF(E267&gt;0,1,0)</f>
        <v>0</v>
      </c>
      <c r="T267" s="1">
        <f>IF(S267=1,E267,0)</f>
        <v>0</v>
      </c>
      <c r="U267" s="1">
        <f>IF(R267&lt;-100000000/100,1,0)</f>
        <v>0</v>
      </c>
      <c r="V267" s="1">
        <f>IF(T267&gt;100000000/100,1,0)</f>
        <v>0</v>
      </c>
      <c r="W267" s="1">
        <f>IF(L267&lt;0,1,0)</f>
        <v>0</v>
      </c>
      <c r="X267" s="1">
        <f>IF(W267=1,L267,0)</f>
        <v>0</v>
      </c>
      <c r="Y267" s="1">
        <f>IF(L267&gt;0,1,0)</f>
        <v>0</v>
      </c>
      <c r="Z267" s="1">
        <f>IF(Y267=1,L267,0)</f>
        <v>0</v>
      </c>
      <c r="AA267" s="1">
        <f>IF(X267&lt;-100000000/100,1,0)</f>
        <v>0</v>
      </c>
      <c r="AB267" s="1">
        <f>IF(Z267&gt;100000000/100,1,0)</f>
        <v>0</v>
      </c>
    </row>
    <row r="268" spans="1:28" s="1" customFormat="1">
      <c r="A268" s="3">
        <v>45373</v>
      </c>
      <c r="B268" s="2" t="s">
        <v>15</v>
      </c>
      <c r="C268" s="1">
        <f>SUM(PL!E268:H268)</f>
        <v>0</v>
      </c>
      <c r="D268" s="1">
        <f>SUM(PL!I268:L268)</f>
        <v>0</v>
      </c>
      <c r="E268" s="1">
        <f>SUM(C268:D268)</f>
        <v>0</v>
      </c>
      <c r="F268" s="1">
        <f>IF(C268 + F267 &lt; 0, C268 + F267, 0)</f>
        <v>0</v>
      </c>
      <c r="G268" s="1">
        <f>IF(D268 + G267 &lt; 0, D268 + G267, 0)</f>
        <v>0</v>
      </c>
      <c r="H268" s="1">
        <f>IF(E268 + H267 &lt; 0, E268 + H267, 0)</f>
        <v>0</v>
      </c>
      <c r="I268" s="1">
        <f>IF(H268 &lt; 0, 1 + I267, 0)</f>
        <v>0</v>
      </c>
      <c r="J268" s="1">
        <f>C268-((ABS(SUM(PL!E268:H268)))*0.125)</f>
        <v>0</v>
      </c>
      <c r="K268" s="1">
        <f>D268-((ABS(SUM(PL!I268:L268)))*0.125)</f>
        <v>0</v>
      </c>
      <c r="L268" s="1">
        <f>J268 + K268</f>
        <v>0</v>
      </c>
      <c r="M268" s="1">
        <f>IF(J268 + M267 &lt; 0, J268 + M267, 0)</f>
        <v>0</v>
      </c>
      <c r="N268" s="1">
        <f>IF(K268 + N267 &lt; 0, K268 + N267, 0)</f>
        <v>0</v>
      </c>
      <c r="O268" s="1">
        <f>IF(L268 + O267 &lt; 0, L268 + O267, 0)</f>
        <v>0</v>
      </c>
      <c r="P268" s="1">
        <f>IF(O268 &lt; 0, 1 + P267, 0)</f>
        <v>0</v>
      </c>
      <c r="Q268" s="1">
        <f>IF(E268&lt;0,1,0)</f>
        <v>0</v>
      </c>
      <c r="R268" s="1">
        <f>IF(Q268=1,E268,0)</f>
        <v>0</v>
      </c>
      <c r="S268" s="1">
        <f>IF(E268&gt;0,1,0)</f>
        <v>0</v>
      </c>
      <c r="T268" s="1">
        <f>IF(S268=1,E268,0)</f>
        <v>0</v>
      </c>
      <c r="U268" s="1">
        <f>IF(R268&lt;-100000000/100,1,0)</f>
        <v>0</v>
      </c>
      <c r="V268" s="1">
        <f>IF(T268&gt;100000000/100,1,0)</f>
        <v>0</v>
      </c>
      <c r="W268" s="1">
        <f>IF(L268&lt;0,1,0)</f>
        <v>0</v>
      </c>
      <c r="X268" s="1">
        <f>IF(W268=1,L268,0)</f>
        <v>0</v>
      </c>
      <c r="Y268" s="1">
        <f>IF(L268&gt;0,1,0)</f>
        <v>0</v>
      </c>
      <c r="Z268" s="1">
        <f>IF(Y268=1,L268,0)</f>
        <v>0</v>
      </c>
      <c r="AA268" s="1">
        <f>IF(X268&lt;-100000000/100,1,0)</f>
        <v>0</v>
      </c>
      <c r="AB268" s="1">
        <f>IF(Z268&gt;100000000/100,1,0)</f>
        <v>0</v>
      </c>
    </row>
    <row r="269" spans="1:28" s="1" customFormat="1">
      <c r="A269" s="3">
        <v>45376</v>
      </c>
      <c r="B269" s="2" t="s">
        <v>12</v>
      </c>
      <c r="C269" s="1">
        <f>SUM(PL!E269:H269)</f>
        <v>0</v>
      </c>
      <c r="D269" s="1">
        <f>SUM(PL!I269:L269)</f>
        <v>0</v>
      </c>
      <c r="E269" s="1">
        <f>SUM(C269:D269)</f>
        <v>0</v>
      </c>
      <c r="F269" s="1">
        <f>IF(C269 + F268 &lt; 0, C269 + F268, 0)</f>
        <v>0</v>
      </c>
      <c r="G269" s="1">
        <f>IF(D269 + G268 &lt; 0, D269 + G268, 0)</f>
        <v>0</v>
      </c>
      <c r="H269" s="1">
        <f>IF(E269 + H268 &lt; 0, E269 + H268, 0)</f>
        <v>0</v>
      </c>
      <c r="I269" s="1">
        <f>IF(H269 &lt; 0, 1 + I268, 0)</f>
        <v>0</v>
      </c>
      <c r="J269" s="1">
        <f>C269-((ABS(SUM(PL!E269:H269)))*0.125)</f>
        <v>0</v>
      </c>
      <c r="K269" s="1">
        <f>D269-((ABS(SUM(PL!I269:L269)))*0.125)</f>
        <v>0</v>
      </c>
      <c r="L269" s="1">
        <f>J269 + K269</f>
        <v>0</v>
      </c>
      <c r="M269" s="1">
        <f>IF(J269 + M268 &lt; 0, J269 + M268, 0)</f>
        <v>0</v>
      </c>
      <c r="N269" s="1">
        <f>IF(K269 + N268 &lt; 0, K269 + N268, 0)</f>
        <v>0</v>
      </c>
      <c r="O269" s="1">
        <f>IF(L269 + O268 &lt; 0, L269 + O268, 0)</f>
        <v>0</v>
      </c>
      <c r="P269" s="1">
        <f>IF(O269 &lt; 0, 1 + P268, 0)</f>
        <v>0</v>
      </c>
      <c r="Q269" s="1">
        <f>IF(E269&lt;0,1,0)</f>
        <v>0</v>
      </c>
      <c r="R269" s="1">
        <f>IF(Q269=1,E269,0)</f>
        <v>0</v>
      </c>
      <c r="S269" s="1">
        <f>IF(E269&gt;0,1,0)</f>
        <v>0</v>
      </c>
      <c r="T269" s="1">
        <f>IF(S269=1,E269,0)</f>
        <v>0</v>
      </c>
      <c r="U269" s="1">
        <f>IF(R269&lt;-100000000/100,1,0)</f>
        <v>0</v>
      </c>
      <c r="V269" s="1">
        <f>IF(T269&gt;100000000/100,1,0)</f>
        <v>0</v>
      </c>
      <c r="W269" s="1">
        <f>IF(L269&lt;0,1,0)</f>
        <v>0</v>
      </c>
      <c r="X269" s="1">
        <f>IF(W269=1,L269,0)</f>
        <v>0</v>
      </c>
      <c r="Y269" s="1">
        <f>IF(L269&gt;0,1,0)</f>
        <v>0</v>
      </c>
      <c r="Z269" s="1">
        <f>IF(Y269=1,L269,0)</f>
        <v>0</v>
      </c>
      <c r="AA269" s="1">
        <f>IF(X269&lt;-100000000/100,1,0)</f>
        <v>0</v>
      </c>
      <c r="AB269" s="1">
        <f>IF(Z269&gt;100000000/100,1,0)</f>
        <v>0</v>
      </c>
    </row>
    <row r="270" spans="1:28" s="1" customFormat="1">
      <c r="A270" s="3">
        <v>45377</v>
      </c>
      <c r="B270" s="2" t="s">
        <v>13</v>
      </c>
      <c r="C270" s="1">
        <f>SUM(PL!E270:H270)</f>
        <v>0</v>
      </c>
      <c r="D270" s="1">
        <f>SUM(PL!I270:L270)</f>
        <v>0</v>
      </c>
      <c r="E270" s="1">
        <f>SUM(C270:D270)</f>
        <v>0</v>
      </c>
      <c r="F270" s="1">
        <f>IF(C270 + F269 &lt; 0, C270 + F269, 0)</f>
        <v>0</v>
      </c>
      <c r="G270" s="1">
        <f>IF(D270 + G269 &lt; 0, D270 + G269, 0)</f>
        <v>0</v>
      </c>
      <c r="H270" s="1">
        <f>IF(E270 + H269 &lt; 0, E270 + H269, 0)</f>
        <v>0</v>
      </c>
      <c r="I270" s="1">
        <f>IF(H270 &lt; 0, 1 + I269, 0)</f>
        <v>0</v>
      </c>
      <c r="J270" s="1">
        <f>C270-((ABS(SUM(PL!E270:H270)))*0.125)</f>
        <v>0</v>
      </c>
      <c r="K270" s="1">
        <f>D270-((ABS(SUM(PL!I270:L270)))*0.125)</f>
        <v>0</v>
      </c>
      <c r="L270" s="1">
        <f>J270 + K270</f>
        <v>0</v>
      </c>
      <c r="M270" s="1">
        <f>IF(J270 + M269 &lt; 0, J270 + M269, 0)</f>
        <v>0</v>
      </c>
      <c r="N270" s="1">
        <f>IF(K270 + N269 &lt; 0, K270 + N269, 0)</f>
        <v>0</v>
      </c>
      <c r="O270" s="1">
        <f>IF(L270 + O269 &lt; 0, L270 + O269, 0)</f>
        <v>0</v>
      </c>
      <c r="P270" s="1">
        <f>IF(O270 &lt; 0, 1 + P269, 0)</f>
        <v>0</v>
      </c>
      <c r="Q270" s="1">
        <f>IF(E270&lt;0,1,0)</f>
        <v>0</v>
      </c>
      <c r="R270" s="1">
        <f>IF(Q270=1,E270,0)</f>
        <v>0</v>
      </c>
      <c r="S270" s="1">
        <f>IF(E270&gt;0,1,0)</f>
        <v>0</v>
      </c>
      <c r="T270" s="1">
        <f>IF(S270=1,E270,0)</f>
        <v>0</v>
      </c>
      <c r="U270" s="1">
        <f>IF(R270&lt;-100000000/100,1,0)</f>
        <v>0</v>
      </c>
      <c r="V270" s="1">
        <f>IF(T270&gt;100000000/100,1,0)</f>
        <v>0</v>
      </c>
      <c r="W270" s="1">
        <f>IF(L270&lt;0,1,0)</f>
        <v>0</v>
      </c>
      <c r="X270" s="1">
        <f>IF(W270=1,L270,0)</f>
        <v>0</v>
      </c>
      <c r="Y270" s="1">
        <f>IF(L270&gt;0,1,0)</f>
        <v>0</v>
      </c>
      <c r="Z270" s="1">
        <f>IF(Y270=1,L270,0)</f>
        <v>0</v>
      </c>
      <c r="AA270" s="1">
        <f>IF(X270&lt;-100000000/100,1,0)</f>
        <v>0</v>
      </c>
      <c r="AB270" s="1">
        <f>IF(Z270&gt;100000000/100,1,0)</f>
        <v>0</v>
      </c>
    </row>
    <row r="271" spans="1:28" s="1" customFormat="1">
      <c r="A271" s="3">
        <v>45378</v>
      </c>
      <c r="B271" s="2" t="s">
        <v>14</v>
      </c>
      <c r="C271" s="1">
        <f>SUM(PL!E271:H271)</f>
        <v>0</v>
      </c>
      <c r="D271" s="1">
        <f>SUM(PL!I271:L271)</f>
        <v>0</v>
      </c>
      <c r="E271" s="1">
        <f>SUM(C271:D271)</f>
        <v>0</v>
      </c>
      <c r="F271" s="1">
        <f>IF(C271 + F270 &lt; 0, C271 + F270, 0)</f>
        <v>0</v>
      </c>
      <c r="G271" s="1">
        <f>IF(D271 + G270 &lt; 0, D271 + G270, 0)</f>
        <v>0</v>
      </c>
      <c r="H271" s="1">
        <f>IF(E271 + H270 &lt; 0, E271 + H270, 0)</f>
        <v>0</v>
      </c>
      <c r="I271" s="1">
        <f>IF(H271 &lt; 0, 1 + I270, 0)</f>
        <v>0</v>
      </c>
      <c r="J271" s="1">
        <f>C271-((ABS(SUM(PL!E271:H271)))*0.125)</f>
        <v>0</v>
      </c>
      <c r="K271" s="1">
        <f>D271-((ABS(SUM(PL!I271:L271)))*0.125)</f>
        <v>0</v>
      </c>
      <c r="L271" s="1">
        <f>J271 + K271</f>
        <v>0</v>
      </c>
      <c r="M271" s="1">
        <f>IF(J271 + M270 &lt; 0, J271 + M270, 0)</f>
        <v>0</v>
      </c>
      <c r="N271" s="1">
        <f>IF(K271 + N270 &lt; 0, K271 + N270, 0)</f>
        <v>0</v>
      </c>
      <c r="O271" s="1">
        <f>IF(L271 + O270 &lt; 0, L271 + O270, 0)</f>
        <v>0</v>
      </c>
      <c r="P271" s="1">
        <f>IF(O271 &lt; 0, 1 + P270, 0)</f>
        <v>0</v>
      </c>
      <c r="Q271" s="1">
        <f>IF(E271&lt;0,1,0)</f>
        <v>0</v>
      </c>
      <c r="R271" s="1">
        <f>IF(Q271=1,E271,0)</f>
        <v>0</v>
      </c>
      <c r="S271" s="1">
        <f>IF(E271&gt;0,1,0)</f>
        <v>0</v>
      </c>
      <c r="T271" s="1">
        <f>IF(S271=1,E271,0)</f>
        <v>0</v>
      </c>
      <c r="U271" s="1">
        <f>IF(R271&lt;-100000000/100,1,0)</f>
        <v>0</v>
      </c>
      <c r="V271" s="1">
        <f>IF(T271&gt;100000000/100,1,0)</f>
        <v>0</v>
      </c>
      <c r="W271" s="1">
        <f>IF(L271&lt;0,1,0)</f>
        <v>0</v>
      </c>
      <c r="X271" s="1">
        <f>IF(W271=1,L271,0)</f>
        <v>0</v>
      </c>
      <c r="Y271" s="1">
        <f>IF(L271&gt;0,1,0)</f>
        <v>0</v>
      </c>
      <c r="Z271" s="1">
        <f>IF(Y271=1,L271,0)</f>
        <v>0</v>
      </c>
      <c r="AA271" s="1">
        <f>IF(X271&lt;-100000000/100,1,0)</f>
        <v>0</v>
      </c>
      <c r="AB271" s="1">
        <f>IF(Z271&gt;100000000/100,1,0)</f>
        <v>0</v>
      </c>
    </row>
    <row r="272" spans="1:28" s="1" customFormat="1">
      <c r="A272" s="3">
        <v>45379</v>
      </c>
      <c r="B272" s="2" t="s">
        <v>16</v>
      </c>
      <c r="C272" s="1">
        <f>SUM(PL!E272:H272)</f>
        <v>0</v>
      </c>
      <c r="D272" s="1">
        <f>SUM(PL!I272:L272)</f>
        <v>0</v>
      </c>
      <c r="E272" s="1">
        <f>SUM(C272:D272)</f>
        <v>0</v>
      </c>
      <c r="F272" s="1">
        <f>IF(C272 + F271 &lt; 0, C272 + F271, 0)</f>
        <v>0</v>
      </c>
      <c r="G272" s="1">
        <f>IF(D272 + G271 &lt; 0, D272 + G271, 0)</f>
        <v>0</v>
      </c>
      <c r="H272" s="1">
        <f>IF(E272 + H271 &lt; 0, E272 + H271, 0)</f>
        <v>0</v>
      </c>
      <c r="I272" s="1">
        <f>IF(H272 &lt; 0, 1 + I271, 0)</f>
        <v>0</v>
      </c>
      <c r="J272" s="1">
        <f>C272-((ABS(SUM(PL!E272:H272)))*0.125)</f>
        <v>0</v>
      </c>
      <c r="K272" s="1">
        <f>D272-((ABS(SUM(PL!I272:L272)))*0.125)</f>
        <v>0</v>
      </c>
      <c r="L272" s="1">
        <f>J272 + K272</f>
        <v>0</v>
      </c>
      <c r="M272" s="1">
        <f>IF(J272 + M271 &lt; 0, J272 + M271, 0)</f>
        <v>0</v>
      </c>
      <c r="N272" s="1">
        <f>IF(K272 + N271 &lt; 0, K272 + N271, 0)</f>
        <v>0</v>
      </c>
      <c r="O272" s="1">
        <f>IF(L272 + O271 &lt; 0, L272 + O271, 0)</f>
        <v>0</v>
      </c>
      <c r="P272" s="1">
        <f>IF(O272 &lt; 0, 1 + P271, 0)</f>
        <v>0</v>
      </c>
      <c r="Q272" s="1">
        <f>IF(E272&lt;0,1,0)</f>
        <v>0</v>
      </c>
      <c r="R272" s="1">
        <f>IF(Q272=1,E272,0)</f>
        <v>0</v>
      </c>
      <c r="S272" s="1">
        <f>IF(E272&gt;0,1,0)</f>
        <v>0</v>
      </c>
      <c r="T272" s="1">
        <f>IF(S272=1,E272,0)</f>
        <v>0</v>
      </c>
      <c r="U272" s="1">
        <f>IF(R272&lt;-100000000/100,1,0)</f>
        <v>0</v>
      </c>
      <c r="V272" s="1">
        <f>IF(T272&gt;100000000/100,1,0)</f>
        <v>0</v>
      </c>
      <c r="W272" s="1">
        <f>IF(L272&lt;0,1,0)</f>
        <v>0</v>
      </c>
      <c r="X272" s="1">
        <f>IF(W272=1,L272,0)</f>
        <v>0</v>
      </c>
      <c r="Y272" s="1">
        <f>IF(L272&gt;0,1,0)</f>
        <v>0</v>
      </c>
      <c r="Z272" s="1">
        <f>IF(Y272=1,L272,0)</f>
        <v>0</v>
      </c>
      <c r="AA272" s="1">
        <f>IF(X272&lt;-100000000/100,1,0)</f>
        <v>0</v>
      </c>
      <c r="AB272" s="1">
        <f>IF(Z272&gt;100000000/100,1,0)</f>
        <v>0</v>
      </c>
    </row>
    <row r="273" spans="1:28" s="1" customFormat="1">
      <c r="A273" s="3">
        <v>45383</v>
      </c>
      <c r="B273" s="2" t="s">
        <v>12</v>
      </c>
      <c r="C273" s="1">
        <f>SUM(PL!E273:H273)</f>
        <v>0</v>
      </c>
      <c r="D273" s="1">
        <f>SUM(PL!I273:L273)</f>
        <v>0</v>
      </c>
      <c r="E273" s="1">
        <f>SUM(C273:D273)</f>
        <v>0</v>
      </c>
      <c r="F273" s="1">
        <f>IF(C273 + F272 &lt; 0, C273 + F272, 0)</f>
        <v>0</v>
      </c>
      <c r="G273" s="1">
        <f>IF(D273 + G272 &lt; 0, D273 + G272, 0)</f>
        <v>0</v>
      </c>
      <c r="H273" s="1">
        <f>IF(E273 + H272 &lt; 0, E273 + H272, 0)</f>
        <v>0</v>
      </c>
      <c r="I273" s="1">
        <f>IF(H273 &lt; 0, 1 + I272, 0)</f>
        <v>0</v>
      </c>
      <c r="J273" s="1">
        <f>C273-((ABS(SUM(PL!E273:H273)))*0.125)</f>
        <v>0</v>
      </c>
      <c r="K273" s="1">
        <f>D273-((ABS(SUM(PL!I273:L273)))*0.125)</f>
        <v>0</v>
      </c>
      <c r="L273" s="1">
        <f>J273 + K273</f>
        <v>0</v>
      </c>
      <c r="M273" s="1">
        <f>IF(J273 + M272 &lt; 0, J273 + M272, 0)</f>
        <v>0</v>
      </c>
      <c r="N273" s="1">
        <f>IF(K273 + N272 &lt; 0, K273 + N272, 0)</f>
        <v>0</v>
      </c>
      <c r="O273" s="1">
        <f>IF(L273 + O272 &lt; 0, L273 + O272, 0)</f>
        <v>0</v>
      </c>
      <c r="P273" s="1">
        <f>IF(O273 &lt; 0, 1 + P272, 0)</f>
        <v>0</v>
      </c>
      <c r="Q273" s="1">
        <f>IF(E273&lt;0,1,0)</f>
        <v>0</v>
      </c>
      <c r="R273" s="1">
        <f>IF(Q273=1,E273,0)</f>
        <v>0</v>
      </c>
      <c r="S273" s="1">
        <f>IF(E273&gt;0,1,0)</f>
        <v>0</v>
      </c>
      <c r="T273" s="1">
        <f>IF(S273=1,E273,0)</f>
        <v>0</v>
      </c>
      <c r="U273" s="1">
        <f>IF(R273&lt;-100000000/100,1,0)</f>
        <v>0</v>
      </c>
      <c r="V273" s="1">
        <f>IF(T273&gt;100000000/100,1,0)</f>
        <v>0</v>
      </c>
      <c r="W273" s="1">
        <f>IF(L273&lt;0,1,0)</f>
        <v>0</v>
      </c>
      <c r="X273" s="1">
        <f>IF(W273=1,L273,0)</f>
        <v>0</v>
      </c>
      <c r="Y273" s="1">
        <f>IF(L273&gt;0,1,0)</f>
        <v>0</v>
      </c>
      <c r="Z273" s="1">
        <f>IF(Y273=1,L273,0)</f>
        <v>0</v>
      </c>
      <c r="AA273" s="1">
        <f>IF(X273&lt;-100000000/100,1,0)</f>
        <v>0</v>
      </c>
      <c r="AB273" s="1">
        <f>IF(Z273&gt;100000000/100,1,0)</f>
        <v>0</v>
      </c>
    </row>
    <row r="274" spans="1:28" s="1" customFormat="1">
      <c r="A274" s="3">
        <v>45384</v>
      </c>
      <c r="B274" s="2" t="s">
        <v>13</v>
      </c>
      <c r="C274" s="1">
        <f>SUM(PL!E274:H274)</f>
        <v>0</v>
      </c>
      <c r="D274" s="1">
        <f>SUM(PL!I274:L274)</f>
        <v>0</v>
      </c>
      <c r="E274" s="1">
        <f>SUM(C274:D274)</f>
        <v>0</v>
      </c>
      <c r="F274" s="1">
        <f>IF(C274 + F273 &lt; 0, C274 + F273, 0)</f>
        <v>0</v>
      </c>
      <c r="G274" s="1">
        <f>IF(D274 + G273 &lt; 0, D274 + G273, 0)</f>
        <v>0</v>
      </c>
      <c r="H274" s="1">
        <f>IF(E274 + H273 &lt; 0, E274 + H273, 0)</f>
        <v>0</v>
      </c>
      <c r="I274" s="1">
        <f>IF(H274 &lt; 0, 1 + I273, 0)</f>
        <v>0</v>
      </c>
      <c r="J274" s="1">
        <f>C274-((ABS(SUM(PL!E274:H274)))*0.125)</f>
        <v>0</v>
      </c>
      <c r="K274" s="1">
        <f>D274-((ABS(SUM(PL!I274:L274)))*0.125)</f>
        <v>0</v>
      </c>
      <c r="L274" s="1">
        <f>J274 + K274</f>
        <v>0</v>
      </c>
      <c r="M274" s="1">
        <f>IF(J274 + M273 &lt; 0, J274 + M273, 0)</f>
        <v>0</v>
      </c>
      <c r="N274" s="1">
        <f>IF(K274 + N273 &lt; 0, K274 + N273, 0)</f>
        <v>0</v>
      </c>
      <c r="O274" s="1">
        <f>IF(L274 + O273 &lt; 0, L274 + O273, 0)</f>
        <v>0</v>
      </c>
      <c r="P274" s="1">
        <f>IF(O274 &lt; 0, 1 + P273, 0)</f>
        <v>0</v>
      </c>
      <c r="Q274" s="1">
        <f>IF(E274&lt;0,1,0)</f>
        <v>0</v>
      </c>
      <c r="R274" s="1">
        <f>IF(Q274=1,E274,0)</f>
        <v>0</v>
      </c>
      <c r="S274" s="1">
        <f>IF(E274&gt;0,1,0)</f>
        <v>0</v>
      </c>
      <c r="T274" s="1">
        <f>IF(S274=1,E274,0)</f>
        <v>0</v>
      </c>
      <c r="U274" s="1">
        <f>IF(R274&lt;-100000000/100,1,0)</f>
        <v>0</v>
      </c>
      <c r="V274" s="1">
        <f>IF(T274&gt;100000000/100,1,0)</f>
        <v>0</v>
      </c>
      <c r="W274" s="1">
        <f>IF(L274&lt;0,1,0)</f>
        <v>0</v>
      </c>
      <c r="X274" s="1">
        <f>IF(W274=1,L274,0)</f>
        <v>0</v>
      </c>
      <c r="Y274" s="1">
        <f>IF(L274&gt;0,1,0)</f>
        <v>0</v>
      </c>
      <c r="Z274" s="1">
        <f>IF(Y274=1,L274,0)</f>
        <v>0</v>
      </c>
      <c r="AA274" s="1">
        <f>IF(X274&lt;-100000000/100,1,0)</f>
        <v>0</v>
      </c>
      <c r="AB274" s="1">
        <f>IF(Z274&gt;100000000/100,1,0)</f>
        <v>0</v>
      </c>
    </row>
    <row r="275" spans="1:28" s="1" customFormat="1">
      <c r="A275" s="3">
        <v>45385</v>
      </c>
      <c r="B275" s="2" t="s">
        <v>14</v>
      </c>
      <c r="C275" s="1">
        <f>SUM(PL!E275:H275)</f>
        <v>0</v>
      </c>
      <c r="D275" s="1">
        <f>SUM(PL!I275:L275)</f>
        <v>0</v>
      </c>
      <c r="E275" s="1">
        <f>SUM(C275:D275)</f>
        <v>0</v>
      </c>
      <c r="F275" s="1">
        <f>IF(C275 + F274 &lt; 0, C275 + F274, 0)</f>
        <v>0</v>
      </c>
      <c r="G275" s="1">
        <f>IF(D275 + G274 &lt; 0, D275 + G274, 0)</f>
        <v>0</v>
      </c>
      <c r="H275" s="1">
        <f>IF(E275 + H274 &lt; 0, E275 + H274, 0)</f>
        <v>0</v>
      </c>
      <c r="I275" s="1">
        <f>IF(H275 &lt; 0, 1 + I274, 0)</f>
        <v>0</v>
      </c>
      <c r="J275" s="1">
        <f>C275-((ABS(SUM(PL!E275:H275)))*0.125)</f>
        <v>0</v>
      </c>
      <c r="K275" s="1">
        <f>D275-((ABS(SUM(PL!I275:L275)))*0.125)</f>
        <v>0</v>
      </c>
      <c r="L275" s="1">
        <f>J275 + K275</f>
        <v>0</v>
      </c>
      <c r="M275" s="1">
        <f>IF(J275 + M274 &lt; 0, J275 + M274, 0)</f>
        <v>0</v>
      </c>
      <c r="N275" s="1">
        <f>IF(K275 + N274 &lt; 0, K275 + N274, 0)</f>
        <v>0</v>
      </c>
      <c r="O275" s="1">
        <f>IF(L275 + O274 &lt; 0, L275 + O274, 0)</f>
        <v>0</v>
      </c>
      <c r="P275" s="1">
        <f>IF(O275 &lt; 0, 1 + P274, 0)</f>
        <v>0</v>
      </c>
      <c r="Q275" s="1">
        <f>IF(E275&lt;0,1,0)</f>
        <v>0</v>
      </c>
      <c r="R275" s="1">
        <f>IF(Q275=1,E275,0)</f>
        <v>0</v>
      </c>
      <c r="S275" s="1">
        <f>IF(E275&gt;0,1,0)</f>
        <v>0</v>
      </c>
      <c r="T275" s="1">
        <f>IF(S275=1,E275,0)</f>
        <v>0</v>
      </c>
      <c r="U275" s="1">
        <f>IF(R275&lt;-100000000/100,1,0)</f>
        <v>0</v>
      </c>
      <c r="V275" s="1">
        <f>IF(T275&gt;100000000/100,1,0)</f>
        <v>0</v>
      </c>
      <c r="W275" s="1">
        <f>IF(L275&lt;0,1,0)</f>
        <v>0</v>
      </c>
      <c r="X275" s="1">
        <f>IF(W275=1,L275,0)</f>
        <v>0</v>
      </c>
      <c r="Y275" s="1">
        <f>IF(L275&gt;0,1,0)</f>
        <v>0</v>
      </c>
      <c r="Z275" s="1">
        <f>IF(Y275=1,L275,0)</f>
        <v>0</v>
      </c>
      <c r="AA275" s="1">
        <f>IF(X275&lt;-100000000/100,1,0)</f>
        <v>0</v>
      </c>
      <c r="AB275" s="1">
        <f>IF(Z275&gt;100000000/100,1,0)</f>
        <v>0</v>
      </c>
    </row>
    <row r="276" spans="1:28" s="1" customFormat="1">
      <c r="A276" s="3">
        <v>45386</v>
      </c>
      <c r="B276" s="2" t="s">
        <v>16</v>
      </c>
      <c r="C276" s="1">
        <f>SUM(PL!E276:H276)</f>
        <v>0</v>
      </c>
      <c r="D276" s="1">
        <f>SUM(PL!I276:L276)</f>
        <v>0</v>
      </c>
      <c r="E276" s="1">
        <f>SUM(C276:D276)</f>
        <v>0</v>
      </c>
      <c r="F276" s="1">
        <f>IF(C276 + F275 &lt; 0, C276 + F275, 0)</f>
        <v>0</v>
      </c>
      <c r="G276" s="1">
        <f>IF(D276 + G275 &lt; 0, D276 + G275, 0)</f>
        <v>0</v>
      </c>
      <c r="H276" s="1">
        <f>IF(E276 + H275 &lt; 0, E276 + H275, 0)</f>
        <v>0</v>
      </c>
      <c r="I276" s="1">
        <f>IF(H276 &lt; 0, 1 + I275, 0)</f>
        <v>0</v>
      </c>
      <c r="J276" s="1">
        <f>C276-((ABS(SUM(PL!E276:H276)))*0.125)</f>
        <v>0</v>
      </c>
      <c r="K276" s="1">
        <f>D276-((ABS(SUM(PL!I276:L276)))*0.125)</f>
        <v>0</v>
      </c>
      <c r="L276" s="1">
        <f>J276 + K276</f>
        <v>0</v>
      </c>
      <c r="M276" s="1">
        <f>IF(J276 + M275 &lt; 0, J276 + M275, 0)</f>
        <v>0</v>
      </c>
      <c r="N276" s="1">
        <f>IF(K276 + N275 &lt; 0, K276 + N275, 0)</f>
        <v>0</v>
      </c>
      <c r="O276" s="1">
        <f>IF(L276 + O275 &lt; 0, L276 + O275, 0)</f>
        <v>0</v>
      </c>
      <c r="P276" s="1">
        <f>IF(O276 &lt; 0, 1 + P275, 0)</f>
        <v>0</v>
      </c>
      <c r="Q276" s="1">
        <f>IF(E276&lt;0,1,0)</f>
        <v>0</v>
      </c>
      <c r="R276" s="1">
        <f>IF(Q276=1,E276,0)</f>
        <v>0</v>
      </c>
      <c r="S276" s="1">
        <f>IF(E276&gt;0,1,0)</f>
        <v>0</v>
      </c>
      <c r="T276" s="1">
        <f>IF(S276=1,E276,0)</f>
        <v>0</v>
      </c>
      <c r="U276" s="1">
        <f>IF(R276&lt;-100000000/100,1,0)</f>
        <v>0</v>
      </c>
      <c r="V276" s="1">
        <f>IF(T276&gt;100000000/100,1,0)</f>
        <v>0</v>
      </c>
      <c r="W276" s="1">
        <f>IF(L276&lt;0,1,0)</f>
        <v>0</v>
      </c>
      <c r="X276" s="1">
        <f>IF(W276=1,L276,0)</f>
        <v>0</v>
      </c>
      <c r="Y276" s="1">
        <f>IF(L276&gt;0,1,0)</f>
        <v>0</v>
      </c>
      <c r="Z276" s="1">
        <f>IF(Y276=1,L276,0)</f>
        <v>0</v>
      </c>
      <c r="AA276" s="1">
        <f>IF(X276&lt;-100000000/100,1,0)</f>
        <v>0</v>
      </c>
      <c r="AB276" s="1">
        <f>IF(Z276&gt;100000000/100,1,0)</f>
        <v>0</v>
      </c>
    </row>
    <row r="277" spans="1:28" s="1" customFormat="1">
      <c r="A277" s="3">
        <v>45387</v>
      </c>
      <c r="B277" s="2" t="s">
        <v>15</v>
      </c>
      <c r="C277" s="1">
        <f>SUM(PL!E277:H277)</f>
        <v>0</v>
      </c>
      <c r="D277" s="1">
        <f>SUM(PL!I277:L277)</f>
        <v>0</v>
      </c>
      <c r="E277" s="1">
        <f>SUM(C277:D277)</f>
        <v>0</v>
      </c>
      <c r="F277" s="1">
        <f>IF(C277 + F276 &lt; 0, C277 + F276, 0)</f>
        <v>0</v>
      </c>
      <c r="G277" s="1">
        <f>IF(D277 + G276 &lt; 0, D277 + G276, 0)</f>
        <v>0</v>
      </c>
      <c r="H277" s="1">
        <f>IF(E277 + H276 &lt; 0, E277 + H276, 0)</f>
        <v>0</v>
      </c>
      <c r="I277" s="1">
        <f>IF(H277 &lt; 0, 1 + I276, 0)</f>
        <v>0</v>
      </c>
      <c r="J277" s="1">
        <f>C277-((ABS(SUM(PL!E277:H277)))*0.125)</f>
        <v>0</v>
      </c>
      <c r="K277" s="1">
        <f>D277-((ABS(SUM(PL!I277:L277)))*0.125)</f>
        <v>0</v>
      </c>
      <c r="L277" s="1">
        <f>J277 + K277</f>
        <v>0</v>
      </c>
      <c r="M277" s="1">
        <f>IF(J277 + M276 &lt; 0, J277 + M276, 0)</f>
        <v>0</v>
      </c>
      <c r="N277" s="1">
        <f>IF(K277 + N276 &lt; 0, K277 + N276, 0)</f>
        <v>0</v>
      </c>
      <c r="O277" s="1">
        <f>IF(L277 + O276 &lt; 0, L277 + O276, 0)</f>
        <v>0</v>
      </c>
      <c r="P277" s="1">
        <f>IF(O277 &lt; 0, 1 + P276, 0)</f>
        <v>0</v>
      </c>
      <c r="Q277" s="1">
        <f>IF(E277&lt;0,1,0)</f>
        <v>0</v>
      </c>
      <c r="R277" s="1">
        <f>IF(Q277=1,E277,0)</f>
        <v>0</v>
      </c>
      <c r="S277" s="1">
        <f>IF(E277&gt;0,1,0)</f>
        <v>0</v>
      </c>
      <c r="T277" s="1">
        <f>IF(S277=1,E277,0)</f>
        <v>0</v>
      </c>
      <c r="U277" s="1">
        <f>IF(R277&lt;-100000000/100,1,0)</f>
        <v>0</v>
      </c>
      <c r="V277" s="1">
        <f>IF(T277&gt;100000000/100,1,0)</f>
        <v>0</v>
      </c>
      <c r="W277" s="1">
        <f>IF(L277&lt;0,1,0)</f>
        <v>0</v>
      </c>
      <c r="X277" s="1">
        <f>IF(W277=1,L277,0)</f>
        <v>0</v>
      </c>
      <c r="Y277" s="1">
        <f>IF(L277&gt;0,1,0)</f>
        <v>0</v>
      </c>
      <c r="Z277" s="1">
        <f>IF(Y277=1,L277,0)</f>
        <v>0</v>
      </c>
      <c r="AA277" s="1">
        <f>IF(X277&lt;-100000000/100,1,0)</f>
        <v>0</v>
      </c>
      <c r="AB277" s="1">
        <f>IF(Z277&gt;100000000/100,1,0)</f>
        <v>0</v>
      </c>
    </row>
    <row r="278" spans="1:28" s="1" customFormat="1">
      <c r="A278" s="3">
        <v>45390</v>
      </c>
      <c r="B278" s="2" t="s">
        <v>12</v>
      </c>
      <c r="C278" s="1">
        <f>SUM(PL!E278:H278)</f>
        <v>0</v>
      </c>
      <c r="D278" s="1">
        <f>SUM(PL!I278:L278)</f>
        <v>0</v>
      </c>
      <c r="E278" s="1">
        <f>SUM(C278:D278)</f>
        <v>0</v>
      </c>
      <c r="F278" s="1">
        <f>IF(C278 + F277 &lt; 0, C278 + F277, 0)</f>
        <v>0</v>
      </c>
      <c r="G278" s="1">
        <f>IF(D278 + G277 &lt; 0, D278 + G277, 0)</f>
        <v>0</v>
      </c>
      <c r="H278" s="1">
        <f>IF(E278 + H277 &lt; 0, E278 + H277, 0)</f>
        <v>0</v>
      </c>
      <c r="I278" s="1">
        <f>IF(H278 &lt; 0, 1 + I277, 0)</f>
        <v>0</v>
      </c>
      <c r="J278" s="1">
        <f>C278-((ABS(SUM(PL!E278:H278)))*0.125)</f>
        <v>0</v>
      </c>
      <c r="K278" s="1">
        <f>D278-((ABS(SUM(PL!I278:L278)))*0.125)</f>
        <v>0</v>
      </c>
      <c r="L278" s="1">
        <f>J278 + K278</f>
        <v>0</v>
      </c>
      <c r="M278" s="1">
        <f>IF(J278 + M277 &lt; 0, J278 + M277, 0)</f>
        <v>0</v>
      </c>
      <c r="N278" s="1">
        <f>IF(K278 + N277 &lt; 0, K278 + N277, 0)</f>
        <v>0</v>
      </c>
      <c r="O278" s="1">
        <f>IF(L278 + O277 &lt; 0, L278 + O277, 0)</f>
        <v>0</v>
      </c>
      <c r="P278" s="1">
        <f>IF(O278 &lt; 0, 1 + P277, 0)</f>
        <v>0</v>
      </c>
      <c r="Q278" s="1">
        <f>IF(E278&lt;0,1,0)</f>
        <v>0</v>
      </c>
      <c r="R278" s="1">
        <f>IF(Q278=1,E278,0)</f>
        <v>0</v>
      </c>
      <c r="S278" s="1">
        <f>IF(E278&gt;0,1,0)</f>
        <v>0</v>
      </c>
      <c r="T278" s="1">
        <f>IF(S278=1,E278,0)</f>
        <v>0</v>
      </c>
      <c r="U278" s="1">
        <f>IF(R278&lt;-100000000/100,1,0)</f>
        <v>0</v>
      </c>
      <c r="V278" s="1">
        <f>IF(T278&gt;100000000/100,1,0)</f>
        <v>0</v>
      </c>
      <c r="W278" s="1">
        <f>IF(L278&lt;0,1,0)</f>
        <v>0</v>
      </c>
      <c r="X278" s="1">
        <f>IF(W278=1,L278,0)</f>
        <v>0</v>
      </c>
      <c r="Y278" s="1">
        <f>IF(L278&gt;0,1,0)</f>
        <v>0</v>
      </c>
      <c r="Z278" s="1">
        <f>IF(Y278=1,L278,0)</f>
        <v>0</v>
      </c>
      <c r="AA278" s="1">
        <f>IF(X278&lt;-100000000/100,1,0)</f>
        <v>0</v>
      </c>
      <c r="AB278" s="1">
        <f>IF(Z278&gt;100000000/100,1,0)</f>
        <v>0</v>
      </c>
    </row>
    <row r="279" spans="1:28" s="1" customFormat="1">
      <c r="A279" s="3">
        <v>45391</v>
      </c>
      <c r="B279" s="2" t="s">
        <v>13</v>
      </c>
      <c r="C279" s="1">
        <f>SUM(PL!E279:H279)</f>
        <v>0</v>
      </c>
      <c r="D279" s="1">
        <f>SUM(PL!I279:L279)</f>
        <v>0</v>
      </c>
      <c r="E279" s="1">
        <f>SUM(C279:D279)</f>
        <v>0</v>
      </c>
      <c r="F279" s="1">
        <f>IF(C279 + F278 &lt; 0, C279 + F278, 0)</f>
        <v>0</v>
      </c>
      <c r="G279" s="1">
        <f>IF(D279 + G278 &lt; 0, D279 + G278, 0)</f>
        <v>0</v>
      </c>
      <c r="H279" s="1">
        <f>IF(E279 + H278 &lt; 0, E279 + H278, 0)</f>
        <v>0</v>
      </c>
      <c r="I279" s="1">
        <f>IF(H279 &lt; 0, 1 + I278, 0)</f>
        <v>0</v>
      </c>
      <c r="J279" s="1">
        <f>C279-((ABS(SUM(PL!E279:H279)))*0.125)</f>
        <v>0</v>
      </c>
      <c r="K279" s="1">
        <f>D279-((ABS(SUM(PL!I279:L279)))*0.125)</f>
        <v>0</v>
      </c>
      <c r="L279" s="1">
        <f>J279 + K279</f>
        <v>0</v>
      </c>
      <c r="M279" s="1">
        <f>IF(J279 + M278 &lt; 0, J279 + M278, 0)</f>
        <v>0</v>
      </c>
      <c r="N279" s="1">
        <f>IF(K279 + N278 &lt; 0, K279 + N278, 0)</f>
        <v>0</v>
      </c>
      <c r="O279" s="1">
        <f>IF(L279 + O278 &lt; 0, L279 + O278, 0)</f>
        <v>0</v>
      </c>
      <c r="P279" s="1">
        <f>IF(O279 &lt; 0, 1 + P278, 0)</f>
        <v>0</v>
      </c>
      <c r="Q279" s="1">
        <f>IF(E279&lt;0,1,0)</f>
        <v>0</v>
      </c>
      <c r="R279" s="1">
        <f>IF(Q279=1,E279,0)</f>
        <v>0</v>
      </c>
      <c r="S279" s="1">
        <f>IF(E279&gt;0,1,0)</f>
        <v>0</v>
      </c>
      <c r="T279" s="1">
        <f>IF(S279=1,E279,0)</f>
        <v>0</v>
      </c>
      <c r="U279" s="1">
        <f>IF(R279&lt;-100000000/100,1,0)</f>
        <v>0</v>
      </c>
      <c r="V279" s="1">
        <f>IF(T279&gt;100000000/100,1,0)</f>
        <v>0</v>
      </c>
      <c r="W279" s="1">
        <f>IF(L279&lt;0,1,0)</f>
        <v>0</v>
      </c>
      <c r="X279" s="1">
        <f>IF(W279=1,L279,0)</f>
        <v>0</v>
      </c>
      <c r="Y279" s="1">
        <f>IF(L279&gt;0,1,0)</f>
        <v>0</v>
      </c>
      <c r="Z279" s="1">
        <f>IF(Y279=1,L279,0)</f>
        <v>0</v>
      </c>
      <c r="AA279" s="1">
        <f>IF(X279&lt;-100000000/100,1,0)</f>
        <v>0</v>
      </c>
      <c r="AB279" s="1">
        <f>IF(Z279&gt;100000000/100,1,0)</f>
        <v>0</v>
      </c>
    </row>
    <row r="280" spans="1:28" s="1" customFormat="1">
      <c r="A280" s="3">
        <v>45392</v>
      </c>
      <c r="B280" s="2" t="s">
        <v>14</v>
      </c>
      <c r="C280" s="1">
        <f>SUM(PL!E280:H280)</f>
        <v>0</v>
      </c>
      <c r="D280" s="1">
        <f>SUM(PL!I280:L280)</f>
        <v>0</v>
      </c>
      <c r="E280" s="1">
        <f>SUM(C280:D280)</f>
        <v>0</v>
      </c>
      <c r="F280" s="1">
        <f>IF(C280 + F279 &lt; 0, C280 + F279, 0)</f>
        <v>0</v>
      </c>
      <c r="G280" s="1">
        <f>IF(D280 + G279 &lt; 0, D280 + G279, 0)</f>
        <v>0</v>
      </c>
      <c r="H280" s="1">
        <f>IF(E280 + H279 &lt; 0, E280 + H279, 0)</f>
        <v>0</v>
      </c>
      <c r="I280" s="1">
        <f>IF(H280 &lt; 0, 1 + I279, 0)</f>
        <v>0</v>
      </c>
      <c r="J280" s="1">
        <f>C280-((ABS(SUM(PL!E280:H280)))*0.125)</f>
        <v>0</v>
      </c>
      <c r="K280" s="1">
        <f>D280-((ABS(SUM(PL!I280:L280)))*0.125)</f>
        <v>0</v>
      </c>
      <c r="L280" s="1">
        <f>J280 + K280</f>
        <v>0</v>
      </c>
      <c r="M280" s="1">
        <f>IF(J280 + M279 &lt; 0, J280 + M279, 0)</f>
        <v>0</v>
      </c>
      <c r="N280" s="1">
        <f>IF(K280 + N279 &lt; 0, K280 + N279, 0)</f>
        <v>0</v>
      </c>
      <c r="O280" s="1">
        <f>IF(L280 + O279 &lt; 0, L280 + O279, 0)</f>
        <v>0</v>
      </c>
      <c r="P280" s="1">
        <f>IF(O280 &lt; 0, 1 + P279, 0)</f>
        <v>0</v>
      </c>
      <c r="Q280" s="1">
        <f>IF(E280&lt;0,1,0)</f>
        <v>0</v>
      </c>
      <c r="R280" s="1">
        <f>IF(Q280=1,E280,0)</f>
        <v>0</v>
      </c>
      <c r="S280" s="1">
        <f>IF(E280&gt;0,1,0)</f>
        <v>0</v>
      </c>
      <c r="T280" s="1">
        <f>IF(S280=1,E280,0)</f>
        <v>0</v>
      </c>
      <c r="U280" s="1">
        <f>IF(R280&lt;-100000000/100,1,0)</f>
        <v>0</v>
      </c>
      <c r="V280" s="1">
        <f>IF(T280&gt;100000000/100,1,0)</f>
        <v>0</v>
      </c>
      <c r="W280" s="1">
        <f>IF(L280&lt;0,1,0)</f>
        <v>0</v>
      </c>
      <c r="X280" s="1">
        <f>IF(W280=1,L280,0)</f>
        <v>0</v>
      </c>
      <c r="Y280" s="1">
        <f>IF(L280&gt;0,1,0)</f>
        <v>0</v>
      </c>
      <c r="Z280" s="1">
        <f>IF(Y280=1,L280,0)</f>
        <v>0</v>
      </c>
      <c r="AA280" s="1">
        <f>IF(X280&lt;-100000000/100,1,0)</f>
        <v>0</v>
      </c>
      <c r="AB280" s="1">
        <f>IF(Z280&gt;100000000/100,1,0)</f>
        <v>0</v>
      </c>
    </row>
    <row r="281" spans="1:28" s="1" customFormat="1">
      <c r="A281" s="3">
        <v>45394</v>
      </c>
      <c r="B281" s="2" t="s">
        <v>15</v>
      </c>
      <c r="C281" s="1">
        <f>SUM(PL!E281:H281)</f>
        <v>0</v>
      </c>
      <c r="D281" s="1">
        <f>SUM(PL!I281:L281)</f>
        <v>0</v>
      </c>
      <c r="E281" s="1">
        <f>SUM(C281:D281)</f>
        <v>0</v>
      </c>
      <c r="F281" s="1">
        <f>IF(C281 + F280 &lt; 0, C281 + F280, 0)</f>
        <v>0</v>
      </c>
      <c r="G281" s="1">
        <f>IF(D281 + G280 &lt; 0, D281 + G280, 0)</f>
        <v>0</v>
      </c>
      <c r="H281" s="1">
        <f>IF(E281 + H280 &lt; 0, E281 + H280, 0)</f>
        <v>0</v>
      </c>
      <c r="I281" s="1">
        <f>IF(H281 &lt; 0, 1 + I280, 0)</f>
        <v>0</v>
      </c>
      <c r="J281" s="1">
        <f>C281-((ABS(SUM(PL!E281:H281)))*0.125)</f>
        <v>0</v>
      </c>
      <c r="K281" s="1">
        <f>D281-((ABS(SUM(PL!I281:L281)))*0.125)</f>
        <v>0</v>
      </c>
      <c r="L281" s="1">
        <f>J281 + K281</f>
        <v>0</v>
      </c>
      <c r="M281" s="1">
        <f>IF(J281 + M280 &lt; 0, J281 + M280, 0)</f>
        <v>0</v>
      </c>
      <c r="N281" s="1">
        <f>IF(K281 + N280 &lt; 0, K281 + N280, 0)</f>
        <v>0</v>
      </c>
      <c r="O281" s="1">
        <f>IF(L281 + O280 &lt; 0, L281 + O280, 0)</f>
        <v>0</v>
      </c>
      <c r="P281" s="1">
        <f>IF(O281 &lt; 0, 1 + P280, 0)</f>
        <v>0</v>
      </c>
      <c r="Q281" s="1">
        <f>IF(E281&lt;0,1,0)</f>
        <v>0</v>
      </c>
      <c r="R281" s="1">
        <f>IF(Q281=1,E281,0)</f>
        <v>0</v>
      </c>
      <c r="S281" s="1">
        <f>IF(E281&gt;0,1,0)</f>
        <v>0</v>
      </c>
      <c r="T281" s="1">
        <f>IF(S281=1,E281,0)</f>
        <v>0</v>
      </c>
      <c r="U281" s="1">
        <f>IF(R281&lt;-100000000/100,1,0)</f>
        <v>0</v>
      </c>
      <c r="V281" s="1">
        <f>IF(T281&gt;100000000/100,1,0)</f>
        <v>0</v>
      </c>
      <c r="W281" s="1">
        <f>IF(L281&lt;0,1,0)</f>
        <v>0</v>
      </c>
      <c r="X281" s="1">
        <f>IF(W281=1,L281,0)</f>
        <v>0</v>
      </c>
      <c r="Y281" s="1">
        <f>IF(L281&gt;0,1,0)</f>
        <v>0</v>
      </c>
      <c r="Z281" s="1">
        <f>IF(Y281=1,L281,0)</f>
        <v>0</v>
      </c>
      <c r="AA281" s="1">
        <f>IF(X281&lt;-100000000/100,1,0)</f>
        <v>0</v>
      </c>
      <c r="AB281" s="1">
        <f>IF(Z281&gt;100000000/100,1,0)</f>
        <v>0</v>
      </c>
    </row>
    <row r="282" spans="1:28" s="1" customFormat="1">
      <c r="A282" s="3">
        <v>45397</v>
      </c>
      <c r="B282" s="2" t="s">
        <v>12</v>
      </c>
      <c r="C282" s="1">
        <f>SUM(PL!E282:H282)</f>
        <v>0</v>
      </c>
      <c r="D282" s="1">
        <f>SUM(PL!I282:L282)</f>
        <v>0</v>
      </c>
      <c r="E282" s="1">
        <f>SUM(C282:D282)</f>
        <v>0</v>
      </c>
      <c r="F282" s="1">
        <f>IF(C282 + F281 &lt; 0, C282 + F281, 0)</f>
        <v>0</v>
      </c>
      <c r="G282" s="1">
        <f>IF(D282 + G281 &lt; 0, D282 + G281, 0)</f>
        <v>0</v>
      </c>
      <c r="H282" s="1">
        <f>IF(E282 + H281 &lt; 0, E282 + H281, 0)</f>
        <v>0</v>
      </c>
      <c r="I282" s="1">
        <f>IF(H282 &lt; 0, 1 + I281, 0)</f>
        <v>0</v>
      </c>
      <c r="J282" s="1">
        <f>C282-((ABS(SUM(PL!E282:H282)))*0.125)</f>
        <v>0</v>
      </c>
      <c r="K282" s="1">
        <f>D282-((ABS(SUM(PL!I282:L282)))*0.125)</f>
        <v>0</v>
      </c>
      <c r="L282" s="1">
        <f>J282 + K282</f>
        <v>0</v>
      </c>
      <c r="M282" s="1">
        <f>IF(J282 + M281 &lt; 0, J282 + M281, 0)</f>
        <v>0</v>
      </c>
      <c r="N282" s="1">
        <f>IF(K282 + N281 &lt; 0, K282 + N281, 0)</f>
        <v>0</v>
      </c>
      <c r="O282" s="1">
        <f>IF(L282 + O281 &lt; 0, L282 + O281, 0)</f>
        <v>0</v>
      </c>
      <c r="P282" s="1">
        <f>IF(O282 &lt; 0, 1 + P281, 0)</f>
        <v>0</v>
      </c>
      <c r="Q282" s="1">
        <f>IF(E282&lt;0,1,0)</f>
        <v>0</v>
      </c>
      <c r="R282" s="1">
        <f>IF(Q282=1,E282,0)</f>
        <v>0</v>
      </c>
      <c r="S282" s="1">
        <f>IF(E282&gt;0,1,0)</f>
        <v>0</v>
      </c>
      <c r="T282" s="1">
        <f>IF(S282=1,E282,0)</f>
        <v>0</v>
      </c>
      <c r="U282" s="1">
        <f>IF(R282&lt;-100000000/100,1,0)</f>
        <v>0</v>
      </c>
      <c r="V282" s="1">
        <f>IF(T282&gt;100000000/100,1,0)</f>
        <v>0</v>
      </c>
      <c r="W282" s="1">
        <f>IF(L282&lt;0,1,0)</f>
        <v>0</v>
      </c>
      <c r="X282" s="1">
        <f>IF(W282=1,L282,0)</f>
        <v>0</v>
      </c>
      <c r="Y282" s="1">
        <f>IF(L282&gt;0,1,0)</f>
        <v>0</v>
      </c>
      <c r="Z282" s="1">
        <f>IF(Y282=1,L282,0)</f>
        <v>0</v>
      </c>
      <c r="AA282" s="1">
        <f>IF(X282&lt;-100000000/100,1,0)</f>
        <v>0</v>
      </c>
      <c r="AB282" s="1">
        <f>IF(Z282&gt;100000000/100,1,0)</f>
        <v>0</v>
      </c>
    </row>
    <row r="283" spans="1:28" s="1" customFormat="1">
      <c r="A283" s="3">
        <v>45398</v>
      </c>
      <c r="B283" s="2" t="s">
        <v>13</v>
      </c>
      <c r="C283" s="1">
        <f>SUM(PL!E283:H283)</f>
        <v>0</v>
      </c>
      <c r="D283" s="1">
        <f>SUM(PL!I283:L283)</f>
        <v>0</v>
      </c>
      <c r="E283" s="1">
        <f>SUM(C283:D283)</f>
        <v>0</v>
      </c>
      <c r="F283" s="1">
        <f>IF(C283 + F282 &lt; 0, C283 + F282, 0)</f>
        <v>0</v>
      </c>
      <c r="G283" s="1">
        <f>IF(D283 + G282 &lt; 0, D283 + G282, 0)</f>
        <v>0</v>
      </c>
      <c r="H283" s="1">
        <f>IF(E283 + H282 &lt; 0, E283 + H282, 0)</f>
        <v>0</v>
      </c>
      <c r="I283" s="1">
        <f>IF(H283 &lt; 0, 1 + I282, 0)</f>
        <v>0</v>
      </c>
      <c r="J283" s="1">
        <f>C283-((ABS(SUM(PL!E283:H283)))*0.125)</f>
        <v>0</v>
      </c>
      <c r="K283" s="1">
        <f>D283-((ABS(SUM(PL!I283:L283)))*0.125)</f>
        <v>0</v>
      </c>
      <c r="L283" s="1">
        <f>J283 + K283</f>
        <v>0</v>
      </c>
      <c r="M283" s="1">
        <f>IF(J283 + M282 &lt; 0, J283 + M282, 0)</f>
        <v>0</v>
      </c>
      <c r="N283" s="1">
        <f>IF(K283 + N282 &lt; 0, K283 + N282, 0)</f>
        <v>0</v>
      </c>
      <c r="O283" s="1">
        <f>IF(L283 + O282 &lt; 0, L283 + O282, 0)</f>
        <v>0</v>
      </c>
      <c r="P283" s="1">
        <f>IF(O283 &lt; 0, 1 + P282, 0)</f>
        <v>0</v>
      </c>
      <c r="Q283" s="1">
        <f>IF(E283&lt;0,1,0)</f>
        <v>0</v>
      </c>
      <c r="R283" s="1">
        <f>IF(Q283=1,E283,0)</f>
        <v>0</v>
      </c>
      <c r="S283" s="1">
        <f>IF(E283&gt;0,1,0)</f>
        <v>0</v>
      </c>
      <c r="T283" s="1">
        <f>IF(S283=1,E283,0)</f>
        <v>0</v>
      </c>
      <c r="U283" s="1">
        <f>IF(R283&lt;-100000000/100,1,0)</f>
        <v>0</v>
      </c>
      <c r="V283" s="1">
        <f>IF(T283&gt;100000000/100,1,0)</f>
        <v>0</v>
      </c>
      <c r="W283" s="1">
        <f>IF(L283&lt;0,1,0)</f>
        <v>0</v>
      </c>
      <c r="X283" s="1">
        <f>IF(W283=1,L283,0)</f>
        <v>0</v>
      </c>
      <c r="Y283" s="1">
        <f>IF(L283&gt;0,1,0)</f>
        <v>0</v>
      </c>
      <c r="Z283" s="1">
        <f>IF(Y283=1,L283,0)</f>
        <v>0</v>
      </c>
      <c r="AA283" s="1">
        <f>IF(X283&lt;-100000000/100,1,0)</f>
        <v>0</v>
      </c>
      <c r="AB283" s="1">
        <f>IF(Z283&gt;100000000/100,1,0)</f>
        <v>0</v>
      </c>
    </row>
    <row r="284" spans="1:28" s="1" customFormat="1">
      <c r="A284" s="3">
        <v>45399</v>
      </c>
      <c r="B284" s="2" t="s">
        <v>14</v>
      </c>
      <c r="C284" s="1">
        <f>SUM(PL!E284:H284)</f>
        <v>0</v>
      </c>
      <c r="D284" s="1">
        <f>SUM(PL!I284:L284)</f>
        <v>0</v>
      </c>
      <c r="E284" s="1">
        <f>SUM(C284:D284)</f>
        <v>0</v>
      </c>
      <c r="F284" s="1">
        <f>IF(C284 + F283 &lt; 0, C284 + F283, 0)</f>
        <v>0</v>
      </c>
      <c r="G284" s="1">
        <f>IF(D284 + G283 &lt; 0, D284 + G283, 0)</f>
        <v>0</v>
      </c>
      <c r="H284" s="1">
        <f>IF(E284 + H283 &lt; 0, E284 + H283, 0)</f>
        <v>0</v>
      </c>
      <c r="I284" s="1">
        <f>IF(H284 &lt; 0, 1 + I283, 0)</f>
        <v>0</v>
      </c>
      <c r="J284" s="1">
        <f>C284-((ABS(SUM(PL!E284:H284)))*0.125)</f>
        <v>0</v>
      </c>
      <c r="K284" s="1">
        <f>D284-((ABS(SUM(PL!I284:L284)))*0.125)</f>
        <v>0</v>
      </c>
      <c r="L284" s="1">
        <f>J284 + K284</f>
        <v>0</v>
      </c>
      <c r="M284" s="1">
        <f>IF(J284 + M283 &lt; 0, J284 + M283, 0)</f>
        <v>0</v>
      </c>
      <c r="N284" s="1">
        <f>IF(K284 + N283 &lt; 0, K284 + N283, 0)</f>
        <v>0</v>
      </c>
      <c r="O284" s="1">
        <f>IF(L284 + O283 &lt; 0, L284 + O283, 0)</f>
        <v>0</v>
      </c>
      <c r="P284" s="1">
        <f>IF(O284 &lt; 0, 1 + P283, 0)</f>
        <v>0</v>
      </c>
      <c r="Q284" s="1">
        <f>IF(E284&lt;0,1,0)</f>
        <v>0</v>
      </c>
      <c r="R284" s="1">
        <f>IF(Q284=1,E284,0)</f>
        <v>0</v>
      </c>
      <c r="S284" s="1">
        <f>IF(E284&gt;0,1,0)</f>
        <v>0</v>
      </c>
      <c r="T284" s="1">
        <f>IF(S284=1,E284,0)</f>
        <v>0</v>
      </c>
      <c r="U284" s="1">
        <f>IF(R284&lt;-100000000/100,1,0)</f>
        <v>0</v>
      </c>
      <c r="V284" s="1">
        <f>IF(T284&gt;100000000/100,1,0)</f>
        <v>0</v>
      </c>
      <c r="W284" s="1">
        <f>IF(L284&lt;0,1,0)</f>
        <v>0</v>
      </c>
      <c r="X284" s="1">
        <f>IF(W284=1,L284,0)</f>
        <v>0</v>
      </c>
      <c r="Y284" s="1">
        <f>IF(L284&gt;0,1,0)</f>
        <v>0</v>
      </c>
      <c r="Z284" s="1">
        <f>IF(Y284=1,L284,0)</f>
        <v>0</v>
      </c>
      <c r="AA284" s="1">
        <f>IF(X284&lt;-100000000/100,1,0)</f>
        <v>0</v>
      </c>
      <c r="AB284" s="1">
        <f>IF(Z284&gt;100000000/100,1,0)</f>
        <v>0</v>
      </c>
    </row>
    <row r="285" spans="1:28" s="1" customFormat="1">
      <c r="A285" s="3">
        <v>45400</v>
      </c>
      <c r="B285" s="2" t="s">
        <v>16</v>
      </c>
      <c r="C285" s="1">
        <f>SUM(PL!E285:H285)</f>
        <v>0</v>
      </c>
      <c r="D285" s="1">
        <f>SUM(PL!I285:L285)</f>
        <v>0</v>
      </c>
      <c r="E285" s="1">
        <f>SUM(C285:D285)</f>
        <v>0</v>
      </c>
      <c r="F285" s="1">
        <f>IF(C285 + F284 &lt; 0, C285 + F284, 0)</f>
        <v>0</v>
      </c>
      <c r="G285" s="1">
        <f>IF(D285 + G284 &lt; 0, D285 + G284, 0)</f>
        <v>0</v>
      </c>
      <c r="H285" s="1">
        <f>IF(E285 + H284 &lt; 0, E285 + H284, 0)</f>
        <v>0</v>
      </c>
      <c r="I285" s="1">
        <f>IF(H285 &lt; 0, 1 + I284, 0)</f>
        <v>0</v>
      </c>
      <c r="J285" s="1">
        <f>C285-((ABS(SUM(PL!E285:H285)))*0.125)</f>
        <v>0</v>
      </c>
      <c r="K285" s="1">
        <f>D285-((ABS(SUM(PL!I285:L285)))*0.125)</f>
        <v>0</v>
      </c>
      <c r="L285" s="1">
        <f>J285 + K285</f>
        <v>0</v>
      </c>
      <c r="M285" s="1">
        <f>IF(J285 + M284 &lt; 0, J285 + M284, 0)</f>
        <v>0</v>
      </c>
      <c r="N285" s="1">
        <f>IF(K285 + N284 &lt; 0, K285 + N284, 0)</f>
        <v>0</v>
      </c>
      <c r="O285" s="1">
        <f>IF(L285 + O284 &lt; 0, L285 + O284, 0)</f>
        <v>0</v>
      </c>
      <c r="P285" s="1">
        <f>IF(O285 &lt; 0, 1 + P284, 0)</f>
        <v>0</v>
      </c>
      <c r="Q285" s="1">
        <f>IF(E285&lt;0,1,0)</f>
        <v>0</v>
      </c>
      <c r="R285" s="1">
        <f>IF(Q285=1,E285,0)</f>
        <v>0</v>
      </c>
      <c r="S285" s="1">
        <f>IF(E285&gt;0,1,0)</f>
        <v>0</v>
      </c>
      <c r="T285" s="1">
        <f>IF(S285=1,E285,0)</f>
        <v>0</v>
      </c>
      <c r="U285" s="1">
        <f>IF(R285&lt;-100000000/100,1,0)</f>
        <v>0</v>
      </c>
      <c r="V285" s="1">
        <f>IF(T285&gt;100000000/100,1,0)</f>
        <v>0</v>
      </c>
      <c r="W285" s="1">
        <f>IF(L285&lt;0,1,0)</f>
        <v>0</v>
      </c>
      <c r="X285" s="1">
        <f>IF(W285=1,L285,0)</f>
        <v>0</v>
      </c>
      <c r="Y285" s="1">
        <f>IF(L285&gt;0,1,0)</f>
        <v>0</v>
      </c>
      <c r="Z285" s="1">
        <f>IF(Y285=1,L285,0)</f>
        <v>0</v>
      </c>
      <c r="AA285" s="1">
        <f>IF(X285&lt;-100000000/100,1,0)</f>
        <v>0</v>
      </c>
      <c r="AB285" s="1">
        <f>IF(Z285&gt;100000000/100,1,0)</f>
        <v>0</v>
      </c>
    </row>
    <row r="286" spans="1:28" s="1" customFormat="1">
      <c r="A286" s="3">
        <v>45401</v>
      </c>
      <c r="B286" s="2" t="s">
        <v>15</v>
      </c>
      <c r="C286" s="1">
        <f>SUM(PL!E286:H286)</f>
        <v>0</v>
      </c>
      <c r="D286" s="1">
        <f>SUM(PL!I286:L286)</f>
        <v>0</v>
      </c>
      <c r="E286" s="1">
        <f>SUM(C286:D286)</f>
        <v>0</v>
      </c>
      <c r="F286" s="1">
        <f>IF(C286 + F285 &lt; 0, C286 + F285, 0)</f>
        <v>0</v>
      </c>
      <c r="G286" s="1">
        <f>IF(D286 + G285 &lt; 0, D286 + G285, 0)</f>
        <v>0</v>
      </c>
      <c r="H286" s="1">
        <f>IF(E286 + H285 &lt; 0, E286 + H285, 0)</f>
        <v>0</v>
      </c>
      <c r="I286" s="1">
        <f>IF(H286 &lt; 0, 1 + I285, 0)</f>
        <v>0</v>
      </c>
      <c r="J286" s="1">
        <f>C286-((ABS(SUM(PL!E286:H286)))*0.125)</f>
        <v>0</v>
      </c>
      <c r="K286" s="1">
        <f>D286-((ABS(SUM(PL!I286:L286)))*0.125)</f>
        <v>0</v>
      </c>
      <c r="L286" s="1">
        <f>J286 + K286</f>
        <v>0</v>
      </c>
      <c r="M286" s="1">
        <f>IF(J286 + M285 &lt; 0, J286 + M285, 0)</f>
        <v>0</v>
      </c>
      <c r="N286" s="1">
        <f>IF(K286 + N285 &lt; 0, K286 + N285, 0)</f>
        <v>0</v>
      </c>
      <c r="O286" s="1">
        <f>IF(L286 + O285 &lt; 0, L286 + O285, 0)</f>
        <v>0</v>
      </c>
      <c r="P286" s="1">
        <f>IF(O286 &lt; 0, 1 + P285, 0)</f>
        <v>0</v>
      </c>
      <c r="Q286" s="1">
        <f>IF(E286&lt;0,1,0)</f>
        <v>0</v>
      </c>
      <c r="R286" s="1">
        <f>IF(Q286=1,E286,0)</f>
        <v>0</v>
      </c>
      <c r="S286" s="1">
        <f>IF(E286&gt;0,1,0)</f>
        <v>0</v>
      </c>
      <c r="T286" s="1">
        <f>IF(S286=1,E286,0)</f>
        <v>0</v>
      </c>
      <c r="U286" s="1">
        <f>IF(R286&lt;-100000000/100,1,0)</f>
        <v>0</v>
      </c>
      <c r="V286" s="1">
        <f>IF(T286&gt;100000000/100,1,0)</f>
        <v>0</v>
      </c>
      <c r="W286" s="1">
        <f>IF(L286&lt;0,1,0)</f>
        <v>0</v>
      </c>
      <c r="X286" s="1">
        <f>IF(W286=1,L286,0)</f>
        <v>0</v>
      </c>
      <c r="Y286" s="1">
        <f>IF(L286&gt;0,1,0)</f>
        <v>0</v>
      </c>
      <c r="Z286" s="1">
        <f>IF(Y286=1,L286,0)</f>
        <v>0</v>
      </c>
      <c r="AA286" s="1">
        <f>IF(X286&lt;-100000000/100,1,0)</f>
        <v>0</v>
      </c>
      <c r="AB286" s="1">
        <f>IF(Z286&gt;100000000/100,1,0)</f>
        <v>0</v>
      </c>
    </row>
    <row r="287" spans="1:28" s="1" customFormat="1">
      <c r="A287" s="3">
        <v>45404</v>
      </c>
      <c r="B287" s="2" t="s">
        <v>12</v>
      </c>
      <c r="C287" s="1">
        <f>SUM(PL!E287:H287)</f>
        <v>0</v>
      </c>
      <c r="D287" s="1">
        <f>SUM(PL!I287:L287)</f>
        <v>0</v>
      </c>
      <c r="E287" s="1">
        <f>SUM(C287:D287)</f>
        <v>0</v>
      </c>
      <c r="F287" s="1">
        <f>IF(C287 + F286 &lt; 0, C287 + F286, 0)</f>
        <v>0</v>
      </c>
      <c r="G287" s="1">
        <f>IF(D287 + G286 &lt; 0, D287 + G286, 0)</f>
        <v>0</v>
      </c>
      <c r="H287" s="1">
        <f>IF(E287 + H286 &lt; 0, E287 + H286, 0)</f>
        <v>0</v>
      </c>
      <c r="I287" s="1">
        <f>IF(H287 &lt; 0, 1 + I286, 0)</f>
        <v>0</v>
      </c>
      <c r="J287" s="1">
        <f>C287-((ABS(SUM(PL!E287:H287)))*0.125)</f>
        <v>0</v>
      </c>
      <c r="K287" s="1">
        <f>D287-((ABS(SUM(PL!I287:L287)))*0.125)</f>
        <v>0</v>
      </c>
      <c r="L287" s="1">
        <f>J287 + K287</f>
        <v>0</v>
      </c>
      <c r="M287" s="1">
        <f>IF(J287 + M286 &lt; 0, J287 + M286, 0)</f>
        <v>0</v>
      </c>
      <c r="N287" s="1">
        <f>IF(K287 + N286 &lt; 0, K287 + N286, 0)</f>
        <v>0</v>
      </c>
      <c r="O287" s="1">
        <f>IF(L287 + O286 &lt; 0, L287 + O286, 0)</f>
        <v>0</v>
      </c>
      <c r="P287" s="1">
        <f>IF(O287 &lt; 0, 1 + P286, 0)</f>
        <v>0</v>
      </c>
      <c r="Q287" s="1">
        <f>IF(E287&lt;0,1,0)</f>
        <v>0</v>
      </c>
      <c r="R287" s="1">
        <f>IF(Q287=1,E287,0)</f>
        <v>0</v>
      </c>
      <c r="S287" s="1">
        <f>IF(E287&gt;0,1,0)</f>
        <v>0</v>
      </c>
      <c r="T287" s="1">
        <f>IF(S287=1,E287,0)</f>
        <v>0</v>
      </c>
      <c r="U287" s="1">
        <f>IF(R287&lt;-100000000/100,1,0)</f>
        <v>0</v>
      </c>
      <c r="V287" s="1">
        <f>IF(T287&gt;100000000/100,1,0)</f>
        <v>0</v>
      </c>
      <c r="W287" s="1">
        <f>IF(L287&lt;0,1,0)</f>
        <v>0</v>
      </c>
      <c r="X287" s="1">
        <f>IF(W287=1,L287,0)</f>
        <v>0</v>
      </c>
      <c r="Y287" s="1">
        <f>IF(L287&gt;0,1,0)</f>
        <v>0</v>
      </c>
      <c r="Z287" s="1">
        <f>IF(Y287=1,L287,0)</f>
        <v>0</v>
      </c>
      <c r="AA287" s="1">
        <f>IF(X287&lt;-100000000/100,1,0)</f>
        <v>0</v>
      </c>
      <c r="AB287" s="1">
        <f>IF(Z287&gt;100000000/100,1,0)</f>
        <v>0</v>
      </c>
    </row>
    <row r="288" spans="1:28" s="1" customFormat="1">
      <c r="A288" s="3">
        <v>45405</v>
      </c>
      <c r="B288" s="2" t="s">
        <v>13</v>
      </c>
      <c r="C288" s="1">
        <f>SUM(PL!E288:H288)</f>
        <v>0</v>
      </c>
      <c r="D288" s="1">
        <f>SUM(PL!I288:L288)</f>
        <v>0</v>
      </c>
      <c r="E288" s="1">
        <f>SUM(C288:D288)</f>
        <v>0</v>
      </c>
      <c r="F288" s="1">
        <f>IF(C288 + F287 &lt; 0, C288 + F287, 0)</f>
        <v>0</v>
      </c>
      <c r="G288" s="1">
        <f>IF(D288 + G287 &lt; 0, D288 + G287, 0)</f>
        <v>0</v>
      </c>
      <c r="H288" s="1">
        <f>IF(E288 + H287 &lt; 0, E288 + H287, 0)</f>
        <v>0</v>
      </c>
      <c r="I288" s="1">
        <f>IF(H288 &lt; 0, 1 + I287, 0)</f>
        <v>0</v>
      </c>
      <c r="J288" s="1">
        <f>C288-((ABS(SUM(PL!E288:H288)))*0.125)</f>
        <v>0</v>
      </c>
      <c r="K288" s="1">
        <f>D288-((ABS(SUM(PL!I288:L288)))*0.125)</f>
        <v>0</v>
      </c>
      <c r="L288" s="1">
        <f>J288 + K288</f>
        <v>0</v>
      </c>
      <c r="M288" s="1">
        <f>IF(J288 + M287 &lt; 0, J288 + M287, 0)</f>
        <v>0</v>
      </c>
      <c r="N288" s="1">
        <f>IF(K288 + N287 &lt; 0, K288 + N287, 0)</f>
        <v>0</v>
      </c>
      <c r="O288" s="1">
        <f>IF(L288 + O287 &lt; 0, L288 + O287, 0)</f>
        <v>0</v>
      </c>
      <c r="P288" s="1">
        <f>IF(O288 &lt; 0, 1 + P287, 0)</f>
        <v>0</v>
      </c>
      <c r="Q288" s="1">
        <f>IF(E288&lt;0,1,0)</f>
        <v>0</v>
      </c>
      <c r="R288" s="1">
        <f>IF(Q288=1,E288,0)</f>
        <v>0</v>
      </c>
      <c r="S288" s="1">
        <f>IF(E288&gt;0,1,0)</f>
        <v>0</v>
      </c>
      <c r="T288" s="1">
        <f>IF(S288=1,E288,0)</f>
        <v>0</v>
      </c>
      <c r="U288" s="1">
        <f>IF(R288&lt;-100000000/100,1,0)</f>
        <v>0</v>
      </c>
      <c r="V288" s="1">
        <f>IF(T288&gt;100000000/100,1,0)</f>
        <v>0</v>
      </c>
      <c r="W288" s="1">
        <f>IF(L288&lt;0,1,0)</f>
        <v>0</v>
      </c>
      <c r="X288" s="1">
        <f>IF(W288=1,L288,0)</f>
        <v>0</v>
      </c>
      <c r="Y288" s="1">
        <f>IF(L288&gt;0,1,0)</f>
        <v>0</v>
      </c>
      <c r="Z288" s="1">
        <f>IF(Y288=1,L288,0)</f>
        <v>0</v>
      </c>
      <c r="AA288" s="1">
        <f>IF(X288&lt;-100000000/100,1,0)</f>
        <v>0</v>
      </c>
      <c r="AB288" s="1">
        <f>IF(Z288&gt;100000000/100,1,0)</f>
        <v>0</v>
      </c>
    </row>
    <row r="289" spans="1:28" s="1" customFormat="1">
      <c r="A289" s="3">
        <v>45406</v>
      </c>
      <c r="B289" s="2" t="s">
        <v>14</v>
      </c>
      <c r="C289" s="1">
        <f>SUM(PL!E289:H289)</f>
        <v>0</v>
      </c>
      <c r="D289" s="1">
        <f>SUM(PL!I289:L289)</f>
        <v>0</v>
      </c>
      <c r="E289" s="1">
        <f>SUM(C289:D289)</f>
        <v>0</v>
      </c>
      <c r="F289" s="1">
        <f>IF(C289 + F288 &lt; 0, C289 + F288, 0)</f>
        <v>0</v>
      </c>
      <c r="G289" s="1">
        <f>IF(D289 + G288 &lt; 0, D289 + G288, 0)</f>
        <v>0</v>
      </c>
      <c r="H289" s="1">
        <f>IF(E289 + H288 &lt; 0, E289 + H288, 0)</f>
        <v>0</v>
      </c>
      <c r="I289" s="1">
        <f>IF(H289 &lt; 0, 1 + I288, 0)</f>
        <v>0</v>
      </c>
      <c r="J289" s="1">
        <f>C289-((ABS(SUM(PL!E289:H289)))*0.125)</f>
        <v>0</v>
      </c>
      <c r="K289" s="1">
        <f>D289-((ABS(SUM(PL!I289:L289)))*0.125)</f>
        <v>0</v>
      </c>
      <c r="L289" s="1">
        <f>J289 + K289</f>
        <v>0</v>
      </c>
      <c r="M289" s="1">
        <f>IF(J289 + M288 &lt; 0, J289 + M288, 0)</f>
        <v>0</v>
      </c>
      <c r="N289" s="1">
        <f>IF(K289 + N288 &lt; 0, K289 + N288, 0)</f>
        <v>0</v>
      </c>
      <c r="O289" s="1">
        <f>IF(L289 + O288 &lt; 0, L289 + O288, 0)</f>
        <v>0</v>
      </c>
      <c r="P289" s="1">
        <f>IF(O289 &lt; 0, 1 + P288, 0)</f>
        <v>0</v>
      </c>
      <c r="Q289" s="1">
        <f>IF(E289&lt;0,1,0)</f>
        <v>0</v>
      </c>
      <c r="R289" s="1">
        <f>IF(Q289=1,E289,0)</f>
        <v>0</v>
      </c>
      <c r="S289" s="1">
        <f>IF(E289&gt;0,1,0)</f>
        <v>0</v>
      </c>
      <c r="T289" s="1">
        <f>IF(S289=1,E289,0)</f>
        <v>0</v>
      </c>
      <c r="U289" s="1">
        <f>IF(R289&lt;-100000000/100,1,0)</f>
        <v>0</v>
      </c>
      <c r="V289" s="1">
        <f>IF(T289&gt;100000000/100,1,0)</f>
        <v>0</v>
      </c>
      <c r="W289" s="1">
        <f>IF(L289&lt;0,1,0)</f>
        <v>0</v>
      </c>
      <c r="X289" s="1">
        <f>IF(W289=1,L289,0)</f>
        <v>0</v>
      </c>
      <c r="Y289" s="1">
        <f>IF(L289&gt;0,1,0)</f>
        <v>0</v>
      </c>
      <c r="Z289" s="1">
        <f>IF(Y289=1,L289,0)</f>
        <v>0</v>
      </c>
      <c r="AA289" s="1">
        <f>IF(X289&lt;-100000000/100,1,0)</f>
        <v>0</v>
      </c>
      <c r="AB289" s="1">
        <f>IF(Z289&gt;100000000/100,1,0)</f>
        <v>0</v>
      </c>
    </row>
    <row r="290" spans="1:28" s="1" customFormat="1">
      <c r="A290" s="3">
        <v>45407</v>
      </c>
      <c r="B290" s="2" t="s">
        <v>16</v>
      </c>
      <c r="C290" s="1">
        <f>SUM(PL!E290:H290)</f>
        <v>0</v>
      </c>
      <c r="D290" s="1">
        <f>SUM(PL!I290:L290)</f>
        <v>0</v>
      </c>
      <c r="E290" s="1">
        <f>SUM(C290:D290)</f>
        <v>0</v>
      </c>
      <c r="F290" s="1">
        <f>IF(C290 + F289 &lt; 0, C290 + F289, 0)</f>
        <v>0</v>
      </c>
      <c r="G290" s="1">
        <f>IF(D290 + G289 &lt; 0, D290 + G289, 0)</f>
        <v>0</v>
      </c>
      <c r="H290" s="1">
        <f>IF(E290 + H289 &lt; 0, E290 + H289, 0)</f>
        <v>0</v>
      </c>
      <c r="I290" s="1">
        <f>IF(H290 &lt; 0, 1 + I289, 0)</f>
        <v>0</v>
      </c>
      <c r="J290" s="1">
        <f>C290-((ABS(SUM(PL!E290:H290)))*0.125)</f>
        <v>0</v>
      </c>
      <c r="K290" s="1">
        <f>D290-((ABS(SUM(PL!I290:L290)))*0.125)</f>
        <v>0</v>
      </c>
      <c r="L290" s="1">
        <f>J290 + K290</f>
        <v>0</v>
      </c>
      <c r="M290" s="1">
        <f>IF(J290 + M289 &lt; 0, J290 + M289, 0)</f>
        <v>0</v>
      </c>
      <c r="N290" s="1">
        <f>IF(K290 + N289 &lt; 0, K290 + N289, 0)</f>
        <v>0</v>
      </c>
      <c r="O290" s="1">
        <f>IF(L290 + O289 &lt; 0, L290 + O289, 0)</f>
        <v>0</v>
      </c>
      <c r="P290" s="1">
        <f>IF(O290 &lt; 0, 1 + P289, 0)</f>
        <v>0</v>
      </c>
      <c r="Q290" s="1">
        <f>IF(E290&lt;0,1,0)</f>
        <v>0</v>
      </c>
      <c r="R290" s="1">
        <f>IF(Q290=1,E290,0)</f>
        <v>0</v>
      </c>
      <c r="S290" s="1">
        <f>IF(E290&gt;0,1,0)</f>
        <v>0</v>
      </c>
      <c r="T290" s="1">
        <f>IF(S290=1,E290,0)</f>
        <v>0</v>
      </c>
      <c r="U290" s="1">
        <f>IF(R290&lt;-100000000/100,1,0)</f>
        <v>0</v>
      </c>
      <c r="V290" s="1">
        <f>IF(T290&gt;100000000/100,1,0)</f>
        <v>0</v>
      </c>
      <c r="W290" s="1">
        <f>IF(L290&lt;0,1,0)</f>
        <v>0</v>
      </c>
      <c r="X290" s="1">
        <f>IF(W290=1,L290,0)</f>
        <v>0</v>
      </c>
      <c r="Y290" s="1">
        <f>IF(L290&gt;0,1,0)</f>
        <v>0</v>
      </c>
      <c r="Z290" s="1">
        <f>IF(Y290=1,L290,0)</f>
        <v>0</v>
      </c>
      <c r="AA290" s="1">
        <f>IF(X290&lt;-100000000/100,1,0)</f>
        <v>0</v>
      </c>
      <c r="AB290" s="1">
        <f>IF(Z290&gt;100000000/100,1,0)</f>
        <v>0</v>
      </c>
    </row>
    <row r="291" spans="1:28" s="1" customFormat="1">
      <c r="A291" s="3">
        <v>45408</v>
      </c>
      <c r="B291" s="2" t="s">
        <v>15</v>
      </c>
      <c r="C291" s="1">
        <f>SUM(PL!E291:H291)</f>
        <v>0</v>
      </c>
      <c r="D291" s="1">
        <f>SUM(PL!I291:L291)</f>
        <v>0</v>
      </c>
      <c r="E291" s="1">
        <f>SUM(C291:D291)</f>
        <v>0</v>
      </c>
      <c r="F291" s="1">
        <f>IF(C291 + F290 &lt; 0, C291 + F290, 0)</f>
        <v>0</v>
      </c>
      <c r="G291" s="1">
        <f>IF(D291 + G290 &lt; 0, D291 + G290, 0)</f>
        <v>0</v>
      </c>
      <c r="H291" s="1">
        <f>IF(E291 + H290 &lt; 0, E291 + H290, 0)</f>
        <v>0</v>
      </c>
      <c r="I291" s="1">
        <f>IF(H291 &lt; 0, 1 + I290, 0)</f>
        <v>0</v>
      </c>
      <c r="J291" s="1">
        <f>C291-((ABS(SUM(PL!E291:H291)))*0.125)</f>
        <v>0</v>
      </c>
      <c r="K291" s="1">
        <f>D291-((ABS(SUM(PL!I291:L291)))*0.125)</f>
        <v>0</v>
      </c>
      <c r="L291" s="1">
        <f>J291 + K291</f>
        <v>0</v>
      </c>
      <c r="M291" s="1">
        <f>IF(J291 + M290 &lt; 0, J291 + M290, 0)</f>
        <v>0</v>
      </c>
      <c r="N291" s="1">
        <f>IF(K291 + N290 &lt; 0, K291 + N290, 0)</f>
        <v>0</v>
      </c>
      <c r="O291" s="1">
        <f>IF(L291 + O290 &lt; 0, L291 + O290, 0)</f>
        <v>0</v>
      </c>
      <c r="P291" s="1">
        <f>IF(O291 &lt; 0, 1 + P290, 0)</f>
        <v>0</v>
      </c>
      <c r="Q291" s="1">
        <f>IF(E291&lt;0,1,0)</f>
        <v>0</v>
      </c>
      <c r="R291" s="1">
        <f>IF(Q291=1,E291,0)</f>
        <v>0</v>
      </c>
      <c r="S291" s="1">
        <f>IF(E291&gt;0,1,0)</f>
        <v>0</v>
      </c>
      <c r="T291" s="1">
        <f>IF(S291=1,E291,0)</f>
        <v>0</v>
      </c>
      <c r="U291" s="1">
        <f>IF(R291&lt;-100000000/100,1,0)</f>
        <v>0</v>
      </c>
      <c r="V291" s="1">
        <f>IF(T291&gt;100000000/100,1,0)</f>
        <v>0</v>
      </c>
      <c r="W291" s="1">
        <f>IF(L291&lt;0,1,0)</f>
        <v>0</v>
      </c>
      <c r="X291" s="1">
        <f>IF(W291=1,L291,0)</f>
        <v>0</v>
      </c>
      <c r="Y291" s="1">
        <f>IF(L291&gt;0,1,0)</f>
        <v>0</v>
      </c>
      <c r="Z291" s="1">
        <f>IF(Y291=1,L291,0)</f>
        <v>0</v>
      </c>
      <c r="AA291" s="1">
        <f>IF(X291&lt;-100000000/100,1,0)</f>
        <v>0</v>
      </c>
      <c r="AB291" s="1">
        <f>IF(Z291&gt;100000000/100,1,0)</f>
        <v>0</v>
      </c>
    </row>
    <row r="292" spans="1:28" s="1" customFormat="1">
      <c r="A292" s="3">
        <v>45411</v>
      </c>
      <c r="B292" s="2" t="s">
        <v>12</v>
      </c>
      <c r="C292" s="1">
        <f>SUM(PL!E292:H292)</f>
        <v>0</v>
      </c>
      <c r="D292" s="1">
        <f>SUM(PL!I292:L292)</f>
        <v>0</v>
      </c>
      <c r="E292" s="1">
        <f>SUM(C292:D292)</f>
        <v>0</v>
      </c>
      <c r="F292" s="1">
        <f>IF(C292 + F291 &lt; 0, C292 + F291, 0)</f>
        <v>0</v>
      </c>
      <c r="G292" s="1">
        <f>IF(D292 + G291 &lt; 0, D292 + G291, 0)</f>
        <v>0</v>
      </c>
      <c r="H292" s="1">
        <f>IF(E292 + H291 &lt; 0, E292 + H291, 0)</f>
        <v>0</v>
      </c>
      <c r="I292" s="1">
        <f>IF(H292 &lt; 0, 1 + I291, 0)</f>
        <v>0</v>
      </c>
      <c r="J292" s="1">
        <f>C292-((ABS(SUM(PL!E292:H292)))*0.125)</f>
        <v>0</v>
      </c>
      <c r="K292" s="1">
        <f>D292-((ABS(SUM(PL!I292:L292)))*0.125)</f>
        <v>0</v>
      </c>
      <c r="L292" s="1">
        <f>J292 + K292</f>
        <v>0</v>
      </c>
      <c r="M292" s="1">
        <f>IF(J292 + M291 &lt; 0, J292 + M291, 0)</f>
        <v>0</v>
      </c>
      <c r="N292" s="1">
        <f>IF(K292 + N291 &lt; 0, K292 + N291, 0)</f>
        <v>0</v>
      </c>
      <c r="O292" s="1">
        <f>IF(L292 + O291 &lt; 0, L292 + O291, 0)</f>
        <v>0</v>
      </c>
      <c r="P292" s="1">
        <f>IF(O292 &lt; 0, 1 + P291, 0)</f>
        <v>0</v>
      </c>
      <c r="Q292" s="1">
        <f>IF(E292&lt;0,1,0)</f>
        <v>0</v>
      </c>
      <c r="R292" s="1">
        <f>IF(Q292=1,E292,0)</f>
        <v>0</v>
      </c>
      <c r="S292" s="1">
        <f>IF(E292&gt;0,1,0)</f>
        <v>0</v>
      </c>
      <c r="T292" s="1">
        <f>IF(S292=1,E292,0)</f>
        <v>0</v>
      </c>
      <c r="U292" s="1">
        <f>IF(R292&lt;-100000000/100,1,0)</f>
        <v>0</v>
      </c>
      <c r="V292" s="1">
        <f>IF(T292&gt;100000000/100,1,0)</f>
        <v>0</v>
      </c>
      <c r="W292" s="1">
        <f>IF(L292&lt;0,1,0)</f>
        <v>0</v>
      </c>
      <c r="X292" s="1">
        <f>IF(W292=1,L292,0)</f>
        <v>0</v>
      </c>
      <c r="Y292" s="1">
        <f>IF(L292&gt;0,1,0)</f>
        <v>0</v>
      </c>
      <c r="Z292" s="1">
        <f>IF(Y292=1,L292,0)</f>
        <v>0</v>
      </c>
      <c r="AA292" s="1">
        <f>IF(X292&lt;-100000000/100,1,0)</f>
        <v>0</v>
      </c>
      <c r="AB292" s="1">
        <f>IF(Z292&gt;100000000/100,1,0)</f>
        <v>0</v>
      </c>
    </row>
    <row r="293" spans="1:28" s="1" customFormat="1">
      <c r="A293" s="3">
        <v>45412</v>
      </c>
      <c r="B293" s="2" t="s">
        <v>13</v>
      </c>
      <c r="C293" s="1">
        <f>SUM(PL!E293:H293)</f>
        <v>0</v>
      </c>
      <c r="D293" s="1">
        <f>SUM(PL!I293:L293)</f>
        <v>0</v>
      </c>
      <c r="E293" s="1">
        <f>SUM(C293:D293)</f>
        <v>0</v>
      </c>
      <c r="F293" s="1">
        <f>IF(C293 + F292 &lt; 0, C293 + F292, 0)</f>
        <v>0</v>
      </c>
      <c r="G293" s="1">
        <f>IF(D293 + G292 &lt; 0, D293 + G292, 0)</f>
        <v>0</v>
      </c>
      <c r="H293" s="1">
        <f>IF(E293 + H292 &lt; 0, E293 + H292, 0)</f>
        <v>0</v>
      </c>
      <c r="I293" s="1">
        <f>IF(H293 &lt; 0, 1 + I292, 0)</f>
        <v>0</v>
      </c>
      <c r="J293" s="1">
        <f>C293-((ABS(SUM(PL!E293:H293)))*0.125)</f>
        <v>0</v>
      </c>
      <c r="K293" s="1">
        <f>D293-((ABS(SUM(PL!I293:L293)))*0.125)</f>
        <v>0</v>
      </c>
      <c r="L293" s="1">
        <f>J293 + K293</f>
        <v>0</v>
      </c>
      <c r="M293" s="1">
        <f>IF(J293 + M292 &lt; 0, J293 + M292, 0)</f>
        <v>0</v>
      </c>
      <c r="N293" s="1">
        <f>IF(K293 + N292 &lt; 0, K293 + N292, 0)</f>
        <v>0</v>
      </c>
      <c r="O293" s="1">
        <f>IF(L293 + O292 &lt; 0, L293 + O292, 0)</f>
        <v>0</v>
      </c>
      <c r="P293" s="1">
        <f>IF(O293 &lt; 0, 1 + P292, 0)</f>
        <v>0</v>
      </c>
      <c r="Q293" s="1">
        <f>IF(E293&lt;0,1,0)</f>
        <v>0</v>
      </c>
      <c r="R293" s="1">
        <f>IF(Q293=1,E293,0)</f>
        <v>0</v>
      </c>
      <c r="S293" s="1">
        <f>IF(E293&gt;0,1,0)</f>
        <v>0</v>
      </c>
      <c r="T293" s="1">
        <f>IF(S293=1,E293,0)</f>
        <v>0</v>
      </c>
      <c r="U293" s="1">
        <f>IF(R293&lt;-100000000/100,1,0)</f>
        <v>0</v>
      </c>
      <c r="V293" s="1">
        <f>IF(T293&gt;100000000/100,1,0)</f>
        <v>0</v>
      </c>
      <c r="W293" s="1">
        <f>IF(L293&lt;0,1,0)</f>
        <v>0</v>
      </c>
      <c r="X293" s="1">
        <f>IF(W293=1,L293,0)</f>
        <v>0</v>
      </c>
      <c r="Y293" s="1">
        <f>IF(L293&gt;0,1,0)</f>
        <v>0</v>
      </c>
      <c r="Z293" s="1">
        <f>IF(Y293=1,L293,0)</f>
        <v>0</v>
      </c>
      <c r="AA293" s="1">
        <f>IF(X293&lt;-100000000/100,1,0)</f>
        <v>0</v>
      </c>
      <c r="AB293" s="1">
        <f>IF(Z293&gt;100000000/100,1,0)</f>
        <v>0</v>
      </c>
    </row>
    <row r="294" spans="1:28" s="1" customFormat="1">
      <c r="A294" s="3">
        <v>45413</v>
      </c>
      <c r="B294" s="2" t="s">
        <v>14</v>
      </c>
      <c r="C294" s="1">
        <f>SUM(PL!E294:H294)</f>
        <v>0</v>
      </c>
      <c r="D294" s="1">
        <f>SUM(PL!I294:L294)</f>
        <v>0</v>
      </c>
      <c r="E294" s="1">
        <f>SUM(C294:D294)</f>
        <v>0</v>
      </c>
      <c r="F294" s="1">
        <f>IF(C294 + F293 &lt; 0, C294 + F293, 0)</f>
        <v>0</v>
      </c>
      <c r="G294" s="1">
        <f>IF(D294 + G293 &lt; 0, D294 + G293, 0)</f>
        <v>0</v>
      </c>
      <c r="H294" s="1">
        <f>IF(E294 + H293 &lt; 0, E294 + H293, 0)</f>
        <v>0</v>
      </c>
      <c r="I294" s="1">
        <f>IF(H294 &lt; 0, 1 + I293, 0)</f>
        <v>0</v>
      </c>
      <c r="J294" s="1">
        <f>C294-((ABS(SUM(PL!E294:H294)))*0.125)</f>
        <v>0</v>
      </c>
      <c r="K294" s="1">
        <f>D294-((ABS(SUM(PL!I294:L294)))*0.125)</f>
        <v>0</v>
      </c>
      <c r="L294" s="1">
        <f>J294 + K294</f>
        <v>0</v>
      </c>
      <c r="M294" s="1">
        <f>IF(J294 + M293 &lt; 0, J294 + M293, 0)</f>
        <v>0</v>
      </c>
      <c r="N294" s="1">
        <f>IF(K294 + N293 &lt; 0, K294 + N293, 0)</f>
        <v>0</v>
      </c>
      <c r="O294" s="1">
        <f>IF(L294 + O293 &lt; 0, L294 + O293, 0)</f>
        <v>0</v>
      </c>
      <c r="P294" s="1">
        <f>IF(O294 &lt; 0, 1 + P293, 0)</f>
        <v>0</v>
      </c>
      <c r="Q294" s="1">
        <f>IF(E294&lt;0,1,0)</f>
        <v>0</v>
      </c>
      <c r="R294" s="1">
        <f>IF(Q294=1,E294,0)</f>
        <v>0</v>
      </c>
      <c r="S294" s="1">
        <f>IF(E294&gt;0,1,0)</f>
        <v>0</v>
      </c>
      <c r="T294" s="1">
        <f>IF(S294=1,E294,0)</f>
        <v>0</v>
      </c>
      <c r="U294" s="1">
        <f>IF(R294&lt;-100000000/100,1,0)</f>
        <v>0</v>
      </c>
      <c r="V294" s="1">
        <f>IF(T294&gt;100000000/100,1,0)</f>
        <v>0</v>
      </c>
      <c r="W294" s="1">
        <f>IF(L294&lt;0,1,0)</f>
        <v>0</v>
      </c>
      <c r="X294" s="1">
        <f>IF(W294=1,L294,0)</f>
        <v>0</v>
      </c>
      <c r="Y294" s="1">
        <f>IF(L294&gt;0,1,0)</f>
        <v>0</v>
      </c>
      <c r="Z294" s="1">
        <f>IF(Y294=1,L294,0)</f>
        <v>0</v>
      </c>
      <c r="AA294" s="1">
        <f>IF(X294&lt;-100000000/100,1,0)</f>
        <v>0</v>
      </c>
      <c r="AB294" s="1">
        <f>IF(Z294&gt;100000000/100,1,0)</f>
        <v>0</v>
      </c>
    </row>
    <row r="295" spans="1:28" s="1" customFormat="1">
      <c r="A295" s="3">
        <v>45414</v>
      </c>
      <c r="B295" s="2" t="s">
        <v>16</v>
      </c>
      <c r="C295" s="1">
        <f>SUM(PL!E295:H295)</f>
        <v>0</v>
      </c>
      <c r="D295" s="1">
        <f>SUM(PL!I295:L295)</f>
        <v>0</v>
      </c>
      <c r="E295" s="1">
        <f>SUM(C295:D295)</f>
        <v>0</v>
      </c>
      <c r="F295" s="1">
        <f>IF(C295 + F294 &lt; 0, C295 + F294, 0)</f>
        <v>0</v>
      </c>
      <c r="G295" s="1">
        <f>IF(D295 + G294 &lt; 0, D295 + G294, 0)</f>
        <v>0</v>
      </c>
      <c r="H295" s="1">
        <f>IF(E295 + H294 &lt; 0, E295 + H294, 0)</f>
        <v>0</v>
      </c>
      <c r="I295" s="1">
        <f>IF(H295 &lt; 0, 1 + I294, 0)</f>
        <v>0</v>
      </c>
      <c r="J295" s="1">
        <f>C295-((ABS(SUM(PL!E295:H295)))*0.125)</f>
        <v>0</v>
      </c>
      <c r="K295" s="1">
        <f>D295-((ABS(SUM(PL!I295:L295)))*0.125)</f>
        <v>0</v>
      </c>
      <c r="L295" s="1">
        <f>J295 + K295</f>
        <v>0</v>
      </c>
      <c r="M295" s="1">
        <f>IF(J295 + M294 &lt; 0, J295 + M294, 0)</f>
        <v>0</v>
      </c>
      <c r="N295" s="1">
        <f>IF(K295 + N294 &lt; 0, K295 + N294, 0)</f>
        <v>0</v>
      </c>
      <c r="O295" s="1">
        <f>IF(L295 + O294 &lt; 0, L295 + O294, 0)</f>
        <v>0</v>
      </c>
      <c r="P295" s="1">
        <f>IF(O295 &lt; 0, 1 + P294, 0)</f>
        <v>0</v>
      </c>
      <c r="Q295" s="1">
        <f>IF(E295&lt;0,1,0)</f>
        <v>0</v>
      </c>
      <c r="R295" s="1">
        <f>IF(Q295=1,E295,0)</f>
        <v>0</v>
      </c>
      <c r="S295" s="1">
        <f>IF(E295&gt;0,1,0)</f>
        <v>0</v>
      </c>
      <c r="T295" s="1">
        <f>IF(S295=1,E295,0)</f>
        <v>0</v>
      </c>
      <c r="U295" s="1">
        <f>IF(R295&lt;-100000000/100,1,0)</f>
        <v>0</v>
      </c>
      <c r="V295" s="1">
        <f>IF(T295&gt;100000000/100,1,0)</f>
        <v>0</v>
      </c>
      <c r="W295" s="1">
        <f>IF(L295&lt;0,1,0)</f>
        <v>0</v>
      </c>
      <c r="X295" s="1">
        <f>IF(W295=1,L295,0)</f>
        <v>0</v>
      </c>
      <c r="Y295" s="1">
        <f>IF(L295&gt;0,1,0)</f>
        <v>0</v>
      </c>
      <c r="Z295" s="1">
        <f>IF(Y295=1,L295,0)</f>
        <v>0</v>
      </c>
      <c r="AA295" s="1">
        <f>IF(X295&lt;-100000000/100,1,0)</f>
        <v>0</v>
      </c>
      <c r="AB295" s="1">
        <f>IF(Z295&gt;100000000/100,1,0)</f>
        <v>0</v>
      </c>
    </row>
    <row r="296" spans="1:28" s="1" customFormat="1">
      <c r="A296" s="3">
        <v>45415</v>
      </c>
      <c r="B296" s="2" t="s">
        <v>15</v>
      </c>
      <c r="C296" s="1">
        <f>SUM(PL!E296:H296)</f>
        <v>0</v>
      </c>
      <c r="D296" s="1">
        <f>SUM(PL!I296:L296)</f>
        <v>0</v>
      </c>
      <c r="E296" s="1">
        <f>SUM(C296:D296)</f>
        <v>0</v>
      </c>
      <c r="F296" s="1">
        <f>IF(C296 + F295 &lt; 0, C296 + F295, 0)</f>
        <v>0</v>
      </c>
      <c r="G296" s="1">
        <f>IF(D296 + G295 &lt; 0, D296 + G295, 0)</f>
        <v>0</v>
      </c>
      <c r="H296" s="1">
        <f>IF(E296 + H295 &lt; 0, E296 + H295, 0)</f>
        <v>0</v>
      </c>
      <c r="I296" s="1">
        <f>IF(H296 &lt; 0, 1 + I295, 0)</f>
        <v>0</v>
      </c>
      <c r="J296" s="1">
        <f>C296-((ABS(SUM(PL!E296:H296)))*0.125)</f>
        <v>0</v>
      </c>
      <c r="K296" s="1">
        <f>D296-((ABS(SUM(PL!I296:L296)))*0.125)</f>
        <v>0</v>
      </c>
      <c r="L296" s="1">
        <f>J296 + K296</f>
        <v>0</v>
      </c>
      <c r="M296" s="1">
        <f>IF(J296 + M295 &lt; 0, J296 + M295, 0)</f>
        <v>0</v>
      </c>
      <c r="N296" s="1">
        <f>IF(K296 + N295 &lt; 0, K296 + N295, 0)</f>
        <v>0</v>
      </c>
      <c r="O296" s="1">
        <f>IF(L296 + O295 &lt; 0, L296 + O295, 0)</f>
        <v>0</v>
      </c>
      <c r="P296" s="1">
        <f>IF(O296 &lt; 0, 1 + P295, 0)</f>
        <v>0</v>
      </c>
      <c r="Q296" s="1">
        <f>IF(E296&lt;0,1,0)</f>
        <v>0</v>
      </c>
      <c r="R296" s="1">
        <f>IF(Q296=1,E296,0)</f>
        <v>0</v>
      </c>
      <c r="S296" s="1">
        <f>IF(E296&gt;0,1,0)</f>
        <v>0</v>
      </c>
      <c r="T296" s="1">
        <f>IF(S296=1,E296,0)</f>
        <v>0</v>
      </c>
      <c r="U296" s="1">
        <f>IF(R296&lt;-100000000/100,1,0)</f>
        <v>0</v>
      </c>
      <c r="V296" s="1">
        <f>IF(T296&gt;100000000/100,1,0)</f>
        <v>0</v>
      </c>
      <c r="W296" s="1">
        <f>IF(L296&lt;0,1,0)</f>
        <v>0</v>
      </c>
      <c r="X296" s="1">
        <f>IF(W296=1,L296,0)</f>
        <v>0</v>
      </c>
      <c r="Y296" s="1">
        <f>IF(L296&gt;0,1,0)</f>
        <v>0</v>
      </c>
      <c r="Z296" s="1">
        <f>IF(Y296=1,L296,0)</f>
        <v>0</v>
      </c>
      <c r="AA296" s="1">
        <f>IF(X296&lt;-100000000/100,1,0)</f>
        <v>0</v>
      </c>
      <c r="AB296" s="1">
        <f>IF(Z296&gt;100000000/100,1,0)</f>
        <v>0</v>
      </c>
    </row>
    <row r="297" spans="1:28" s="1" customFormat="1">
      <c r="A297" s="3">
        <v>45418</v>
      </c>
      <c r="B297" s="2" t="s">
        <v>12</v>
      </c>
      <c r="C297" s="1">
        <f>SUM(PL!E297:H297)</f>
        <v>0</v>
      </c>
      <c r="D297" s="1">
        <f>SUM(PL!I297:L297)</f>
        <v>0</v>
      </c>
      <c r="E297" s="1">
        <f>SUM(C297:D297)</f>
        <v>0</v>
      </c>
      <c r="F297" s="1">
        <f>IF(C297 + F296 &lt; 0, C297 + F296, 0)</f>
        <v>0</v>
      </c>
      <c r="G297" s="1">
        <f>IF(D297 + G296 &lt; 0, D297 + G296, 0)</f>
        <v>0</v>
      </c>
      <c r="H297" s="1">
        <f>IF(E297 + H296 &lt; 0, E297 + H296, 0)</f>
        <v>0</v>
      </c>
      <c r="I297" s="1">
        <f>IF(H297 &lt; 0, 1 + I296, 0)</f>
        <v>0</v>
      </c>
      <c r="J297" s="1">
        <f>C297-((ABS(SUM(PL!E297:H297)))*0.125)</f>
        <v>0</v>
      </c>
      <c r="K297" s="1">
        <f>D297-((ABS(SUM(PL!I297:L297)))*0.125)</f>
        <v>0</v>
      </c>
      <c r="L297" s="1">
        <f>J297 + K297</f>
        <v>0</v>
      </c>
      <c r="M297" s="1">
        <f>IF(J297 + M296 &lt; 0, J297 + M296, 0)</f>
        <v>0</v>
      </c>
      <c r="N297" s="1">
        <f>IF(K297 + N296 &lt; 0, K297 + N296, 0)</f>
        <v>0</v>
      </c>
      <c r="O297" s="1">
        <f>IF(L297 + O296 &lt; 0, L297 + O296, 0)</f>
        <v>0</v>
      </c>
      <c r="P297" s="1">
        <f>IF(O297 &lt; 0, 1 + P296, 0)</f>
        <v>0</v>
      </c>
      <c r="Q297" s="1">
        <f>IF(E297&lt;0,1,0)</f>
        <v>0</v>
      </c>
      <c r="R297" s="1">
        <f>IF(Q297=1,E297,0)</f>
        <v>0</v>
      </c>
      <c r="S297" s="1">
        <f>IF(E297&gt;0,1,0)</f>
        <v>0</v>
      </c>
      <c r="T297" s="1">
        <f>IF(S297=1,E297,0)</f>
        <v>0</v>
      </c>
      <c r="U297" s="1">
        <f>IF(R297&lt;-100000000/100,1,0)</f>
        <v>0</v>
      </c>
      <c r="V297" s="1">
        <f>IF(T297&gt;100000000/100,1,0)</f>
        <v>0</v>
      </c>
      <c r="W297" s="1">
        <f>IF(L297&lt;0,1,0)</f>
        <v>0</v>
      </c>
      <c r="X297" s="1">
        <f>IF(W297=1,L297,0)</f>
        <v>0</v>
      </c>
      <c r="Y297" s="1">
        <f>IF(L297&gt;0,1,0)</f>
        <v>0</v>
      </c>
      <c r="Z297" s="1">
        <f>IF(Y297=1,L297,0)</f>
        <v>0</v>
      </c>
      <c r="AA297" s="1">
        <f>IF(X297&lt;-100000000/100,1,0)</f>
        <v>0</v>
      </c>
      <c r="AB297" s="1">
        <f>IF(Z297&gt;100000000/100,1,0)</f>
        <v>0</v>
      </c>
    </row>
    <row r="298" spans="1:28" s="1" customFormat="1">
      <c r="A298" s="3">
        <v>45419</v>
      </c>
      <c r="B298" s="2" t="s">
        <v>13</v>
      </c>
      <c r="C298" s="1">
        <f>SUM(PL!E298:H298)</f>
        <v>0</v>
      </c>
      <c r="D298" s="1">
        <f>SUM(PL!I298:L298)</f>
        <v>0</v>
      </c>
      <c r="E298" s="1">
        <f>SUM(C298:D298)</f>
        <v>0</v>
      </c>
      <c r="F298" s="1">
        <f>IF(C298 + F297 &lt; 0, C298 + F297, 0)</f>
        <v>0</v>
      </c>
      <c r="G298" s="1">
        <f>IF(D298 + G297 &lt; 0, D298 + G297, 0)</f>
        <v>0</v>
      </c>
      <c r="H298" s="1">
        <f>IF(E298 + H297 &lt; 0, E298 + H297, 0)</f>
        <v>0</v>
      </c>
      <c r="I298" s="1">
        <f>IF(H298 &lt; 0, 1 + I297, 0)</f>
        <v>0</v>
      </c>
      <c r="J298" s="1">
        <f>C298-((ABS(SUM(PL!E298:H298)))*0.125)</f>
        <v>0</v>
      </c>
      <c r="K298" s="1">
        <f>D298-((ABS(SUM(PL!I298:L298)))*0.125)</f>
        <v>0</v>
      </c>
      <c r="L298" s="1">
        <f>J298 + K298</f>
        <v>0</v>
      </c>
      <c r="M298" s="1">
        <f>IF(J298 + M297 &lt; 0, J298 + M297, 0)</f>
        <v>0</v>
      </c>
      <c r="N298" s="1">
        <f>IF(K298 + N297 &lt; 0, K298 + N297, 0)</f>
        <v>0</v>
      </c>
      <c r="O298" s="1">
        <f>IF(L298 + O297 &lt; 0, L298 + O297, 0)</f>
        <v>0</v>
      </c>
      <c r="P298" s="1">
        <f>IF(O298 &lt; 0, 1 + P297, 0)</f>
        <v>0</v>
      </c>
      <c r="Q298" s="1">
        <f>IF(E298&lt;0,1,0)</f>
        <v>0</v>
      </c>
      <c r="R298" s="1">
        <f>IF(Q298=1,E298,0)</f>
        <v>0</v>
      </c>
      <c r="S298" s="1">
        <f>IF(E298&gt;0,1,0)</f>
        <v>0</v>
      </c>
      <c r="T298" s="1">
        <f>IF(S298=1,E298,0)</f>
        <v>0</v>
      </c>
      <c r="U298" s="1">
        <f>IF(R298&lt;-100000000/100,1,0)</f>
        <v>0</v>
      </c>
      <c r="V298" s="1">
        <f>IF(T298&gt;100000000/100,1,0)</f>
        <v>0</v>
      </c>
      <c r="W298" s="1">
        <f>IF(L298&lt;0,1,0)</f>
        <v>0</v>
      </c>
      <c r="X298" s="1">
        <f>IF(W298=1,L298,0)</f>
        <v>0</v>
      </c>
      <c r="Y298" s="1">
        <f>IF(L298&gt;0,1,0)</f>
        <v>0</v>
      </c>
      <c r="Z298" s="1">
        <f>IF(Y298=1,L298,0)</f>
        <v>0</v>
      </c>
      <c r="AA298" s="1">
        <f>IF(X298&lt;-100000000/100,1,0)</f>
        <v>0</v>
      </c>
      <c r="AB298" s="1">
        <f>IF(Z298&gt;100000000/100,1,0)</f>
        <v>0</v>
      </c>
    </row>
    <row r="299" spans="1:28" s="1" customFormat="1">
      <c r="A299" s="3">
        <v>45420</v>
      </c>
      <c r="B299" s="2" t="s">
        <v>14</v>
      </c>
      <c r="C299" s="1">
        <f>SUM(PL!E299:H299)</f>
        <v>0</v>
      </c>
      <c r="D299" s="1">
        <f>SUM(PL!I299:L299)</f>
        <v>0</v>
      </c>
      <c r="E299" s="1">
        <f>SUM(C299:D299)</f>
        <v>0</v>
      </c>
      <c r="F299" s="1">
        <f>IF(C299 + F298 &lt; 0, C299 + F298, 0)</f>
        <v>0</v>
      </c>
      <c r="G299" s="1">
        <f>IF(D299 + G298 &lt; 0, D299 + G298, 0)</f>
        <v>0</v>
      </c>
      <c r="H299" s="1">
        <f>IF(E299 + H298 &lt; 0, E299 + H298, 0)</f>
        <v>0</v>
      </c>
      <c r="I299" s="1">
        <f>IF(H299 &lt; 0, 1 + I298, 0)</f>
        <v>0</v>
      </c>
      <c r="J299" s="1">
        <f>C299-((ABS(SUM(PL!E299:H299)))*0.125)</f>
        <v>0</v>
      </c>
      <c r="K299" s="1">
        <f>D299-((ABS(SUM(PL!I299:L299)))*0.125)</f>
        <v>0</v>
      </c>
      <c r="L299" s="1">
        <f>J299 + K299</f>
        <v>0</v>
      </c>
      <c r="M299" s="1">
        <f>IF(J299 + M298 &lt; 0, J299 + M298, 0)</f>
        <v>0</v>
      </c>
      <c r="N299" s="1">
        <f>IF(K299 + N298 &lt; 0, K299 + N298, 0)</f>
        <v>0</v>
      </c>
      <c r="O299" s="1">
        <f>IF(L299 + O298 &lt; 0, L299 + O298, 0)</f>
        <v>0</v>
      </c>
      <c r="P299" s="1">
        <f>IF(O299 &lt; 0, 1 + P298, 0)</f>
        <v>0</v>
      </c>
      <c r="Q299" s="1">
        <f>IF(E299&lt;0,1,0)</f>
        <v>0</v>
      </c>
      <c r="R299" s="1">
        <f>IF(Q299=1,E299,0)</f>
        <v>0</v>
      </c>
      <c r="S299" s="1">
        <f>IF(E299&gt;0,1,0)</f>
        <v>0</v>
      </c>
      <c r="T299" s="1">
        <f>IF(S299=1,E299,0)</f>
        <v>0</v>
      </c>
      <c r="U299" s="1">
        <f>IF(R299&lt;-100000000/100,1,0)</f>
        <v>0</v>
      </c>
      <c r="V299" s="1">
        <f>IF(T299&gt;100000000/100,1,0)</f>
        <v>0</v>
      </c>
      <c r="W299" s="1">
        <f>IF(L299&lt;0,1,0)</f>
        <v>0</v>
      </c>
      <c r="X299" s="1">
        <f>IF(W299=1,L299,0)</f>
        <v>0</v>
      </c>
      <c r="Y299" s="1">
        <f>IF(L299&gt;0,1,0)</f>
        <v>0</v>
      </c>
      <c r="Z299" s="1">
        <f>IF(Y299=1,L299,0)</f>
        <v>0</v>
      </c>
      <c r="AA299" s="1">
        <f>IF(X299&lt;-100000000/100,1,0)</f>
        <v>0</v>
      </c>
      <c r="AB299" s="1">
        <f>IF(Z299&gt;100000000/100,1,0)</f>
        <v>0</v>
      </c>
    </row>
    <row r="300" spans="1:28" s="1" customFormat="1">
      <c r="A300" s="3">
        <v>45421</v>
      </c>
      <c r="B300" s="2" t="s">
        <v>16</v>
      </c>
      <c r="C300" s="1">
        <f>SUM(PL!E300:H300)</f>
        <v>0</v>
      </c>
      <c r="D300" s="1">
        <f>SUM(PL!I300:L300)</f>
        <v>0</v>
      </c>
      <c r="E300" s="1">
        <f>SUM(C300:D300)</f>
        <v>0</v>
      </c>
      <c r="F300" s="1">
        <f>IF(C300 + F299 &lt; 0, C300 + F299, 0)</f>
        <v>0</v>
      </c>
      <c r="G300" s="1">
        <f>IF(D300 + G299 &lt; 0, D300 + G299, 0)</f>
        <v>0</v>
      </c>
      <c r="H300" s="1">
        <f>IF(E300 + H299 &lt; 0, E300 + H299, 0)</f>
        <v>0</v>
      </c>
      <c r="I300" s="1">
        <f>IF(H300 &lt; 0, 1 + I299, 0)</f>
        <v>0</v>
      </c>
      <c r="J300" s="1">
        <f>C300-((ABS(SUM(PL!E300:H300)))*0.125)</f>
        <v>0</v>
      </c>
      <c r="K300" s="1">
        <f>D300-((ABS(SUM(PL!I300:L300)))*0.125)</f>
        <v>0</v>
      </c>
      <c r="L300" s="1">
        <f>J300 + K300</f>
        <v>0</v>
      </c>
      <c r="M300" s="1">
        <f>IF(J300 + M299 &lt; 0, J300 + M299, 0)</f>
        <v>0</v>
      </c>
      <c r="N300" s="1">
        <f>IF(K300 + N299 &lt; 0, K300 + N299, 0)</f>
        <v>0</v>
      </c>
      <c r="O300" s="1">
        <f>IF(L300 + O299 &lt; 0, L300 + O299, 0)</f>
        <v>0</v>
      </c>
      <c r="P300" s="1">
        <f>IF(O300 &lt; 0, 1 + P299, 0)</f>
        <v>0</v>
      </c>
      <c r="Q300" s="1">
        <f>IF(E300&lt;0,1,0)</f>
        <v>0</v>
      </c>
      <c r="R300" s="1">
        <f>IF(Q300=1,E300,0)</f>
        <v>0</v>
      </c>
      <c r="S300" s="1">
        <f>IF(E300&gt;0,1,0)</f>
        <v>0</v>
      </c>
      <c r="T300" s="1">
        <f>IF(S300=1,E300,0)</f>
        <v>0</v>
      </c>
      <c r="U300" s="1">
        <f>IF(R300&lt;-100000000/100,1,0)</f>
        <v>0</v>
      </c>
      <c r="V300" s="1">
        <f>IF(T300&gt;100000000/100,1,0)</f>
        <v>0</v>
      </c>
      <c r="W300" s="1">
        <f>IF(L300&lt;0,1,0)</f>
        <v>0</v>
      </c>
      <c r="X300" s="1">
        <f>IF(W300=1,L300,0)</f>
        <v>0</v>
      </c>
      <c r="Y300" s="1">
        <f>IF(L300&gt;0,1,0)</f>
        <v>0</v>
      </c>
      <c r="Z300" s="1">
        <f>IF(Y300=1,L300,0)</f>
        <v>0</v>
      </c>
      <c r="AA300" s="1">
        <f>IF(X300&lt;-100000000/100,1,0)</f>
        <v>0</v>
      </c>
      <c r="AB300" s="1">
        <f>IF(Z300&gt;100000000/100,1,0)</f>
        <v>0</v>
      </c>
    </row>
    <row r="301" spans="1:28" s="1" customFormat="1">
      <c r="A301" s="3">
        <v>45422</v>
      </c>
      <c r="B301" s="2" t="s">
        <v>15</v>
      </c>
      <c r="C301" s="1">
        <f>SUM(PL!E301:H301)</f>
        <v>0</v>
      </c>
      <c r="D301" s="1">
        <f>SUM(PL!I301:L301)</f>
        <v>0</v>
      </c>
      <c r="E301" s="1">
        <f>SUM(C301:D301)</f>
        <v>0</v>
      </c>
      <c r="F301" s="1">
        <f>IF(C301 + F300 &lt; 0, C301 + F300, 0)</f>
        <v>0</v>
      </c>
      <c r="G301" s="1">
        <f>IF(D301 + G300 &lt; 0, D301 + G300, 0)</f>
        <v>0</v>
      </c>
      <c r="H301" s="1">
        <f>IF(E301 + H300 &lt; 0, E301 + H300, 0)</f>
        <v>0</v>
      </c>
      <c r="I301" s="1">
        <f>IF(H301 &lt; 0, 1 + I300, 0)</f>
        <v>0</v>
      </c>
      <c r="J301" s="1">
        <f>C301-((ABS(SUM(PL!E301:H301)))*0.125)</f>
        <v>0</v>
      </c>
      <c r="K301" s="1">
        <f>D301-((ABS(SUM(PL!I301:L301)))*0.125)</f>
        <v>0</v>
      </c>
      <c r="L301" s="1">
        <f>J301 + K301</f>
        <v>0</v>
      </c>
      <c r="M301" s="1">
        <f>IF(J301 + M300 &lt; 0, J301 + M300, 0)</f>
        <v>0</v>
      </c>
      <c r="N301" s="1">
        <f>IF(K301 + N300 &lt; 0, K301 + N300, 0)</f>
        <v>0</v>
      </c>
      <c r="O301" s="1">
        <f>IF(L301 + O300 &lt; 0, L301 + O300, 0)</f>
        <v>0</v>
      </c>
      <c r="P301" s="1">
        <f>IF(O301 &lt; 0, 1 + P300, 0)</f>
        <v>0</v>
      </c>
      <c r="Q301" s="1">
        <f>IF(E301&lt;0,1,0)</f>
        <v>0</v>
      </c>
      <c r="R301" s="1">
        <f>IF(Q301=1,E301,0)</f>
        <v>0</v>
      </c>
      <c r="S301" s="1">
        <f>IF(E301&gt;0,1,0)</f>
        <v>0</v>
      </c>
      <c r="T301" s="1">
        <f>IF(S301=1,E301,0)</f>
        <v>0</v>
      </c>
      <c r="U301" s="1">
        <f>IF(R301&lt;-100000000/100,1,0)</f>
        <v>0</v>
      </c>
      <c r="V301" s="1">
        <f>IF(T301&gt;100000000/100,1,0)</f>
        <v>0</v>
      </c>
      <c r="W301" s="1">
        <f>IF(L301&lt;0,1,0)</f>
        <v>0</v>
      </c>
      <c r="X301" s="1">
        <f>IF(W301=1,L301,0)</f>
        <v>0</v>
      </c>
      <c r="Y301" s="1">
        <f>IF(L301&gt;0,1,0)</f>
        <v>0</v>
      </c>
      <c r="Z301" s="1">
        <f>IF(Y301=1,L301,0)</f>
        <v>0</v>
      </c>
      <c r="AA301" s="1">
        <f>IF(X301&lt;-100000000/100,1,0)</f>
        <v>0</v>
      </c>
      <c r="AB301" s="1">
        <f>IF(Z301&gt;100000000/100,1,0)</f>
        <v>0</v>
      </c>
    </row>
    <row r="302" spans="1:28" s="1" customFormat="1">
      <c r="A302" s="3">
        <v>45425</v>
      </c>
      <c r="B302" s="2" t="s">
        <v>12</v>
      </c>
      <c r="C302" s="1">
        <f>SUM(PL!E302:H302)</f>
        <v>0</v>
      </c>
      <c r="D302" s="1">
        <f>SUM(PL!I302:L302)</f>
        <v>0</v>
      </c>
      <c r="E302" s="1">
        <f>SUM(C302:D302)</f>
        <v>0</v>
      </c>
      <c r="F302" s="1">
        <f>IF(C302 + F301 &lt; 0, C302 + F301, 0)</f>
        <v>0</v>
      </c>
      <c r="G302" s="1">
        <f>IF(D302 + G301 &lt; 0, D302 + G301, 0)</f>
        <v>0</v>
      </c>
      <c r="H302" s="1">
        <f>IF(E302 + H301 &lt; 0, E302 + H301, 0)</f>
        <v>0</v>
      </c>
      <c r="I302" s="1">
        <f>IF(H302 &lt; 0, 1 + I301, 0)</f>
        <v>0</v>
      </c>
      <c r="J302" s="1">
        <f>C302-((ABS(SUM(PL!E302:H302)))*0.125)</f>
        <v>0</v>
      </c>
      <c r="K302" s="1">
        <f>D302-((ABS(SUM(PL!I302:L302)))*0.125)</f>
        <v>0</v>
      </c>
      <c r="L302" s="1">
        <f>J302 + K302</f>
        <v>0</v>
      </c>
      <c r="M302" s="1">
        <f>IF(J302 + M301 &lt; 0, J302 + M301, 0)</f>
        <v>0</v>
      </c>
      <c r="N302" s="1">
        <f>IF(K302 + N301 &lt; 0, K302 + N301, 0)</f>
        <v>0</v>
      </c>
      <c r="O302" s="1">
        <f>IF(L302 + O301 &lt; 0, L302 + O301, 0)</f>
        <v>0</v>
      </c>
      <c r="P302" s="1">
        <f>IF(O302 &lt; 0, 1 + P301, 0)</f>
        <v>0</v>
      </c>
      <c r="Q302" s="1">
        <f>IF(E302&lt;0,1,0)</f>
        <v>0</v>
      </c>
      <c r="R302" s="1">
        <f>IF(Q302=1,E302,0)</f>
        <v>0</v>
      </c>
      <c r="S302" s="1">
        <f>IF(E302&gt;0,1,0)</f>
        <v>0</v>
      </c>
      <c r="T302" s="1">
        <f>IF(S302=1,E302,0)</f>
        <v>0</v>
      </c>
      <c r="U302" s="1">
        <f>IF(R302&lt;-100000000/100,1,0)</f>
        <v>0</v>
      </c>
      <c r="V302" s="1">
        <f>IF(T302&gt;100000000/100,1,0)</f>
        <v>0</v>
      </c>
      <c r="W302" s="1">
        <f>IF(L302&lt;0,1,0)</f>
        <v>0</v>
      </c>
      <c r="X302" s="1">
        <f>IF(W302=1,L302,0)</f>
        <v>0</v>
      </c>
      <c r="Y302" s="1">
        <f>IF(L302&gt;0,1,0)</f>
        <v>0</v>
      </c>
      <c r="Z302" s="1">
        <f>IF(Y302=1,L302,0)</f>
        <v>0</v>
      </c>
      <c r="AA302" s="1">
        <f>IF(X302&lt;-100000000/100,1,0)</f>
        <v>0</v>
      </c>
      <c r="AB302" s="1">
        <f>IF(Z302&gt;100000000/100,1,0)</f>
        <v>0</v>
      </c>
    </row>
    <row r="303" spans="1:28" s="1" customFormat="1">
      <c r="A303" s="3">
        <v>45426</v>
      </c>
      <c r="B303" s="2" t="s">
        <v>13</v>
      </c>
      <c r="C303" s="1">
        <f>SUM(PL!E303:H303)</f>
        <v>0</v>
      </c>
      <c r="D303" s="1">
        <f>SUM(PL!I303:L303)</f>
        <v>0</v>
      </c>
      <c r="E303" s="1">
        <f>SUM(C303:D303)</f>
        <v>0</v>
      </c>
      <c r="F303" s="1">
        <f>IF(C303 + F302 &lt; 0, C303 + F302, 0)</f>
        <v>0</v>
      </c>
      <c r="G303" s="1">
        <f>IF(D303 + G302 &lt; 0, D303 + G302, 0)</f>
        <v>0</v>
      </c>
      <c r="H303" s="1">
        <f>IF(E303 + H302 &lt; 0, E303 + H302, 0)</f>
        <v>0</v>
      </c>
      <c r="I303" s="1">
        <f>IF(H303 &lt; 0, 1 + I302, 0)</f>
        <v>0</v>
      </c>
      <c r="J303" s="1">
        <f>C303-((ABS(SUM(PL!E303:H303)))*0.125)</f>
        <v>0</v>
      </c>
      <c r="K303" s="1">
        <f>D303-((ABS(SUM(PL!I303:L303)))*0.125)</f>
        <v>0</v>
      </c>
      <c r="L303" s="1">
        <f>J303 + K303</f>
        <v>0</v>
      </c>
      <c r="M303" s="1">
        <f>IF(J303 + M302 &lt; 0, J303 + M302, 0)</f>
        <v>0</v>
      </c>
      <c r="N303" s="1">
        <f>IF(K303 + N302 &lt; 0, K303 + N302, 0)</f>
        <v>0</v>
      </c>
      <c r="O303" s="1">
        <f>IF(L303 + O302 &lt; 0, L303 + O302, 0)</f>
        <v>0</v>
      </c>
      <c r="P303" s="1">
        <f>IF(O303 &lt; 0, 1 + P302, 0)</f>
        <v>0</v>
      </c>
      <c r="Q303" s="1">
        <f>IF(E303&lt;0,1,0)</f>
        <v>0</v>
      </c>
      <c r="R303" s="1">
        <f>IF(Q303=1,E303,0)</f>
        <v>0</v>
      </c>
      <c r="S303" s="1">
        <f>IF(E303&gt;0,1,0)</f>
        <v>0</v>
      </c>
      <c r="T303" s="1">
        <f>IF(S303=1,E303,0)</f>
        <v>0</v>
      </c>
      <c r="U303" s="1">
        <f>IF(R303&lt;-100000000/100,1,0)</f>
        <v>0</v>
      </c>
      <c r="V303" s="1">
        <f>IF(T303&gt;100000000/100,1,0)</f>
        <v>0</v>
      </c>
      <c r="W303" s="1">
        <f>IF(L303&lt;0,1,0)</f>
        <v>0</v>
      </c>
      <c r="X303" s="1">
        <f>IF(W303=1,L303,0)</f>
        <v>0</v>
      </c>
      <c r="Y303" s="1">
        <f>IF(L303&gt;0,1,0)</f>
        <v>0</v>
      </c>
      <c r="Z303" s="1">
        <f>IF(Y303=1,L303,0)</f>
        <v>0</v>
      </c>
      <c r="AA303" s="1">
        <f>IF(X303&lt;-100000000/100,1,0)</f>
        <v>0</v>
      </c>
      <c r="AB303" s="1">
        <f>IF(Z303&gt;100000000/100,1,0)</f>
        <v>0</v>
      </c>
    </row>
    <row r="304" spans="1:28" s="1" customFormat="1">
      <c r="A304" s="3">
        <v>45427</v>
      </c>
      <c r="B304" s="2" t="s">
        <v>14</v>
      </c>
      <c r="C304" s="1">
        <f>SUM(PL!E304:H304)</f>
        <v>0</v>
      </c>
      <c r="D304" s="1">
        <f>SUM(PL!I304:L304)</f>
        <v>0</v>
      </c>
      <c r="E304" s="1">
        <f>SUM(C304:D304)</f>
        <v>0</v>
      </c>
      <c r="F304" s="1">
        <f>IF(C304 + F303 &lt; 0, C304 + F303, 0)</f>
        <v>0</v>
      </c>
      <c r="G304" s="1">
        <f>IF(D304 + G303 &lt; 0, D304 + G303, 0)</f>
        <v>0</v>
      </c>
      <c r="H304" s="1">
        <f>IF(E304 + H303 &lt; 0, E304 + H303, 0)</f>
        <v>0</v>
      </c>
      <c r="I304" s="1">
        <f>IF(H304 &lt; 0, 1 + I303, 0)</f>
        <v>0</v>
      </c>
      <c r="J304" s="1">
        <f>C304-((ABS(SUM(PL!E304:H304)))*0.125)</f>
        <v>0</v>
      </c>
      <c r="K304" s="1">
        <f>D304-((ABS(SUM(PL!I304:L304)))*0.125)</f>
        <v>0</v>
      </c>
      <c r="L304" s="1">
        <f>J304 + K304</f>
        <v>0</v>
      </c>
      <c r="M304" s="1">
        <f>IF(J304 + M303 &lt; 0, J304 + M303, 0)</f>
        <v>0</v>
      </c>
      <c r="N304" s="1">
        <f>IF(K304 + N303 &lt; 0, K304 + N303, 0)</f>
        <v>0</v>
      </c>
      <c r="O304" s="1">
        <f>IF(L304 + O303 &lt; 0, L304 + O303, 0)</f>
        <v>0</v>
      </c>
      <c r="P304" s="1">
        <f>IF(O304 &lt; 0, 1 + P303, 0)</f>
        <v>0</v>
      </c>
      <c r="Q304" s="1">
        <f>IF(E304&lt;0,1,0)</f>
        <v>0</v>
      </c>
      <c r="R304" s="1">
        <f>IF(Q304=1,E304,0)</f>
        <v>0</v>
      </c>
      <c r="S304" s="1">
        <f>IF(E304&gt;0,1,0)</f>
        <v>0</v>
      </c>
      <c r="T304" s="1">
        <f>IF(S304=1,E304,0)</f>
        <v>0</v>
      </c>
      <c r="U304" s="1">
        <f>IF(R304&lt;-100000000/100,1,0)</f>
        <v>0</v>
      </c>
      <c r="V304" s="1">
        <f>IF(T304&gt;100000000/100,1,0)</f>
        <v>0</v>
      </c>
      <c r="W304" s="1">
        <f>IF(L304&lt;0,1,0)</f>
        <v>0</v>
      </c>
      <c r="X304" s="1">
        <f>IF(W304=1,L304,0)</f>
        <v>0</v>
      </c>
      <c r="Y304" s="1">
        <f>IF(L304&gt;0,1,0)</f>
        <v>0</v>
      </c>
      <c r="Z304" s="1">
        <f>IF(Y304=1,L304,0)</f>
        <v>0</v>
      </c>
      <c r="AA304" s="1">
        <f>IF(X304&lt;-100000000/100,1,0)</f>
        <v>0</v>
      </c>
      <c r="AB304" s="1">
        <f>IF(Z304&gt;100000000/100,1,0)</f>
        <v>0</v>
      </c>
    </row>
    <row r="305" spans="1:28" s="1" customFormat="1">
      <c r="A305" s="3">
        <v>45428</v>
      </c>
      <c r="B305" s="2" t="s">
        <v>16</v>
      </c>
      <c r="C305" s="1">
        <f>SUM(PL!E305:H305)</f>
        <v>0</v>
      </c>
      <c r="D305" s="1">
        <f>SUM(PL!I305:L305)</f>
        <v>0</v>
      </c>
      <c r="E305" s="1">
        <f>SUM(C305:D305)</f>
        <v>0</v>
      </c>
      <c r="F305" s="1">
        <f>IF(C305 + F304 &lt; 0, C305 + F304, 0)</f>
        <v>0</v>
      </c>
      <c r="G305" s="1">
        <f>IF(D305 + G304 &lt; 0, D305 + G304, 0)</f>
        <v>0</v>
      </c>
      <c r="H305" s="1">
        <f>IF(E305 + H304 &lt; 0, E305 + H304, 0)</f>
        <v>0</v>
      </c>
      <c r="I305" s="1">
        <f>IF(H305 &lt; 0, 1 + I304, 0)</f>
        <v>0</v>
      </c>
      <c r="J305" s="1">
        <f>C305-((ABS(SUM(PL!E305:H305)))*0.125)</f>
        <v>0</v>
      </c>
      <c r="K305" s="1">
        <f>D305-((ABS(SUM(PL!I305:L305)))*0.125)</f>
        <v>0</v>
      </c>
      <c r="L305" s="1">
        <f>J305 + K305</f>
        <v>0</v>
      </c>
      <c r="M305" s="1">
        <f>IF(J305 + M304 &lt; 0, J305 + M304, 0)</f>
        <v>0</v>
      </c>
      <c r="N305" s="1">
        <f>IF(K305 + N304 &lt; 0, K305 + N304, 0)</f>
        <v>0</v>
      </c>
      <c r="O305" s="1">
        <f>IF(L305 + O304 &lt; 0, L305 + O304, 0)</f>
        <v>0</v>
      </c>
      <c r="P305" s="1">
        <f>IF(O305 &lt; 0, 1 + P304, 0)</f>
        <v>0</v>
      </c>
      <c r="Q305" s="1">
        <f>IF(E305&lt;0,1,0)</f>
        <v>0</v>
      </c>
      <c r="R305" s="1">
        <f>IF(Q305=1,E305,0)</f>
        <v>0</v>
      </c>
      <c r="S305" s="1">
        <f>IF(E305&gt;0,1,0)</f>
        <v>0</v>
      </c>
      <c r="T305" s="1">
        <f>IF(S305=1,E305,0)</f>
        <v>0</v>
      </c>
      <c r="U305" s="1">
        <f>IF(R305&lt;-100000000/100,1,0)</f>
        <v>0</v>
      </c>
      <c r="V305" s="1">
        <f>IF(T305&gt;100000000/100,1,0)</f>
        <v>0</v>
      </c>
      <c r="W305" s="1">
        <f>IF(L305&lt;0,1,0)</f>
        <v>0</v>
      </c>
      <c r="X305" s="1">
        <f>IF(W305=1,L305,0)</f>
        <v>0</v>
      </c>
      <c r="Y305" s="1">
        <f>IF(L305&gt;0,1,0)</f>
        <v>0</v>
      </c>
      <c r="Z305" s="1">
        <f>IF(Y305=1,L305,0)</f>
        <v>0</v>
      </c>
      <c r="AA305" s="1">
        <f>IF(X305&lt;-100000000/100,1,0)</f>
        <v>0</v>
      </c>
      <c r="AB305" s="1">
        <f>IF(Z305&gt;100000000/100,1,0)</f>
        <v>0</v>
      </c>
    </row>
    <row r="306" spans="1:28" s="1" customFormat="1">
      <c r="A306" s="3">
        <v>45429</v>
      </c>
      <c r="B306" s="2" t="s">
        <v>15</v>
      </c>
      <c r="C306" s="1">
        <f>SUM(PL!E306:H306)</f>
        <v>0</v>
      </c>
      <c r="D306" s="1">
        <f>SUM(PL!I306:L306)</f>
        <v>0</v>
      </c>
      <c r="E306" s="1">
        <f>SUM(C306:D306)</f>
        <v>0</v>
      </c>
      <c r="F306" s="1">
        <f>IF(C306 + F305 &lt; 0, C306 + F305, 0)</f>
        <v>0</v>
      </c>
      <c r="G306" s="1">
        <f>IF(D306 + G305 &lt; 0, D306 + G305, 0)</f>
        <v>0</v>
      </c>
      <c r="H306" s="1">
        <f>IF(E306 + H305 &lt; 0, E306 + H305, 0)</f>
        <v>0</v>
      </c>
      <c r="I306" s="1">
        <f>IF(H306 &lt; 0, 1 + I305, 0)</f>
        <v>0</v>
      </c>
      <c r="J306" s="1">
        <f>C306-((ABS(SUM(PL!E306:H306)))*0.125)</f>
        <v>0</v>
      </c>
      <c r="K306" s="1">
        <f>D306-((ABS(SUM(PL!I306:L306)))*0.125)</f>
        <v>0</v>
      </c>
      <c r="L306" s="1">
        <f>J306 + K306</f>
        <v>0</v>
      </c>
      <c r="M306" s="1">
        <f>IF(J306 + M305 &lt; 0, J306 + M305, 0)</f>
        <v>0</v>
      </c>
      <c r="N306" s="1">
        <f>IF(K306 + N305 &lt; 0, K306 + N305, 0)</f>
        <v>0</v>
      </c>
      <c r="O306" s="1">
        <f>IF(L306 + O305 &lt; 0, L306 + O305, 0)</f>
        <v>0</v>
      </c>
      <c r="P306" s="1">
        <f>IF(O306 &lt; 0, 1 + P305, 0)</f>
        <v>0</v>
      </c>
      <c r="Q306" s="1">
        <f>IF(E306&lt;0,1,0)</f>
        <v>0</v>
      </c>
      <c r="R306" s="1">
        <f>IF(Q306=1,E306,0)</f>
        <v>0</v>
      </c>
      <c r="S306" s="1">
        <f>IF(E306&gt;0,1,0)</f>
        <v>0</v>
      </c>
      <c r="T306" s="1">
        <f>IF(S306=1,E306,0)</f>
        <v>0</v>
      </c>
      <c r="U306" s="1">
        <f>IF(R306&lt;-100000000/100,1,0)</f>
        <v>0</v>
      </c>
      <c r="V306" s="1">
        <f>IF(T306&gt;100000000/100,1,0)</f>
        <v>0</v>
      </c>
      <c r="W306" s="1">
        <f>IF(L306&lt;0,1,0)</f>
        <v>0</v>
      </c>
      <c r="X306" s="1">
        <f>IF(W306=1,L306,0)</f>
        <v>0</v>
      </c>
      <c r="Y306" s="1">
        <f>IF(L306&gt;0,1,0)</f>
        <v>0</v>
      </c>
      <c r="Z306" s="1">
        <f>IF(Y306=1,L306,0)</f>
        <v>0</v>
      </c>
      <c r="AA306" s="1">
        <f>IF(X306&lt;-100000000/100,1,0)</f>
        <v>0</v>
      </c>
      <c r="AB306" s="1">
        <f>IF(Z306&gt;100000000/100,1,0)</f>
        <v>0</v>
      </c>
    </row>
    <row r="307" spans="1:28" s="1" customFormat="1">
      <c r="A307" s="3">
        <v>45432</v>
      </c>
      <c r="B307" s="2" t="s">
        <v>12</v>
      </c>
      <c r="C307" s="1">
        <f>SUM(PL!E307:H307)</f>
        <v>0</v>
      </c>
      <c r="D307" s="1">
        <f>SUM(PL!I307:L307)</f>
        <v>0</v>
      </c>
      <c r="E307" s="1">
        <f>SUM(C307:D307)</f>
        <v>0</v>
      </c>
      <c r="F307" s="1">
        <f>IF(C307 + F306 &lt; 0, C307 + F306, 0)</f>
        <v>0</v>
      </c>
      <c r="G307" s="1">
        <f>IF(D307 + G306 &lt; 0, D307 + G306, 0)</f>
        <v>0</v>
      </c>
      <c r="H307" s="1">
        <f>IF(E307 + H306 &lt; 0, E307 + H306, 0)</f>
        <v>0</v>
      </c>
      <c r="I307" s="1">
        <f>IF(H307 &lt; 0, 1 + I306, 0)</f>
        <v>0</v>
      </c>
      <c r="J307" s="1">
        <f>C307-((ABS(SUM(PL!E307:H307)))*0.125)</f>
        <v>0</v>
      </c>
      <c r="K307" s="1">
        <f>D307-((ABS(SUM(PL!I307:L307)))*0.125)</f>
        <v>0</v>
      </c>
      <c r="L307" s="1">
        <f>J307 + K307</f>
        <v>0</v>
      </c>
      <c r="M307" s="1">
        <f>IF(J307 + M306 &lt; 0, J307 + M306, 0)</f>
        <v>0</v>
      </c>
      <c r="N307" s="1">
        <f>IF(K307 + N306 &lt; 0, K307 + N306, 0)</f>
        <v>0</v>
      </c>
      <c r="O307" s="1">
        <f>IF(L307 + O306 &lt; 0, L307 + O306, 0)</f>
        <v>0</v>
      </c>
      <c r="P307" s="1">
        <f>IF(O307 &lt; 0, 1 + P306, 0)</f>
        <v>0</v>
      </c>
      <c r="Q307" s="1">
        <f>IF(E307&lt;0,1,0)</f>
        <v>0</v>
      </c>
      <c r="R307" s="1">
        <f>IF(Q307=1,E307,0)</f>
        <v>0</v>
      </c>
      <c r="S307" s="1">
        <f>IF(E307&gt;0,1,0)</f>
        <v>0</v>
      </c>
      <c r="T307" s="1">
        <f>IF(S307=1,E307,0)</f>
        <v>0</v>
      </c>
      <c r="U307" s="1">
        <f>IF(R307&lt;-100000000/100,1,0)</f>
        <v>0</v>
      </c>
      <c r="V307" s="1">
        <f>IF(T307&gt;100000000/100,1,0)</f>
        <v>0</v>
      </c>
      <c r="W307" s="1">
        <f>IF(L307&lt;0,1,0)</f>
        <v>0</v>
      </c>
      <c r="X307" s="1">
        <f>IF(W307=1,L307,0)</f>
        <v>0</v>
      </c>
      <c r="Y307" s="1">
        <f>IF(L307&gt;0,1,0)</f>
        <v>0</v>
      </c>
      <c r="Z307" s="1">
        <f>IF(Y307=1,L307,0)</f>
        <v>0</v>
      </c>
      <c r="AA307" s="1">
        <f>IF(X307&lt;-100000000/100,1,0)</f>
        <v>0</v>
      </c>
      <c r="AB307" s="1">
        <f>IF(Z307&gt;100000000/100,1,0)</f>
        <v>0</v>
      </c>
    </row>
    <row r="308" spans="1:28" s="1" customFormat="1">
      <c r="A308" s="3">
        <v>45433</v>
      </c>
      <c r="B308" s="2" t="s">
        <v>13</v>
      </c>
      <c r="C308" s="1">
        <f>SUM(PL!E308:H308)</f>
        <v>0</v>
      </c>
      <c r="D308" s="1">
        <f>SUM(PL!I308:L308)</f>
        <v>0</v>
      </c>
      <c r="E308" s="1">
        <f>SUM(C308:D308)</f>
        <v>0</v>
      </c>
      <c r="F308" s="1">
        <f>IF(C308 + F307 &lt; 0, C308 + F307, 0)</f>
        <v>0</v>
      </c>
      <c r="G308" s="1">
        <f>IF(D308 + G307 &lt; 0, D308 + G307, 0)</f>
        <v>0</v>
      </c>
      <c r="H308" s="1">
        <f>IF(E308 + H307 &lt; 0, E308 + H307, 0)</f>
        <v>0</v>
      </c>
      <c r="I308" s="1">
        <f>IF(H308 &lt; 0, 1 + I307, 0)</f>
        <v>0</v>
      </c>
      <c r="J308" s="1">
        <f>C308-((ABS(SUM(PL!E308:H308)))*0.125)</f>
        <v>0</v>
      </c>
      <c r="K308" s="1">
        <f>D308-((ABS(SUM(PL!I308:L308)))*0.125)</f>
        <v>0</v>
      </c>
      <c r="L308" s="1">
        <f>J308 + K308</f>
        <v>0</v>
      </c>
      <c r="M308" s="1">
        <f>IF(J308 + M307 &lt; 0, J308 + M307, 0)</f>
        <v>0</v>
      </c>
      <c r="N308" s="1">
        <f>IF(K308 + N307 &lt; 0, K308 + N307, 0)</f>
        <v>0</v>
      </c>
      <c r="O308" s="1">
        <f>IF(L308 + O307 &lt; 0, L308 + O307, 0)</f>
        <v>0</v>
      </c>
      <c r="P308" s="1">
        <f>IF(O308 &lt; 0, 1 + P307, 0)</f>
        <v>0</v>
      </c>
      <c r="Q308" s="1">
        <f>IF(E308&lt;0,1,0)</f>
        <v>0</v>
      </c>
      <c r="R308" s="1">
        <f>IF(Q308=1,E308,0)</f>
        <v>0</v>
      </c>
      <c r="S308" s="1">
        <f>IF(E308&gt;0,1,0)</f>
        <v>0</v>
      </c>
      <c r="T308" s="1">
        <f>IF(S308=1,E308,0)</f>
        <v>0</v>
      </c>
      <c r="U308" s="1">
        <f>IF(R308&lt;-100000000/100,1,0)</f>
        <v>0</v>
      </c>
      <c r="V308" s="1">
        <f>IF(T308&gt;100000000/100,1,0)</f>
        <v>0</v>
      </c>
      <c r="W308" s="1">
        <f>IF(L308&lt;0,1,0)</f>
        <v>0</v>
      </c>
      <c r="X308" s="1">
        <f>IF(W308=1,L308,0)</f>
        <v>0</v>
      </c>
      <c r="Y308" s="1">
        <f>IF(L308&gt;0,1,0)</f>
        <v>0</v>
      </c>
      <c r="Z308" s="1">
        <f>IF(Y308=1,L308,0)</f>
        <v>0</v>
      </c>
      <c r="AA308" s="1">
        <f>IF(X308&lt;-100000000/100,1,0)</f>
        <v>0</v>
      </c>
      <c r="AB308" s="1">
        <f>IF(Z308&gt;100000000/100,1,0)</f>
        <v>0</v>
      </c>
    </row>
    <row r="309" spans="1:28" s="1" customFormat="1">
      <c r="A309" s="3">
        <v>45434</v>
      </c>
      <c r="B309" s="2" t="s">
        <v>14</v>
      </c>
      <c r="C309" s="1">
        <f>SUM(PL!E309:H309)</f>
        <v>0</v>
      </c>
      <c r="D309" s="1">
        <f>SUM(PL!I309:L309)</f>
        <v>0</v>
      </c>
      <c r="E309" s="1">
        <f>SUM(C309:D309)</f>
        <v>0</v>
      </c>
      <c r="F309" s="1">
        <f>IF(C309 + F308 &lt; 0, C309 + F308, 0)</f>
        <v>0</v>
      </c>
      <c r="G309" s="1">
        <f>IF(D309 + G308 &lt; 0, D309 + G308, 0)</f>
        <v>0</v>
      </c>
      <c r="H309" s="1">
        <f>IF(E309 + H308 &lt; 0, E309 + H308, 0)</f>
        <v>0</v>
      </c>
      <c r="I309" s="1">
        <f>IF(H309 &lt; 0, 1 + I308, 0)</f>
        <v>0</v>
      </c>
      <c r="J309" s="1">
        <f>C309-((ABS(SUM(PL!E309:H309)))*0.125)</f>
        <v>0</v>
      </c>
      <c r="K309" s="1">
        <f>D309-((ABS(SUM(PL!I309:L309)))*0.125)</f>
        <v>0</v>
      </c>
      <c r="L309" s="1">
        <f>J309 + K309</f>
        <v>0</v>
      </c>
      <c r="M309" s="1">
        <f>IF(J309 + M308 &lt; 0, J309 + M308, 0)</f>
        <v>0</v>
      </c>
      <c r="N309" s="1">
        <f>IF(K309 + N308 &lt; 0, K309 + N308, 0)</f>
        <v>0</v>
      </c>
      <c r="O309" s="1">
        <f>IF(L309 + O308 &lt; 0, L309 + O308, 0)</f>
        <v>0</v>
      </c>
      <c r="P309" s="1">
        <f>IF(O309 &lt; 0, 1 + P308, 0)</f>
        <v>0</v>
      </c>
      <c r="Q309" s="1">
        <f>IF(E309&lt;0,1,0)</f>
        <v>0</v>
      </c>
      <c r="R309" s="1">
        <f>IF(Q309=1,E309,0)</f>
        <v>0</v>
      </c>
      <c r="S309" s="1">
        <f>IF(E309&gt;0,1,0)</f>
        <v>0</v>
      </c>
      <c r="T309" s="1">
        <f>IF(S309=1,E309,0)</f>
        <v>0</v>
      </c>
      <c r="U309" s="1">
        <f>IF(R309&lt;-100000000/100,1,0)</f>
        <v>0</v>
      </c>
      <c r="V309" s="1">
        <f>IF(T309&gt;100000000/100,1,0)</f>
        <v>0</v>
      </c>
      <c r="W309" s="1">
        <f>IF(L309&lt;0,1,0)</f>
        <v>0</v>
      </c>
      <c r="X309" s="1">
        <f>IF(W309=1,L309,0)</f>
        <v>0</v>
      </c>
      <c r="Y309" s="1">
        <f>IF(L309&gt;0,1,0)</f>
        <v>0</v>
      </c>
      <c r="Z309" s="1">
        <f>IF(Y309=1,L309,0)</f>
        <v>0</v>
      </c>
      <c r="AA309" s="1">
        <f>IF(X309&lt;-100000000/100,1,0)</f>
        <v>0</v>
      </c>
      <c r="AB309" s="1">
        <f>IF(Z309&gt;100000000/100,1,0)</f>
        <v>0</v>
      </c>
    </row>
    <row r="310" spans="1:28" s="1" customFormat="1">
      <c r="A310" s="3">
        <v>45435</v>
      </c>
      <c r="B310" s="2" t="s">
        <v>16</v>
      </c>
      <c r="C310" s="1">
        <f>SUM(PL!E310:H310)</f>
        <v>0</v>
      </c>
      <c r="D310" s="1">
        <f>SUM(PL!I310:L310)</f>
        <v>0</v>
      </c>
      <c r="E310" s="1">
        <f>SUM(C310:D310)</f>
        <v>0</v>
      </c>
      <c r="F310" s="1">
        <f>IF(C310 + F309 &lt; 0, C310 + F309, 0)</f>
        <v>0</v>
      </c>
      <c r="G310" s="1">
        <f>IF(D310 + G309 &lt; 0, D310 + G309, 0)</f>
        <v>0</v>
      </c>
      <c r="H310" s="1">
        <f>IF(E310 + H309 &lt; 0, E310 + H309, 0)</f>
        <v>0</v>
      </c>
      <c r="I310" s="1">
        <f>IF(H310 &lt; 0, 1 + I309, 0)</f>
        <v>0</v>
      </c>
      <c r="J310" s="1">
        <f>C310-((ABS(SUM(PL!E310:H310)))*0.125)</f>
        <v>0</v>
      </c>
      <c r="K310" s="1">
        <f>D310-((ABS(SUM(PL!I310:L310)))*0.125)</f>
        <v>0</v>
      </c>
      <c r="L310" s="1">
        <f>J310 + K310</f>
        <v>0</v>
      </c>
      <c r="M310" s="1">
        <f>IF(J310 + M309 &lt; 0, J310 + M309, 0)</f>
        <v>0</v>
      </c>
      <c r="N310" s="1">
        <f>IF(K310 + N309 &lt; 0, K310 + N309, 0)</f>
        <v>0</v>
      </c>
      <c r="O310" s="1">
        <f>IF(L310 + O309 &lt; 0, L310 + O309, 0)</f>
        <v>0</v>
      </c>
      <c r="P310" s="1">
        <f>IF(O310 &lt; 0, 1 + P309, 0)</f>
        <v>0</v>
      </c>
      <c r="Q310" s="1">
        <f>IF(E310&lt;0,1,0)</f>
        <v>0</v>
      </c>
      <c r="R310" s="1">
        <f>IF(Q310=1,E310,0)</f>
        <v>0</v>
      </c>
      <c r="S310" s="1">
        <f>IF(E310&gt;0,1,0)</f>
        <v>0</v>
      </c>
      <c r="T310" s="1">
        <f>IF(S310=1,E310,0)</f>
        <v>0</v>
      </c>
      <c r="U310" s="1">
        <f>IF(R310&lt;-100000000/100,1,0)</f>
        <v>0</v>
      </c>
      <c r="V310" s="1">
        <f>IF(T310&gt;100000000/100,1,0)</f>
        <v>0</v>
      </c>
      <c r="W310" s="1">
        <f>IF(L310&lt;0,1,0)</f>
        <v>0</v>
      </c>
      <c r="X310" s="1">
        <f>IF(W310=1,L310,0)</f>
        <v>0</v>
      </c>
      <c r="Y310" s="1">
        <f>IF(L310&gt;0,1,0)</f>
        <v>0</v>
      </c>
      <c r="Z310" s="1">
        <f>IF(Y310=1,L310,0)</f>
        <v>0</v>
      </c>
      <c r="AA310" s="1">
        <f>IF(X310&lt;-100000000/100,1,0)</f>
        <v>0</v>
      </c>
      <c r="AB310" s="1">
        <f>IF(Z310&gt;100000000/100,1,0)</f>
        <v>0</v>
      </c>
    </row>
    <row r="311" spans="1:28" s="1" customFormat="1">
      <c r="A311" s="3">
        <v>45436</v>
      </c>
      <c r="B311" s="2" t="s">
        <v>15</v>
      </c>
      <c r="C311" s="1">
        <f>SUM(PL!E311:H311)</f>
        <v>0</v>
      </c>
      <c r="D311" s="1">
        <f>SUM(PL!I311:L311)</f>
        <v>0</v>
      </c>
      <c r="E311" s="1">
        <f>SUM(C311:D311)</f>
        <v>0</v>
      </c>
      <c r="F311" s="1">
        <f>IF(C311 + F310 &lt; 0, C311 + F310, 0)</f>
        <v>0</v>
      </c>
      <c r="G311" s="1">
        <f>IF(D311 + G310 &lt; 0, D311 + G310, 0)</f>
        <v>0</v>
      </c>
      <c r="H311" s="1">
        <f>IF(E311 + H310 &lt; 0, E311 + H310, 0)</f>
        <v>0</v>
      </c>
      <c r="I311" s="1">
        <f>IF(H311 &lt; 0, 1 + I310, 0)</f>
        <v>0</v>
      </c>
      <c r="J311" s="1">
        <f>C311-((ABS(SUM(PL!E311:H311)))*0.125)</f>
        <v>0</v>
      </c>
      <c r="K311" s="1">
        <f>D311-((ABS(SUM(PL!I311:L311)))*0.125)</f>
        <v>0</v>
      </c>
      <c r="L311" s="1">
        <f>J311 + K311</f>
        <v>0</v>
      </c>
      <c r="M311" s="1">
        <f>IF(J311 + M310 &lt; 0, J311 + M310, 0)</f>
        <v>0</v>
      </c>
      <c r="N311" s="1">
        <f>IF(K311 + N310 &lt; 0, K311 + N310, 0)</f>
        <v>0</v>
      </c>
      <c r="O311" s="1">
        <f>IF(L311 + O310 &lt; 0, L311 + O310, 0)</f>
        <v>0</v>
      </c>
      <c r="P311" s="1">
        <f>IF(O311 &lt; 0, 1 + P310, 0)</f>
        <v>0</v>
      </c>
      <c r="Q311" s="1">
        <f>IF(E311&lt;0,1,0)</f>
        <v>0</v>
      </c>
      <c r="R311" s="1">
        <f>IF(Q311=1,E311,0)</f>
        <v>0</v>
      </c>
      <c r="S311" s="1">
        <f>IF(E311&gt;0,1,0)</f>
        <v>0</v>
      </c>
      <c r="T311" s="1">
        <f>IF(S311=1,E311,0)</f>
        <v>0</v>
      </c>
      <c r="U311" s="1">
        <f>IF(R311&lt;-100000000/100,1,0)</f>
        <v>0</v>
      </c>
      <c r="V311" s="1">
        <f>IF(T311&gt;100000000/100,1,0)</f>
        <v>0</v>
      </c>
      <c r="W311" s="1">
        <f>IF(L311&lt;0,1,0)</f>
        <v>0</v>
      </c>
      <c r="X311" s="1">
        <f>IF(W311=1,L311,0)</f>
        <v>0</v>
      </c>
      <c r="Y311" s="1">
        <f>IF(L311&gt;0,1,0)</f>
        <v>0</v>
      </c>
      <c r="Z311" s="1">
        <f>IF(Y311=1,L311,0)</f>
        <v>0</v>
      </c>
      <c r="AA311" s="1">
        <f>IF(X311&lt;-100000000/100,1,0)</f>
        <v>0</v>
      </c>
      <c r="AB311" s="1">
        <f>IF(Z311&gt;100000000/100,1,0)</f>
        <v>0</v>
      </c>
    </row>
    <row r="312" spans="1:28" s="1" customFormat="1">
      <c r="A312" s="3">
        <v>45439</v>
      </c>
      <c r="B312" s="2" t="s">
        <v>12</v>
      </c>
      <c r="C312" s="1">
        <f>SUM(PL!E312:H312)</f>
        <v>0</v>
      </c>
      <c r="D312" s="1">
        <f>SUM(PL!I312:L312)</f>
        <v>0</v>
      </c>
      <c r="E312" s="1">
        <f>SUM(C312:D312)</f>
        <v>0</v>
      </c>
      <c r="F312" s="1">
        <f>IF(C312 + F311 &lt; 0, C312 + F311, 0)</f>
        <v>0</v>
      </c>
      <c r="G312" s="1">
        <f>IF(D312 + G311 &lt; 0, D312 + G311, 0)</f>
        <v>0</v>
      </c>
      <c r="H312" s="1">
        <f>IF(E312 + H311 &lt; 0, E312 + H311, 0)</f>
        <v>0</v>
      </c>
      <c r="I312" s="1">
        <f>IF(H312 &lt; 0, 1 + I311, 0)</f>
        <v>0</v>
      </c>
      <c r="J312" s="1">
        <f>C312-((ABS(SUM(PL!E312:H312)))*0.125)</f>
        <v>0</v>
      </c>
      <c r="K312" s="1">
        <f>D312-((ABS(SUM(PL!I312:L312)))*0.125)</f>
        <v>0</v>
      </c>
      <c r="L312" s="1">
        <f>J312 + K312</f>
        <v>0</v>
      </c>
      <c r="M312" s="1">
        <f>IF(J312 + M311 &lt; 0, J312 + M311, 0)</f>
        <v>0</v>
      </c>
      <c r="N312" s="1">
        <f>IF(K312 + N311 &lt; 0, K312 + N311, 0)</f>
        <v>0</v>
      </c>
      <c r="O312" s="1">
        <f>IF(L312 + O311 &lt; 0, L312 + O311, 0)</f>
        <v>0</v>
      </c>
      <c r="P312" s="1">
        <f>IF(O312 &lt; 0, 1 + P311, 0)</f>
        <v>0</v>
      </c>
      <c r="Q312" s="1">
        <f>IF(E312&lt;0,1,0)</f>
        <v>0</v>
      </c>
      <c r="R312" s="1">
        <f>IF(Q312=1,E312,0)</f>
        <v>0</v>
      </c>
      <c r="S312" s="1">
        <f>IF(E312&gt;0,1,0)</f>
        <v>0</v>
      </c>
      <c r="T312" s="1">
        <f>IF(S312=1,E312,0)</f>
        <v>0</v>
      </c>
      <c r="U312" s="1">
        <f>IF(R312&lt;-100000000/100,1,0)</f>
        <v>0</v>
      </c>
      <c r="V312" s="1">
        <f>IF(T312&gt;100000000/100,1,0)</f>
        <v>0</v>
      </c>
      <c r="W312" s="1">
        <f>IF(L312&lt;0,1,0)</f>
        <v>0</v>
      </c>
      <c r="X312" s="1">
        <f>IF(W312=1,L312,0)</f>
        <v>0</v>
      </c>
      <c r="Y312" s="1">
        <f>IF(L312&gt;0,1,0)</f>
        <v>0</v>
      </c>
      <c r="Z312" s="1">
        <f>IF(Y312=1,L312,0)</f>
        <v>0</v>
      </c>
      <c r="AA312" s="1">
        <f>IF(X312&lt;-100000000/100,1,0)</f>
        <v>0</v>
      </c>
      <c r="AB312" s="1">
        <f>IF(Z312&gt;100000000/100,1,0)</f>
        <v>0</v>
      </c>
    </row>
    <row r="313" spans="1:28" s="1" customFormat="1">
      <c r="A313" s="3">
        <v>45440</v>
      </c>
      <c r="B313" s="2" t="s">
        <v>13</v>
      </c>
      <c r="C313" s="1">
        <f>SUM(PL!E313:H313)</f>
        <v>0</v>
      </c>
      <c r="D313" s="1">
        <f>SUM(PL!I313:L313)</f>
        <v>0</v>
      </c>
      <c r="E313" s="1">
        <f>SUM(C313:D313)</f>
        <v>0</v>
      </c>
      <c r="F313" s="1">
        <f>IF(C313 + F312 &lt; 0, C313 + F312, 0)</f>
        <v>0</v>
      </c>
      <c r="G313" s="1">
        <f>IF(D313 + G312 &lt; 0, D313 + G312, 0)</f>
        <v>0</v>
      </c>
      <c r="H313" s="1">
        <f>IF(E313 + H312 &lt; 0, E313 + H312, 0)</f>
        <v>0</v>
      </c>
      <c r="I313" s="1">
        <f>IF(H313 &lt; 0, 1 + I312, 0)</f>
        <v>0</v>
      </c>
      <c r="J313" s="1">
        <f>C313-((ABS(SUM(PL!E313:H313)))*0.125)</f>
        <v>0</v>
      </c>
      <c r="K313" s="1">
        <f>D313-((ABS(SUM(PL!I313:L313)))*0.125)</f>
        <v>0</v>
      </c>
      <c r="L313" s="1">
        <f>J313 + K313</f>
        <v>0</v>
      </c>
      <c r="M313" s="1">
        <f>IF(J313 + M312 &lt; 0, J313 + M312, 0)</f>
        <v>0</v>
      </c>
      <c r="N313" s="1">
        <f>IF(K313 + N312 &lt; 0, K313 + N312, 0)</f>
        <v>0</v>
      </c>
      <c r="O313" s="1">
        <f>IF(L313 + O312 &lt; 0, L313 + O312, 0)</f>
        <v>0</v>
      </c>
      <c r="P313" s="1">
        <f>IF(O313 &lt; 0, 1 + P312, 0)</f>
        <v>0</v>
      </c>
      <c r="Q313" s="1">
        <f>IF(E313&lt;0,1,0)</f>
        <v>0</v>
      </c>
      <c r="R313" s="1">
        <f>IF(Q313=1,E313,0)</f>
        <v>0</v>
      </c>
      <c r="S313" s="1">
        <f>IF(E313&gt;0,1,0)</f>
        <v>0</v>
      </c>
      <c r="T313" s="1">
        <f>IF(S313=1,E313,0)</f>
        <v>0</v>
      </c>
      <c r="U313" s="1">
        <f>IF(R313&lt;-100000000/100,1,0)</f>
        <v>0</v>
      </c>
      <c r="V313" s="1">
        <f>IF(T313&gt;100000000/100,1,0)</f>
        <v>0</v>
      </c>
      <c r="W313" s="1">
        <f>IF(L313&lt;0,1,0)</f>
        <v>0</v>
      </c>
      <c r="X313" s="1">
        <f>IF(W313=1,L313,0)</f>
        <v>0</v>
      </c>
      <c r="Y313" s="1">
        <f>IF(L313&gt;0,1,0)</f>
        <v>0</v>
      </c>
      <c r="Z313" s="1">
        <f>IF(Y313=1,L313,0)</f>
        <v>0</v>
      </c>
      <c r="AA313" s="1">
        <f>IF(X313&lt;-100000000/100,1,0)</f>
        <v>0</v>
      </c>
      <c r="AB313" s="1">
        <f>IF(Z313&gt;100000000/100,1,0)</f>
        <v>0</v>
      </c>
    </row>
    <row r="314" spans="1:28" s="1" customFormat="1">
      <c r="A314" s="3">
        <v>45441</v>
      </c>
      <c r="B314" s="2" t="s">
        <v>14</v>
      </c>
      <c r="C314" s="1">
        <f>SUM(PL!E314:H314)</f>
        <v>0</v>
      </c>
      <c r="D314" s="1">
        <f>SUM(PL!I314:L314)</f>
        <v>0</v>
      </c>
      <c r="E314" s="1">
        <f>SUM(C314:D314)</f>
        <v>0</v>
      </c>
      <c r="F314" s="1">
        <f>IF(C314 + F313 &lt; 0, C314 + F313, 0)</f>
        <v>0</v>
      </c>
      <c r="G314" s="1">
        <f>IF(D314 + G313 &lt; 0, D314 + G313, 0)</f>
        <v>0</v>
      </c>
      <c r="H314" s="1">
        <f>IF(E314 + H313 &lt; 0, E314 + H313, 0)</f>
        <v>0</v>
      </c>
      <c r="I314" s="1">
        <f>IF(H314 &lt; 0, 1 + I313, 0)</f>
        <v>0</v>
      </c>
      <c r="J314" s="1">
        <f>C314-((ABS(SUM(PL!E314:H314)))*0.125)</f>
        <v>0</v>
      </c>
      <c r="K314" s="1">
        <f>D314-((ABS(SUM(PL!I314:L314)))*0.125)</f>
        <v>0</v>
      </c>
      <c r="L314" s="1">
        <f>J314 + K314</f>
        <v>0</v>
      </c>
      <c r="M314" s="1">
        <f>IF(J314 + M313 &lt; 0, J314 + M313, 0)</f>
        <v>0</v>
      </c>
      <c r="N314" s="1">
        <f>IF(K314 + N313 &lt; 0, K314 + N313, 0)</f>
        <v>0</v>
      </c>
      <c r="O314" s="1">
        <f>IF(L314 + O313 &lt; 0, L314 + O313, 0)</f>
        <v>0</v>
      </c>
      <c r="P314" s="1">
        <f>IF(O314 &lt; 0, 1 + P313, 0)</f>
        <v>0</v>
      </c>
      <c r="Q314" s="1">
        <f>IF(E314&lt;0,1,0)</f>
        <v>0</v>
      </c>
      <c r="R314" s="1">
        <f>IF(Q314=1,E314,0)</f>
        <v>0</v>
      </c>
      <c r="S314" s="1">
        <f>IF(E314&gt;0,1,0)</f>
        <v>0</v>
      </c>
      <c r="T314" s="1">
        <f>IF(S314=1,E314,0)</f>
        <v>0</v>
      </c>
      <c r="U314" s="1">
        <f>IF(R314&lt;-100000000/100,1,0)</f>
        <v>0</v>
      </c>
      <c r="V314" s="1">
        <f>IF(T314&gt;100000000/100,1,0)</f>
        <v>0</v>
      </c>
      <c r="W314" s="1">
        <f>IF(L314&lt;0,1,0)</f>
        <v>0</v>
      </c>
      <c r="X314" s="1">
        <f>IF(W314=1,L314,0)</f>
        <v>0</v>
      </c>
      <c r="Y314" s="1">
        <f>IF(L314&gt;0,1,0)</f>
        <v>0</v>
      </c>
      <c r="Z314" s="1">
        <f>IF(Y314=1,L314,0)</f>
        <v>0</v>
      </c>
      <c r="AA314" s="1">
        <f>IF(X314&lt;-100000000/100,1,0)</f>
        <v>0</v>
      </c>
      <c r="AB314" s="1">
        <f>IF(Z314&gt;100000000/100,1,0)</f>
        <v>0</v>
      </c>
    </row>
    <row r="315" spans="1:28" s="1" customFormat="1">
      <c r="A315" s="3">
        <v>45442</v>
      </c>
      <c r="B315" s="2" t="s">
        <v>16</v>
      </c>
      <c r="C315" s="1">
        <f>SUM(PL!E315:H315)</f>
        <v>0</v>
      </c>
      <c r="D315" s="1">
        <f>SUM(PL!I315:L315)</f>
        <v>0</v>
      </c>
      <c r="E315" s="1">
        <f>SUM(C315:D315)</f>
        <v>0</v>
      </c>
      <c r="F315" s="1">
        <f>IF(C315 + F314 &lt; 0, C315 + F314, 0)</f>
        <v>0</v>
      </c>
      <c r="G315" s="1">
        <f>IF(D315 + G314 &lt; 0, D315 + G314, 0)</f>
        <v>0</v>
      </c>
      <c r="H315" s="1">
        <f>IF(E315 + H314 &lt; 0, E315 + H314, 0)</f>
        <v>0</v>
      </c>
      <c r="I315" s="1">
        <f>IF(H315 &lt; 0, 1 + I314, 0)</f>
        <v>0</v>
      </c>
      <c r="J315" s="1">
        <f>C315-((ABS(SUM(PL!E315:H315)))*0.125)</f>
        <v>0</v>
      </c>
      <c r="K315" s="1">
        <f>D315-((ABS(SUM(PL!I315:L315)))*0.125)</f>
        <v>0</v>
      </c>
      <c r="L315" s="1">
        <f>J315 + K315</f>
        <v>0</v>
      </c>
      <c r="M315" s="1">
        <f>IF(J315 + M314 &lt; 0, J315 + M314, 0)</f>
        <v>0</v>
      </c>
      <c r="N315" s="1">
        <f>IF(K315 + N314 &lt; 0, K315 + N314, 0)</f>
        <v>0</v>
      </c>
      <c r="O315" s="1">
        <f>IF(L315 + O314 &lt; 0, L315 + O314, 0)</f>
        <v>0</v>
      </c>
      <c r="P315" s="1">
        <f>IF(O315 &lt; 0, 1 + P314, 0)</f>
        <v>0</v>
      </c>
      <c r="Q315" s="1">
        <f>IF(E315&lt;0,1,0)</f>
        <v>0</v>
      </c>
      <c r="R315" s="1">
        <f>IF(Q315=1,E315,0)</f>
        <v>0</v>
      </c>
      <c r="S315" s="1">
        <f>IF(E315&gt;0,1,0)</f>
        <v>0</v>
      </c>
      <c r="T315" s="1">
        <f>IF(S315=1,E315,0)</f>
        <v>0</v>
      </c>
      <c r="U315" s="1">
        <f>IF(R315&lt;-100000000/100,1,0)</f>
        <v>0</v>
      </c>
      <c r="V315" s="1">
        <f>IF(T315&gt;100000000/100,1,0)</f>
        <v>0</v>
      </c>
      <c r="W315" s="1">
        <f>IF(L315&lt;0,1,0)</f>
        <v>0</v>
      </c>
      <c r="X315" s="1">
        <f>IF(W315=1,L315,0)</f>
        <v>0</v>
      </c>
      <c r="Y315" s="1">
        <f>IF(L315&gt;0,1,0)</f>
        <v>0</v>
      </c>
      <c r="Z315" s="1">
        <f>IF(Y315=1,L315,0)</f>
        <v>0</v>
      </c>
      <c r="AA315" s="1">
        <f>IF(X315&lt;-100000000/100,1,0)</f>
        <v>0</v>
      </c>
      <c r="AB315" s="1">
        <f>IF(Z315&gt;100000000/100,1,0)</f>
        <v>0</v>
      </c>
    </row>
    <row r="316" spans="1:28" s="1" customFormat="1">
      <c r="A316" s="3">
        <v>45443</v>
      </c>
      <c r="B316" s="2" t="s">
        <v>15</v>
      </c>
      <c r="C316" s="1">
        <f>SUM(PL!E316:H316)</f>
        <v>0</v>
      </c>
      <c r="D316" s="1">
        <f>SUM(PL!I316:L316)</f>
        <v>0</v>
      </c>
      <c r="E316" s="1">
        <f>SUM(C316:D316)</f>
        <v>0</v>
      </c>
      <c r="F316" s="1">
        <f>IF(C316 + F315 &lt; 0, C316 + F315, 0)</f>
        <v>0</v>
      </c>
      <c r="G316" s="1">
        <f>IF(D316 + G315 &lt; 0, D316 + G315, 0)</f>
        <v>0</v>
      </c>
      <c r="H316" s="1">
        <f>IF(E316 + H315 &lt; 0, E316 + H315, 0)</f>
        <v>0</v>
      </c>
      <c r="I316" s="1">
        <f>IF(H316 &lt; 0, 1 + I315, 0)</f>
        <v>0</v>
      </c>
      <c r="J316" s="1">
        <f>C316-((ABS(SUM(PL!E316:H316)))*0.125)</f>
        <v>0</v>
      </c>
      <c r="K316" s="1">
        <f>D316-((ABS(SUM(PL!I316:L316)))*0.125)</f>
        <v>0</v>
      </c>
      <c r="L316" s="1">
        <f>J316 + K316</f>
        <v>0</v>
      </c>
      <c r="M316" s="1">
        <f>IF(J316 + M315 &lt; 0, J316 + M315, 0)</f>
        <v>0</v>
      </c>
      <c r="N316" s="1">
        <f>IF(K316 + N315 &lt; 0, K316 + N315, 0)</f>
        <v>0</v>
      </c>
      <c r="O316" s="1">
        <f>IF(L316 + O315 &lt; 0, L316 + O315, 0)</f>
        <v>0</v>
      </c>
      <c r="P316" s="1">
        <f>IF(O316 &lt; 0, 1 + P315, 0)</f>
        <v>0</v>
      </c>
      <c r="Q316" s="1">
        <f>IF(E316&lt;0,1,0)</f>
        <v>0</v>
      </c>
      <c r="R316" s="1">
        <f>IF(Q316=1,E316,0)</f>
        <v>0</v>
      </c>
      <c r="S316" s="1">
        <f>IF(E316&gt;0,1,0)</f>
        <v>0</v>
      </c>
      <c r="T316" s="1">
        <f>IF(S316=1,E316,0)</f>
        <v>0</v>
      </c>
      <c r="U316" s="1">
        <f>IF(R316&lt;-100000000/100,1,0)</f>
        <v>0</v>
      </c>
      <c r="V316" s="1">
        <f>IF(T316&gt;100000000/100,1,0)</f>
        <v>0</v>
      </c>
      <c r="W316" s="1">
        <f>IF(L316&lt;0,1,0)</f>
        <v>0</v>
      </c>
      <c r="X316" s="1">
        <f>IF(W316=1,L316,0)</f>
        <v>0</v>
      </c>
      <c r="Y316" s="1">
        <f>IF(L316&gt;0,1,0)</f>
        <v>0</v>
      </c>
      <c r="Z316" s="1">
        <f>IF(Y316=1,L316,0)</f>
        <v>0</v>
      </c>
      <c r="AA316" s="1">
        <f>IF(X316&lt;-100000000/100,1,0)</f>
        <v>0</v>
      </c>
      <c r="AB316" s="1">
        <f>IF(Z316&gt;100000000/100,1,0)</f>
        <v>0</v>
      </c>
    </row>
    <row r="317" spans="1:28" s="1" customFormat="1">
      <c r="A317" s="3">
        <v>45446</v>
      </c>
      <c r="B317" s="2" t="s">
        <v>12</v>
      </c>
      <c r="C317" s="1">
        <f>SUM(PL!E317:H317)</f>
        <v>0</v>
      </c>
      <c r="D317" s="1">
        <f>SUM(PL!I317:L317)</f>
        <v>0</v>
      </c>
      <c r="E317" s="1">
        <f>SUM(C317:D317)</f>
        <v>0</v>
      </c>
      <c r="F317" s="1">
        <f>IF(C317 + F316 &lt; 0, C317 + F316, 0)</f>
        <v>0</v>
      </c>
      <c r="G317" s="1">
        <f>IF(D317 + G316 &lt; 0, D317 + G316, 0)</f>
        <v>0</v>
      </c>
      <c r="H317" s="1">
        <f>IF(E317 + H316 &lt; 0, E317 + H316, 0)</f>
        <v>0</v>
      </c>
      <c r="I317" s="1">
        <f>IF(H317 &lt; 0, 1 + I316, 0)</f>
        <v>0</v>
      </c>
      <c r="J317" s="1">
        <f>C317-((ABS(SUM(PL!E317:H317)))*0.125)</f>
        <v>0</v>
      </c>
      <c r="K317" s="1">
        <f>D317-((ABS(SUM(PL!I317:L317)))*0.125)</f>
        <v>0</v>
      </c>
      <c r="L317" s="1">
        <f>J317 + K317</f>
        <v>0</v>
      </c>
      <c r="M317" s="1">
        <f>IF(J317 + M316 &lt; 0, J317 + M316, 0)</f>
        <v>0</v>
      </c>
      <c r="N317" s="1">
        <f>IF(K317 + N316 &lt; 0, K317 + N316, 0)</f>
        <v>0</v>
      </c>
      <c r="O317" s="1">
        <f>IF(L317 + O316 &lt; 0, L317 + O316, 0)</f>
        <v>0</v>
      </c>
      <c r="P317" s="1">
        <f>IF(O317 &lt; 0, 1 + P316, 0)</f>
        <v>0</v>
      </c>
      <c r="Q317" s="1">
        <f>IF(E317&lt;0,1,0)</f>
        <v>0</v>
      </c>
      <c r="R317" s="1">
        <f>IF(Q317=1,E317,0)</f>
        <v>0</v>
      </c>
      <c r="S317" s="1">
        <f>IF(E317&gt;0,1,0)</f>
        <v>0</v>
      </c>
      <c r="T317" s="1">
        <f>IF(S317=1,E317,0)</f>
        <v>0</v>
      </c>
      <c r="U317" s="1">
        <f>IF(R317&lt;-100000000/100,1,0)</f>
        <v>0</v>
      </c>
      <c r="V317" s="1">
        <f>IF(T317&gt;100000000/100,1,0)</f>
        <v>0</v>
      </c>
      <c r="W317" s="1">
        <f>IF(L317&lt;0,1,0)</f>
        <v>0</v>
      </c>
      <c r="X317" s="1">
        <f>IF(W317=1,L317,0)</f>
        <v>0</v>
      </c>
      <c r="Y317" s="1">
        <f>IF(L317&gt;0,1,0)</f>
        <v>0</v>
      </c>
      <c r="Z317" s="1">
        <f>IF(Y317=1,L317,0)</f>
        <v>0</v>
      </c>
      <c r="AA317" s="1">
        <f>IF(X317&lt;-100000000/100,1,0)</f>
        <v>0</v>
      </c>
      <c r="AB317" s="1">
        <f>IF(Z317&gt;100000000/100,1,0)</f>
        <v>0</v>
      </c>
    </row>
    <row r="318" spans="1:28" s="1" customFormat="1">
      <c r="A318" s="3">
        <v>45447</v>
      </c>
      <c r="B318" s="2" t="s">
        <v>13</v>
      </c>
      <c r="C318" s="1">
        <f>SUM(PL!E318:H318)</f>
        <v>0</v>
      </c>
      <c r="D318" s="1">
        <f>SUM(PL!I318:L318)</f>
        <v>0</v>
      </c>
      <c r="E318" s="1">
        <f>SUM(C318:D318)</f>
        <v>0</v>
      </c>
      <c r="F318" s="1">
        <f>IF(C318 + F317 &lt; 0, C318 + F317, 0)</f>
        <v>0</v>
      </c>
      <c r="G318" s="1">
        <f>IF(D318 + G317 &lt; 0, D318 + G317, 0)</f>
        <v>0</v>
      </c>
      <c r="H318" s="1">
        <f>IF(E318 + H317 &lt; 0, E318 + H317, 0)</f>
        <v>0</v>
      </c>
      <c r="I318" s="1">
        <f>IF(H318 &lt; 0, 1 + I317, 0)</f>
        <v>0</v>
      </c>
      <c r="J318" s="1">
        <f>C318-((ABS(SUM(PL!E318:H318)))*0.125)</f>
        <v>0</v>
      </c>
      <c r="K318" s="1">
        <f>D318-((ABS(SUM(PL!I318:L318)))*0.125)</f>
        <v>0</v>
      </c>
      <c r="L318" s="1">
        <f>J318 + K318</f>
        <v>0</v>
      </c>
      <c r="M318" s="1">
        <f>IF(J318 + M317 &lt; 0, J318 + M317, 0)</f>
        <v>0</v>
      </c>
      <c r="N318" s="1">
        <f>IF(K318 + N317 &lt; 0, K318 + N317, 0)</f>
        <v>0</v>
      </c>
      <c r="O318" s="1">
        <f>IF(L318 + O317 &lt; 0, L318 + O317, 0)</f>
        <v>0</v>
      </c>
      <c r="P318" s="1">
        <f>IF(O318 &lt; 0, 1 + P317, 0)</f>
        <v>0</v>
      </c>
      <c r="Q318" s="1">
        <f>IF(E318&lt;0,1,0)</f>
        <v>0</v>
      </c>
      <c r="R318" s="1">
        <f>IF(Q318=1,E318,0)</f>
        <v>0</v>
      </c>
      <c r="S318" s="1">
        <f>IF(E318&gt;0,1,0)</f>
        <v>0</v>
      </c>
      <c r="T318" s="1">
        <f>IF(S318=1,E318,0)</f>
        <v>0</v>
      </c>
      <c r="U318" s="1">
        <f>IF(R318&lt;-100000000/100,1,0)</f>
        <v>0</v>
      </c>
      <c r="V318" s="1">
        <f>IF(T318&gt;100000000/100,1,0)</f>
        <v>0</v>
      </c>
      <c r="W318" s="1">
        <f>IF(L318&lt;0,1,0)</f>
        <v>0</v>
      </c>
      <c r="X318" s="1">
        <f>IF(W318=1,L318,0)</f>
        <v>0</v>
      </c>
      <c r="Y318" s="1">
        <f>IF(L318&gt;0,1,0)</f>
        <v>0</v>
      </c>
      <c r="Z318" s="1">
        <f>IF(Y318=1,L318,0)</f>
        <v>0</v>
      </c>
      <c r="AA318" s="1">
        <f>IF(X318&lt;-100000000/100,1,0)</f>
        <v>0</v>
      </c>
      <c r="AB318" s="1">
        <f>IF(Z318&gt;100000000/100,1,0)</f>
        <v>0</v>
      </c>
    </row>
    <row r="319" spans="1:28" s="1" customFormat="1">
      <c r="A319" s="3">
        <v>45448</v>
      </c>
      <c r="B319" s="2" t="s">
        <v>14</v>
      </c>
      <c r="C319" s="1">
        <f>SUM(PL!E319:H319)</f>
        <v>0</v>
      </c>
      <c r="D319" s="1">
        <f>SUM(PL!I319:L319)</f>
        <v>0</v>
      </c>
      <c r="E319" s="1">
        <f>SUM(C319:D319)</f>
        <v>0</v>
      </c>
      <c r="F319" s="1">
        <f>IF(C319 + F318 &lt; 0, C319 + F318, 0)</f>
        <v>0</v>
      </c>
      <c r="G319" s="1">
        <f>IF(D319 + G318 &lt; 0, D319 + G318, 0)</f>
        <v>0</v>
      </c>
      <c r="H319" s="1">
        <f>IF(E319 + H318 &lt; 0, E319 + H318, 0)</f>
        <v>0</v>
      </c>
      <c r="I319" s="1">
        <f>IF(H319 &lt; 0, 1 + I318, 0)</f>
        <v>0</v>
      </c>
      <c r="J319" s="1">
        <f>C319-((ABS(SUM(PL!E319:H319)))*0.125)</f>
        <v>0</v>
      </c>
      <c r="K319" s="1">
        <f>D319-((ABS(SUM(PL!I319:L319)))*0.125)</f>
        <v>0</v>
      </c>
      <c r="L319" s="1">
        <f>J319 + K319</f>
        <v>0</v>
      </c>
      <c r="M319" s="1">
        <f>IF(J319 + M318 &lt; 0, J319 + M318, 0)</f>
        <v>0</v>
      </c>
      <c r="N319" s="1">
        <f>IF(K319 + N318 &lt; 0, K319 + N318, 0)</f>
        <v>0</v>
      </c>
      <c r="O319" s="1">
        <f>IF(L319 + O318 &lt; 0, L319 + O318, 0)</f>
        <v>0</v>
      </c>
      <c r="P319" s="1">
        <f>IF(O319 &lt; 0, 1 + P318, 0)</f>
        <v>0</v>
      </c>
      <c r="Q319" s="1">
        <f>IF(E319&lt;0,1,0)</f>
        <v>0</v>
      </c>
      <c r="R319" s="1">
        <f>IF(Q319=1,E319,0)</f>
        <v>0</v>
      </c>
      <c r="S319" s="1">
        <f>IF(E319&gt;0,1,0)</f>
        <v>0</v>
      </c>
      <c r="T319" s="1">
        <f>IF(S319=1,E319,0)</f>
        <v>0</v>
      </c>
      <c r="U319" s="1">
        <f>IF(R319&lt;-100000000/100,1,0)</f>
        <v>0</v>
      </c>
      <c r="V319" s="1">
        <f>IF(T319&gt;100000000/100,1,0)</f>
        <v>0</v>
      </c>
      <c r="W319" s="1">
        <f>IF(L319&lt;0,1,0)</f>
        <v>0</v>
      </c>
      <c r="X319" s="1">
        <f>IF(W319=1,L319,0)</f>
        <v>0</v>
      </c>
      <c r="Y319" s="1">
        <f>IF(L319&gt;0,1,0)</f>
        <v>0</v>
      </c>
      <c r="Z319" s="1">
        <f>IF(Y319=1,L319,0)</f>
        <v>0</v>
      </c>
      <c r="AA319" s="1">
        <f>IF(X319&lt;-100000000/100,1,0)</f>
        <v>0</v>
      </c>
      <c r="AB319" s="1">
        <f>IF(Z319&gt;100000000/100,1,0)</f>
        <v>0</v>
      </c>
    </row>
    <row r="320" spans="1:28" s="1" customFormat="1">
      <c r="A320" s="3">
        <v>45449</v>
      </c>
      <c r="B320" s="2" t="s">
        <v>16</v>
      </c>
      <c r="C320" s="1">
        <f>SUM(PL!E320:H320)</f>
        <v>0</v>
      </c>
      <c r="D320" s="1">
        <f>SUM(PL!I320:L320)</f>
        <v>0</v>
      </c>
      <c r="E320" s="1">
        <f>SUM(C320:D320)</f>
        <v>0</v>
      </c>
      <c r="F320" s="1">
        <f>IF(C320 + F319 &lt; 0, C320 + F319, 0)</f>
        <v>0</v>
      </c>
      <c r="G320" s="1">
        <f>IF(D320 + G319 &lt; 0, D320 + G319, 0)</f>
        <v>0</v>
      </c>
      <c r="H320" s="1">
        <f>IF(E320 + H319 &lt; 0, E320 + H319, 0)</f>
        <v>0</v>
      </c>
      <c r="I320" s="1">
        <f>IF(H320 &lt; 0, 1 + I319, 0)</f>
        <v>0</v>
      </c>
      <c r="J320" s="1">
        <f>C320-((ABS(SUM(PL!E320:H320)))*0.125)</f>
        <v>0</v>
      </c>
      <c r="K320" s="1">
        <f>D320-((ABS(SUM(PL!I320:L320)))*0.125)</f>
        <v>0</v>
      </c>
      <c r="L320" s="1">
        <f>J320 + K320</f>
        <v>0</v>
      </c>
      <c r="M320" s="1">
        <f>IF(J320 + M319 &lt; 0, J320 + M319, 0)</f>
        <v>0</v>
      </c>
      <c r="N320" s="1">
        <f>IF(K320 + N319 &lt; 0, K320 + N319, 0)</f>
        <v>0</v>
      </c>
      <c r="O320" s="1">
        <f>IF(L320 + O319 &lt; 0, L320 + O319, 0)</f>
        <v>0</v>
      </c>
      <c r="P320" s="1">
        <f>IF(O320 &lt; 0, 1 + P319, 0)</f>
        <v>0</v>
      </c>
      <c r="Q320" s="1">
        <f>IF(E320&lt;0,1,0)</f>
        <v>0</v>
      </c>
      <c r="R320" s="1">
        <f>IF(Q320=1,E320,0)</f>
        <v>0</v>
      </c>
      <c r="S320" s="1">
        <f>IF(E320&gt;0,1,0)</f>
        <v>0</v>
      </c>
      <c r="T320" s="1">
        <f>IF(S320=1,E320,0)</f>
        <v>0</v>
      </c>
      <c r="U320" s="1">
        <f>IF(R320&lt;-100000000/100,1,0)</f>
        <v>0</v>
      </c>
      <c r="V320" s="1">
        <f>IF(T320&gt;100000000/100,1,0)</f>
        <v>0</v>
      </c>
      <c r="W320" s="1">
        <f>IF(L320&lt;0,1,0)</f>
        <v>0</v>
      </c>
      <c r="X320" s="1">
        <f>IF(W320=1,L320,0)</f>
        <v>0</v>
      </c>
      <c r="Y320" s="1">
        <f>IF(L320&gt;0,1,0)</f>
        <v>0</v>
      </c>
      <c r="Z320" s="1">
        <f>IF(Y320=1,L320,0)</f>
        <v>0</v>
      </c>
      <c r="AA320" s="1">
        <f>IF(X320&lt;-100000000/100,1,0)</f>
        <v>0</v>
      </c>
      <c r="AB320" s="1">
        <f>IF(Z320&gt;100000000/100,1,0)</f>
        <v>0</v>
      </c>
    </row>
    <row r="321" spans="1:28" s="1" customFormat="1">
      <c r="A321" s="3">
        <v>45450</v>
      </c>
      <c r="B321" s="2" t="s">
        <v>15</v>
      </c>
      <c r="C321" s="1">
        <f>SUM(PL!E321:H321)</f>
        <v>0</v>
      </c>
      <c r="D321" s="1">
        <f>SUM(PL!I321:L321)</f>
        <v>0</v>
      </c>
      <c r="E321" s="1">
        <f>SUM(C321:D321)</f>
        <v>0</v>
      </c>
      <c r="F321" s="1">
        <f>IF(C321 + F320 &lt; 0, C321 + F320, 0)</f>
        <v>0</v>
      </c>
      <c r="G321" s="1">
        <f>IF(D321 + G320 &lt; 0, D321 + G320, 0)</f>
        <v>0</v>
      </c>
      <c r="H321" s="1">
        <f>IF(E321 + H320 &lt; 0, E321 + H320, 0)</f>
        <v>0</v>
      </c>
      <c r="I321" s="1">
        <f>IF(H321 &lt; 0, 1 + I320, 0)</f>
        <v>0</v>
      </c>
      <c r="J321" s="1">
        <f>C321-((ABS(SUM(PL!E321:H321)))*0.125)</f>
        <v>0</v>
      </c>
      <c r="K321" s="1">
        <f>D321-((ABS(SUM(PL!I321:L321)))*0.125)</f>
        <v>0</v>
      </c>
      <c r="L321" s="1">
        <f>J321 + K321</f>
        <v>0</v>
      </c>
      <c r="M321" s="1">
        <f>IF(J321 + M320 &lt; 0, J321 + M320, 0)</f>
        <v>0</v>
      </c>
      <c r="N321" s="1">
        <f>IF(K321 + N320 &lt; 0, K321 + N320, 0)</f>
        <v>0</v>
      </c>
      <c r="O321" s="1">
        <f>IF(L321 + O320 &lt; 0, L321 + O320, 0)</f>
        <v>0</v>
      </c>
      <c r="P321" s="1">
        <f>IF(O321 &lt; 0, 1 + P320, 0)</f>
        <v>0</v>
      </c>
      <c r="Q321" s="1">
        <f>IF(E321&lt;0,1,0)</f>
        <v>0</v>
      </c>
      <c r="R321" s="1">
        <f>IF(Q321=1,E321,0)</f>
        <v>0</v>
      </c>
      <c r="S321" s="1">
        <f>IF(E321&gt;0,1,0)</f>
        <v>0</v>
      </c>
      <c r="T321" s="1">
        <f>IF(S321=1,E321,0)</f>
        <v>0</v>
      </c>
      <c r="U321" s="1">
        <f>IF(R321&lt;-100000000/100,1,0)</f>
        <v>0</v>
      </c>
      <c r="V321" s="1">
        <f>IF(T321&gt;100000000/100,1,0)</f>
        <v>0</v>
      </c>
      <c r="W321" s="1">
        <f>IF(L321&lt;0,1,0)</f>
        <v>0</v>
      </c>
      <c r="X321" s="1">
        <f>IF(W321=1,L321,0)</f>
        <v>0</v>
      </c>
      <c r="Y321" s="1">
        <f>IF(L321&gt;0,1,0)</f>
        <v>0</v>
      </c>
      <c r="Z321" s="1">
        <f>IF(Y321=1,L321,0)</f>
        <v>0</v>
      </c>
      <c r="AA321" s="1">
        <f>IF(X321&lt;-100000000/100,1,0)</f>
        <v>0</v>
      </c>
      <c r="AB321" s="1">
        <f>IF(Z321&gt;100000000/100,1,0)</f>
        <v>0</v>
      </c>
    </row>
    <row r="322" spans="1:28" s="1" customFormat="1">
      <c r="A322" s="3">
        <v>45453</v>
      </c>
      <c r="B322" s="2" t="s">
        <v>12</v>
      </c>
      <c r="C322" s="1">
        <f>SUM(PL!E322:H322)</f>
        <v>0</v>
      </c>
      <c r="D322" s="1">
        <f>SUM(PL!I322:L322)</f>
        <v>0</v>
      </c>
      <c r="E322" s="1">
        <f>SUM(C322:D322)</f>
        <v>0</v>
      </c>
      <c r="F322" s="1">
        <f>IF(C322 + F321 &lt; 0, C322 + F321, 0)</f>
        <v>0</v>
      </c>
      <c r="G322" s="1">
        <f>IF(D322 + G321 &lt; 0, D322 + G321, 0)</f>
        <v>0</v>
      </c>
      <c r="H322" s="1">
        <f>IF(E322 + H321 &lt; 0, E322 + H321, 0)</f>
        <v>0</v>
      </c>
      <c r="I322" s="1">
        <f>IF(H322 &lt; 0, 1 + I321, 0)</f>
        <v>0</v>
      </c>
      <c r="J322" s="1">
        <f>C322-((ABS(SUM(PL!E322:H322)))*0.125)</f>
        <v>0</v>
      </c>
      <c r="K322" s="1">
        <f>D322-((ABS(SUM(PL!I322:L322)))*0.125)</f>
        <v>0</v>
      </c>
      <c r="L322" s="1">
        <f>J322 + K322</f>
        <v>0</v>
      </c>
      <c r="M322" s="1">
        <f>IF(J322 + M321 &lt; 0, J322 + M321, 0)</f>
        <v>0</v>
      </c>
      <c r="N322" s="1">
        <f>IF(K322 + N321 &lt; 0, K322 + N321, 0)</f>
        <v>0</v>
      </c>
      <c r="O322" s="1">
        <f>IF(L322 + O321 &lt; 0, L322 + O321, 0)</f>
        <v>0</v>
      </c>
      <c r="P322" s="1">
        <f>IF(O322 &lt; 0, 1 + P321, 0)</f>
        <v>0</v>
      </c>
      <c r="Q322" s="1">
        <f>IF(E322&lt;0,1,0)</f>
        <v>0</v>
      </c>
      <c r="R322" s="1">
        <f>IF(Q322=1,E322,0)</f>
        <v>0</v>
      </c>
      <c r="S322" s="1">
        <f>IF(E322&gt;0,1,0)</f>
        <v>0</v>
      </c>
      <c r="T322" s="1">
        <f>IF(S322=1,E322,0)</f>
        <v>0</v>
      </c>
      <c r="U322" s="1">
        <f>IF(R322&lt;-100000000/100,1,0)</f>
        <v>0</v>
      </c>
      <c r="V322" s="1">
        <f>IF(T322&gt;100000000/100,1,0)</f>
        <v>0</v>
      </c>
      <c r="W322" s="1">
        <f>IF(L322&lt;0,1,0)</f>
        <v>0</v>
      </c>
      <c r="X322" s="1">
        <f>IF(W322=1,L322,0)</f>
        <v>0</v>
      </c>
      <c r="Y322" s="1">
        <f>IF(L322&gt;0,1,0)</f>
        <v>0</v>
      </c>
      <c r="Z322" s="1">
        <f>IF(Y322=1,L322,0)</f>
        <v>0</v>
      </c>
      <c r="AA322" s="1">
        <f>IF(X322&lt;-100000000/100,1,0)</f>
        <v>0</v>
      </c>
      <c r="AB322" s="1">
        <f>IF(Z322&gt;100000000/100,1,0)</f>
        <v>0</v>
      </c>
    </row>
    <row r="323" spans="1:28" s="1" customFormat="1">
      <c r="A323" s="3">
        <v>45454</v>
      </c>
      <c r="B323" s="2" t="s">
        <v>13</v>
      </c>
      <c r="C323" s="1">
        <f>SUM(PL!E323:H323)</f>
        <v>0</v>
      </c>
      <c r="D323" s="1">
        <f>SUM(PL!I323:L323)</f>
        <v>0</v>
      </c>
      <c r="E323" s="1">
        <f>SUM(C323:D323)</f>
        <v>0</v>
      </c>
      <c r="F323" s="1">
        <f>IF(C323 + F322 &lt; 0, C323 + F322, 0)</f>
        <v>0</v>
      </c>
      <c r="G323" s="1">
        <f>IF(D323 + G322 &lt; 0, D323 + G322, 0)</f>
        <v>0</v>
      </c>
      <c r="H323" s="1">
        <f>IF(E323 + H322 &lt; 0, E323 + H322, 0)</f>
        <v>0</v>
      </c>
      <c r="I323" s="1">
        <f>IF(H323 &lt; 0, 1 + I322, 0)</f>
        <v>0</v>
      </c>
      <c r="J323" s="1">
        <f>C323-((ABS(SUM(PL!E323:H323)))*0.125)</f>
        <v>0</v>
      </c>
      <c r="K323" s="1">
        <f>D323-((ABS(SUM(PL!I323:L323)))*0.125)</f>
        <v>0</v>
      </c>
      <c r="L323" s="1">
        <f>J323 + K323</f>
        <v>0</v>
      </c>
      <c r="M323" s="1">
        <f>IF(J323 + M322 &lt; 0, J323 + M322, 0)</f>
        <v>0</v>
      </c>
      <c r="N323" s="1">
        <f>IF(K323 + N322 &lt; 0, K323 + N322, 0)</f>
        <v>0</v>
      </c>
      <c r="O323" s="1">
        <f>IF(L323 + O322 &lt; 0, L323 + O322, 0)</f>
        <v>0</v>
      </c>
      <c r="P323" s="1">
        <f>IF(O323 &lt; 0, 1 + P322, 0)</f>
        <v>0</v>
      </c>
      <c r="Q323" s="1">
        <f>IF(E323&lt;0,1,0)</f>
        <v>0</v>
      </c>
      <c r="R323" s="1">
        <f>IF(Q323=1,E323,0)</f>
        <v>0</v>
      </c>
      <c r="S323" s="1">
        <f>IF(E323&gt;0,1,0)</f>
        <v>0</v>
      </c>
      <c r="T323" s="1">
        <f>IF(S323=1,E323,0)</f>
        <v>0</v>
      </c>
      <c r="U323" s="1">
        <f>IF(R323&lt;-100000000/100,1,0)</f>
        <v>0</v>
      </c>
      <c r="V323" s="1">
        <f>IF(T323&gt;100000000/100,1,0)</f>
        <v>0</v>
      </c>
      <c r="W323" s="1">
        <f>IF(L323&lt;0,1,0)</f>
        <v>0</v>
      </c>
      <c r="X323" s="1">
        <f>IF(W323=1,L323,0)</f>
        <v>0</v>
      </c>
      <c r="Y323" s="1">
        <f>IF(L323&gt;0,1,0)</f>
        <v>0</v>
      </c>
      <c r="Z323" s="1">
        <f>IF(Y323=1,L323,0)</f>
        <v>0</v>
      </c>
      <c r="AA323" s="1">
        <f>IF(X323&lt;-100000000/100,1,0)</f>
        <v>0</v>
      </c>
      <c r="AB323" s="1">
        <f>IF(Z323&gt;100000000/100,1,0)</f>
        <v>0</v>
      </c>
    </row>
    <row r="324" spans="1:28" s="1" customFormat="1">
      <c r="A324" s="3">
        <v>45455</v>
      </c>
      <c r="B324" s="2" t="s">
        <v>14</v>
      </c>
      <c r="C324" s="1">
        <f>SUM(PL!E324:H324)</f>
        <v>0</v>
      </c>
      <c r="D324" s="1">
        <f>SUM(PL!I324:L324)</f>
        <v>0</v>
      </c>
      <c r="E324" s="1">
        <f>SUM(C324:D324)</f>
        <v>0</v>
      </c>
      <c r="F324" s="1">
        <f>IF(C324 + F323 &lt; 0, C324 + F323, 0)</f>
        <v>0</v>
      </c>
      <c r="G324" s="1">
        <f>IF(D324 + G323 &lt; 0, D324 + G323, 0)</f>
        <v>0</v>
      </c>
      <c r="H324" s="1">
        <f>IF(E324 + H323 &lt; 0, E324 + H323, 0)</f>
        <v>0</v>
      </c>
      <c r="I324" s="1">
        <f>IF(H324 &lt; 0, 1 + I323, 0)</f>
        <v>0</v>
      </c>
      <c r="J324" s="1">
        <f>C324-((ABS(SUM(PL!E324:H324)))*0.125)</f>
        <v>0</v>
      </c>
      <c r="K324" s="1">
        <f>D324-((ABS(SUM(PL!I324:L324)))*0.125)</f>
        <v>0</v>
      </c>
      <c r="L324" s="1">
        <f>J324 + K324</f>
        <v>0</v>
      </c>
      <c r="M324" s="1">
        <f>IF(J324 + M323 &lt; 0, J324 + M323, 0)</f>
        <v>0</v>
      </c>
      <c r="N324" s="1">
        <f>IF(K324 + N323 &lt; 0, K324 + N323, 0)</f>
        <v>0</v>
      </c>
      <c r="O324" s="1">
        <f>IF(L324 + O323 &lt; 0, L324 + O323, 0)</f>
        <v>0</v>
      </c>
      <c r="P324" s="1">
        <f>IF(O324 &lt; 0, 1 + P323, 0)</f>
        <v>0</v>
      </c>
      <c r="Q324" s="1">
        <f>IF(E324&lt;0,1,0)</f>
        <v>0</v>
      </c>
      <c r="R324" s="1">
        <f>IF(Q324=1,E324,0)</f>
        <v>0</v>
      </c>
      <c r="S324" s="1">
        <f>IF(E324&gt;0,1,0)</f>
        <v>0</v>
      </c>
      <c r="T324" s="1">
        <f>IF(S324=1,E324,0)</f>
        <v>0</v>
      </c>
      <c r="U324" s="1">
        <f>IF(R324&lt;-100000000/100,1,0)</f>
        <v>0</v>
      </c>
      <c r="V324" s="1">
        <f>IF(T324&gt;100000000/100,1,0)</f>
        <v>0</v>
      </c>
      <c r="W324" s="1">
        <f>IF(L324&lt;0,1,0)</f>
        <v>0</v>
      </c>
      <c r="X324" s="1">
        <f>IF(W324=1,L324,0)</f>
        <v>0</v>
      </c>
      <c r="Y324" s="1">
        <f>IF(L324&gt;0,1,0)</f>
        <v>0</v>
      </c>
      <c r="Z324" s="1">
        <f>IF(Y324=1,L324,0)</f>
        <v>0</v>
      </c>
      <c r="AA324" s="1">
        <f>IF(X324&lt;-100000000/100,1,0)</f>
        <v>0</v>
      </c>
      <c r="AB324" s="1">
        <f>IF(Z324&gt;100000000/100,1,0)</f>
        <v>0</v>
      </c>
    </row>
    <row r="325" spans="1:28" s="1" customFormat="1">
      <c r="A325" s="3">
        <v>45456</v>
      </c>
      <c r="B325" s="2" t="s">
        <v>16</v>
      </c>
      <c r="C325" s="1">
        <f>SUM(PL!E325:H325)</f>
        <v>0</v>
      </c>
      <c r="D325" s="1">
        <f>SUM(PL!I325:L325)</f>
        <v>0</v>
      </c>
      <c r="E325" s="1">
        <f>SUM(C325:D325)</f>
        <v>0</v>
      </c>
      <c r="F325" s="1">
        <f>IF(C325 + F324 &lt; 0, C325 + F324, 0)</f>
        <v>0</v>
      </c>
      <c r="G325" s="1">
        <f>IF(D325 + G324 &lt; 0, D325 + G324, 0)</f>
        <v>0</v>
      </c>
      <c r="H325" s="1">
        <f>IF(E325 + H324 &lt; 0, E325 + H324, 0)</f>
        <v>0</v>
      </c>
      <c r="I325" s="1">
        <f>IF(H325 &lt; 0, 1 + I324, 0)</f>
        <v>0</v>
      </c>
      <c r="J325" s="1">
        <f>C325-((ABS(SUM(PL!E325:H325)))*0.125)</f>
        <v>0</v>
      </c>
      <c r="K325" s="1">
        <f>D325-((ABS(SUM(PL!I325:L325)))*0.125)</f>
        <v>0</v>
      </c>
      <c r="L325" s="1">
        <f>J325 + K325</f>
        <v>0</v>
      </c>
      <c r="M325" s="1">
        <f>IF(J325 + M324 &lt; 0, J325 + M324, 0)</f>
        <v>0</v>
      </c>
      <c r="N325" s="1">
        <f>IF(K325 + N324 &lt; 0, K325 + N324, 0)</f>
        <v>0</v>
      </c>
      <c r="O325" s="1">
        <f>IF(L325 + O324 &lt; 0, L325 + O324, 0)</f>
        <v>0</v>
      </c>
      <c r="P325" s="1">
        <f>IF(O325 &lt; 0, 1 + P324, 0)</f>
        <v>0</v>
      </c>
      <c r="Q325" s="1">
        <f>IF(E325&lt;0,1,0)</f>
        <v>0</v>
      </c>
      <c r="R325" s="1">
        <f>IF(Q325=1,E325,0)</f>
        <v>0</v>
      </c>
      <c r="S325" s="1">
        <f>IF(E325&gt;0,1,0)</f>
        <v>0</v>
      </c>
      <c r="T325" s="1">
        <f>IF(S325=1,E325,0)</f>
        <v>0</v>
      </c>
      <c r="U325" s="1">
        <f>IF(R325&lt;-100000000/100,1,0)</f>
        <v>0</v>
      </c>
      <c r="V325" s="1">
        <f>IF(T325&gt;100000000/100,1,0)</f>
        <v>0</v>
      </c>
      <c r="W325" s="1">
        <f>IF(L325&lt;0,1,0)</f>
        <v>0</v>
      </c>
      <c r="X325" s="1">
        <f>IF(W325=1,L325,0)</f>
        <v>0</v>
      </c>
      <c r="Y325" s="1">
        <f>IF(L325&gt;0,1,0)</f>
        <v>0</v>
      </c>
      <c r="Z325" s="1">
        <f>IF(Y325=1,L325,0)</f>
        <v>0</v>
      </c>
      <c r="AA325" s="1">
        <f>IF(X325&lt;-100000000/100,1,0)</f>
        <v>0</v>
      </c>
      <c r="AB325" s="1">
        <f>IF(Z325&gt;100000000/100,1,0)</f>
        <v>0</v>
      </c>
    </row>
    <row r="326" spans="1:28" s="1" customFormat="1">
      <c r="A326" s="3">
        <v>45457</v>
      </c>
      <c r="B326" s="2" t="s">
        <v>15</v>
      </c>
      <c r="C326" s="1">
        <f>SUM(PL!E326:H326)</f>
        <v>0</v>
      </c>
      <c r="D326" s="1">
        <f>SUM(PL!I326:L326)</f>
        <v>0</v>
      </c>
      <c r="E326" s="1">
        <f>SUM(C326:D326)</f>
        <v>0</v>
      </c>
      <c r="F326" s="1">
        <f>IF(C326 + F325 &lt; 0, C326 + F325, 0)</f>
        <v>0</v>
      </c>
      <c r="G326" s="1">
        <f>IF(D326 + G325 &lt; 0, D326 + G325, 0)</f>
        <v>0</v>
      </c>
      <c r="H326" s="1">
        <f>IF(E326 + H325 &lt; 0, E326 + H325, 0)</f>
        <v>0</v>
      </c>
      <c r="I326" s="1">
        <f>IF(H326 &lt; 0, 1 + I325, 0)</f>
        <v>0</v>
      </c>
      <c r="J326" s="1">
        <f>C326-((ABS(SUM(PL!E326:H326)))*0.125)</f>
        <v>0</v>
      </c>
      <c r="K326" s="1">
        <f>D326-((ABS(SUM(PL!I326:L326)))*0.125)</f>
        <v>0</v>
      </c>
      <c r="L326" s="1">
        <f>J326 + K326</f>
        <v>0</v>
      </c>
      <c r="M326" s="1">
        <f>IF(J326 + M325 &lt; 0, J326 + M325, 0)</f>
        <v>0</v>
      </c>
      <c r="N326" s="1">
        <f>IF(K326 + N325 &lt; 0, K326 + N325, 0)</f>
        <v>0</v>
      </c>
      <c r="O326" s="1">
        <f>IF(L326 + O325 &lt; 0, L326 + O325, 0)</f>
        <v>0</v>
      </c>
      <c r="P326" s="1">
        <f>IF(O326 &lt; 0, 1 + P325, 0)</f>
        <v>0</v>
      </c>
      <c r="Q326" s="1">
        <f>IF(E326&lt;0,1,0)</f>
        <v>0</v>
      </c>
      <c r="R326" s="1">
        <f>IF(Q326=1,E326,0)</f>
        <v>0</v>
      </c>
      <c r="S326" s="1">
        <f>IF(E326&gt;0,1,0)</f>
        <v>0</v>
      </c>
      <c r="T326" s="1">
        <f>IF(S326=1,E326,0)</f>
        <v>0</v>
      </c>
      <c r="U326" s="1">
        <f>IF(R326&lt;-100000000/100,1,0)</f>
        <v>0</v>
      </c>
      <c r="V326" s="1">
        <f>IF(T326&gt;100000000/100,1,0)</f>
        <v>0</v>
      </c>
      <c r="W326" s="1">
        <f>IF(L326&lt;0,1,0)</f>
        <v>0</v>
      </c>
      <c r="X326" s="1">
        <f>IF(W326=1,L326,0)</f>
        <v>0</v>
      </c>
      <c r="Y326" s="1">
        <f>IF(L326&gt;0,1,0)</f>
        <v>0</v>
      </c>
      <c r="Z326" s="1">
        <f>IF(Y326=1,L326,0)</f>
        <v>0</v>
      </c>
      <c r="AA326" s="1">
        <f>IF(X326&lt;-100000000/100,1,0)</f>
        <v>0</v>
      </c>
      <c r="AB326" s="1">
        <f>IF(Z326&gt;100000000/100,1,0)</f>
        <v>0</v>
      </c>
    </row>
    <row r="327" spans="1:28" s="1" customFormat="1">
      <c r="A327" s="3">
        <v>45460</v>
      </c>
      <c r="B327" s="2" t="s">
        <v>12</v>
      </c>
      <c r="C327" s="1">
        <f>SUM(PL!E327:H327)</f>
        <v>0</v>
      </c>
      <c r="D327" s="1">
        <f>SUM(PL!I327:L327)</f>
        <v>0</v>
      </c>
      <c r="E327" s="1">
        <f>SUM(C327:D327)</f>
        <v>0</v>
      </c>
      <c r="F327" s="1">
        <f>IF(C327 + F326 &lt; 0, C327 + F326, 0)</f>
        <v>0</v>
      </c>
      <c r="G327" s="1">
        <f>IF(D327 + G326 &lt; 0, D327 + G326, 0)</f>
        <v>0</v>
      </c>
      <c r="H327" s="1">
        <f>IF(E327 + H326 &lt; 0, E327 + H326, 0)</f>
        <v>0</v>
      </c>
      <c r="I327" s="1">
        <f>IF(H327 &lt; 0, 1 + I326, 0)</f>
        <v>0</v>
      </c>
      <c r="J327" s="1">
        <f>C327-((ABS(SUM(PL!E327:H327)))*0.125)</f>
        <v>0</v>
      </c>
      <c r="K327" s="1">
        <f>D327-((ABS(SUM(PL!I327:L327)))*0.125)</f>
        <v>0</v>
      </c>
      <c r="L327" s="1">
        <f>J327 + K327</f>
        <v>0</v>
      </c>
      <c r="M327" s="1">
        <f>IF(J327 + M326 &lt; 0, J327 + M326, 0)</f>
        <v>0</v>
      </c>
      <c r="N327" s="1">
        <f>IF(K327 + N326 &lt; 0, K327 + N326, 0)</f>
        <v>0</v>
      </c>
      <c r="O327" s="1">
        <f>IF(L327 + O326 &lt; 0, L327 + O326, 0)</f>
        <v>0</v>
      </c>
      <c r="P327" s="1">
        <f>IF(O327 &lt; 0, 1 + P326, 0)</f>
        <v>0</v>
      </c>
      <c r="Q327" s="1">
        <f>IF(E327&lt;0,1,0)</f>
        <v>0</v>
      </c>
      <c r="R327" s="1">
        <f>IF(Q327=1,E327,0)</f>
        <v>0</v>
      </c>
      <c r="S327" s="1">
        <f>IF(E327&gt;0,1,0)</f>
        <v>0</v>
      </c>
      <c r="T327" s="1">
        <f>IF(S327=1,E327,0)</f>
        <v>0</v>
      </c>
      <c r="U327" s="1">
        <f>IF(R327&lt;-100000000/100,1,0)</f>
        <v>0</v>
      </c>
      <c r="V327" s="1">
        <f>IF(T327&gt;100000000/100,1,0)</f>
        <v>0</v>
      </c>
      <c r="W327" s="1">
        <f>IF(L327&lt;0,1,0)</f>
        <v>0</v>
      </c>
      <c r="X327" s="1">
        <f>IF(W327=1,L327,0)</f>
        <v>0</v>
      </c>
      <c r="Y327" s="1">
        <f>IF(L327&gt;0,1,0)</f>
        <v>0</v>
      </c>
      <c r="Z327" s="1">
        <f>IF(Y327=1,L327,0)</f>
        <v>0</v>
      </c>
      <c r="AA327" s="1">
        <f>IF(X327&lt;-100000000/100,1,0)</f>
        <v>0</v>
      </c>
      <c r="AB327" s="1">
        <f>IF(Z327&gt;100000000/100,1,0)</f>
        <v>0</v>
      </c>
    </row>
    <row r="328" spans="1:28" s="1" customFormat="1">
      <c r="A328" s="3">
        <v>45461</v>
      </c>
      <c r="B328" s="2" t="s">
        <v>13</v>
      </c>
      <c r="C328" s="1">
        <f>SUM(PL!E328:H328)</f>
        <v>0</v>
      </c>
      <c r="D328" s="1">
        <f>SUM(PL!I328:L328)</f>
        <v>0</v>
      </c>
      <c r="E328" s="1">
        <f>SUM(C328:D328)</f>
        <v>0</v>
      </c>
      <c r="F328" s="1">
        <f>IF(C328 + F327 &lt; 0, C328 + F327, 0)</f>
        <v>0</v>
      </c>
      <c r="G328" s="1">
        <f>IF(D328 + G327 &lt; 0, D328 + G327, 0)</f>
        <v>0</v>
      </c>
      <c r="H328" s="1">
        <f>IF(E328 + H327 &lt; 0, E328 + H327, 0)</f>
        <v>0</v>
      </c>
      <c r="I328" s="1">
        <f>IF(H328 &lt; 0, 1 + I327, 0)</f>
        <v>0</v>
      </c>
      <c r="J328" s="1">
        <f>C328-((ABS(SUM(PL!E328:H328)))*0.125)</f>
        <v>0</v>
      </c>
      <c r="K328" s="1">
        <f>D328-((ABS(SUM(PL!I328:L328)))*0.125)</f>
        <v>0</v>
      </c>
      <c r="L328" s="1">
        <f>J328 + K328</f>
        <v>0</v>
      </c>
      <c r="M328" s="1">
        <f>IF(J328 + M327 &lt; 0, J328 + M327, 0)</f>
        <v>0</v>
      </c>
      <c r="N328" s="1">
        <f>IF(K328 + N327 &lt; 0, K328 + N327, 0)</f>
        <v>0</v>
      </c>
      <c r="O328" s="1">
        <f>IF(L328 + O327 &lt; 0, L328 + O327, 0)</f>
        <v>0</v>
      </c>
      <c r="P328" s="1">
        <f>IF(O328 &lt; 0, 1 + P327, 0)</f>
        <v>0</v>
      </c>
      <c r="Q328" s="1">
        <f>IF(E328&lt;0,1,0)</f>
        <v>0</v>
      </c>
      <c r="R328" s="1">
        <f>IF(Q328=1,E328,0)</f>
        <v>0</v>
      </c>
      <c r="S328" s="1">
        <f>IF(E328&gt;0,1,0)</f>
        <v>0</v>
      </c>
      <c r="T328" s="1">
        <f>IF(S328=1,E328,0)</f>
        <v>0</v>
      </c>
      <c r="U328" s="1">
        <f>IF(R328&lt;-100000000/100,1,0)</f>
        <v>0</v>
      </c>
      <c r="V328" s="1">
        <f>IF(T328&gt;100000000/100,1,0)</f>
        <v>0</v>
      </c>
      <c r="W328" s="1">
        <f>IF(L328&lt;0,1,0)</f>
        <v>0</v>
      </c>
      <c r="X328" s="1">
        <f>IF(W328=1,L328,0)</f>
        <v>0</v>
      </c>
      <c r="Y328" s="1">
        <f>IF(L328&gt;0,1,0)</f>
        <v>0</v>
      </c>
      <c r="Z328" s="1">
        <f>IF(Y328=1,L328,0)</f>
        <v>0</v>
      </c>
      <c r="AA328" s="1">
        <f>IF(X328&lt;-100000000/100,1,0)</f>
        <v>0</v>
      </c>
      <c r="AB328" s="1">
        <f>IF(Z328&gt;100000000/100,1,0)</f>
        <v>0</v>
      </c>
    </row>
    <row r="329" spans="1:28" s="1" customFormat="1">
      <c r="A329" s="3">
        <v>45462</v>
      </c>
      <c r="B329" s="2" t="s">
        <v>14</v>
      </c>
      <c r="C329" s="1">
        <f>SUM(PL!E329:H329)</f>
        <v>0</v>
      </c>
      <c r="D329" s="1">
        <f>SUM(PL!I329:L329)</f>
        <v>0</v>
      </c>
      <c r="E329" s="1">
        <f>SUM(C329:D329)</f>
        <v>0</v>
      </c>
      <c r="F329" s="1">
        <f>IF(C329 + F328 &lt; 0, C329 + F328, 0)</f>
        <v>0</v>
      </c>
      <c r="G329" s="1">
        <f>IF(D329 + G328 &lt; 0, D329 + G328, 0)</f>
        <v>0</v>
      </c>
      <c r="H329" s="1">
        <f>IF(E329 + H328 &lt; 0, E329 + H328, 0)</f>
        <v>0</v>
      </c>
      <c r="I329" s="1">
        <f>IF(H329 &lt; 0, 1 + I328, 0)</f>
        <v>0</v>
      </c>
      <c r="J329" s="1">
        <f>C329-((ABS(SUM(PL!E329:H329)))*0.125)</f>
        <v>0</v>
      </c>
      <c r="K329" s="1">
        <f>D329-((ABS(SUM(PL!I329:L329)))*0.125)</f>
        <v>0</v>
      </c>
      <c r="L329" s="1">
        <f>J329 + K329</f>
        <v>0</v>
      </c>
      <c r="M329" s="1">
        <f>IF(J329 + M328 &lt; 0, J329 + M328, 0)</f>
        <v>0</v>
      </c>
      <c r="N329" s="1">
        <f>IF(K329 + N328 &lt; 0, K329 + N328, 0)</f>
        <v>0</v>
      </c>
      <c r="O329" s="1">
        <f>IF(L329 + O328 &lt; 0, L329 + O328, 0)</f>
        <v>0</v>
      </c>
      <c r="P329" s="1">
        <f>IF(O329 &lt; 0, 1 + P328, 0)</f>
        <v>0</v>
      </c>
      <c r="Q329" s="1">
        <f>IF(E329&lt;0,1,0)</f>
        <v>0</v>
      </c>
      <c r="R329" s="1">
        <f>IF(Q329=1,E329,0)</f>
        <v>0</v>
      </c>
      <c r="S329" s="1">
        <f>IF(E329&gt;0,1,0)</f>
        <v>0</v>
      </c>
      <c r="T329" s="1">
        <f>IF(S329=1,E329,0)</f>
        <v>0</v>
      </c>
      <c r="U329" s="1">
        <f>IF(R329&lt;-100000000/100,1,0)</f>
        <v>0</v>
      </c>
      <c r="V329" s="1">
        <f>IF(T329&gt;100000000/100,1,0)</f>
        <v>0</v>
      </c>
      <c r="W329" s="1">
        <f>IF(L329&lt;0,1,0)</f>
        <v>0</v>
      </c>
      <c r="X329" s="1">
        <f>IF(W329=1,L329,0)</f>
        <v>0</v>
      </c>
      <c r="Y329" s="1">
        <f>IF(L329&gt;0,1,0)</f>
        <v>0</v>
      </c>
      <c r="Z329" s="1">
        <f>IF(Y329=1,L329,0)</f>
        <v>0</v>
      </c>
      <c r="AA329" s="1">
        <f>IF(X329&lt;-100000000/100,1,0)</f>
        <v>0</v>
      </c>
      <c r="AB329" s="1">
        <f>IF(Z329&gt;100000000/100,1,0)</f>
        <v>0</v>
      </c>
    </row>
    <row r="330" spans="1:28" s="1" customFormat="1">
      <c r="A330" s="3">
        <v>45463</v>
      </c>
      <c r="B330" s="2" t="s">
        <v>16</v>
      </c>
      <c r="C330" s="1">
        <f>SUM(PL!E330:H330)</f>
        <v>0</v>
      </c>
      <c r="D330" s="1">
        <f>SUM(PL!I330:L330)</f>
        <v>0</v>
      </c>
      <c r="E330" s="1">
        <f>SUM(C330:D330)</f>
        <v>0</v>
      </c>
      <c r="F330" s="1">
        <f>IF(C330 + F329 &lt; 0, C330 + F329, 0)</f>
        <v>0</v>
      </c>
      <c r="G330" s="1">
        <f>IF(D330 + G329 &lt; 0, D330 + G329, 0)</f>
        <v>0</v>
      </c>
      <c r="H330" s="1">
        <f>IF(E330 + H329 &lt; 0, E330 + H329, 0)</f>
        <v>0</v>
      </c>
      <c r="I330" s="1">
        <f>IF(H330 &lt; 0, 1 + I329, 0)</f>
        <v>0</v>
      </c>
      <c r="J330" s="1">
        <f>C330-((ABS(SUM(PL!E330:H330)))*0.125)</f>
        <v>0</v>
      </c>
      <c r="K330" s="1">
        <f>D330-((ABS(SUM(PL!I330:L330)))*0.125)</f>
        <v>0</v>
      </c>
      <c r="L330" s="1">
        <f>J330 + K330</f>
        <v>0</v>
      </c>
      <c r="M330" s="1">
        <f>IF(J330 + M329 &lt; 0, J330 + M329, 0)</f>
        <v>0</v>
      </c>
      <c r="N330" s="1">
        <f>IF(K330 + N329 &lt; 0, K330 + N329, 0)</f>
        <v>0</v>
      </c>
      <c r="O330" s="1">
        <f>IF(L330 + O329 &lt; 0, L330 + O329, 0)</f>
        <v>0</v>
      </c>
      <c r="P330" s="1">
        <f>IF(O330 &lt; 0, 1 + P329, 0)</f>
        <v>0</v>
      </c>
      <c r="Q330" s="1">
        <f>IF(E330&lt;0,1,0)</f>
        <v>0</v>
      </c>
      <c r="R330" s="1">
        <f>IF(Q330=1,E330,0)</f>
        <v>0</v>
      </c>
      <c r="S330" s="1">
        <f>IF(E330&gt;0,1,0)</f>
        <v>0</v>
      </c>
      <c r="T330" s="1">
        <f>IF(S330=1,E330,0)</f>
        <v>0</v>
      </c>
      <c r="U330" s="1">
        <f>IF(R330&lt;-100000000/100,1,0)</f>
        <v>0</v>
      </c>
      <c r="V330" s="1">
        <f>IF(T330&gt;100000000/100,1,0)</f>
        <v>0</v>
      </c>
      <c r="W330" s="1">
        <f>IF(L330&lt;0,1,0)</f>
        <v>0</v>
      </c>
      <c r="X330" s="1">
        <f>IF(W330=1,L330,0)</f>
        <v>0</v>
      </c>
      <c r="Y330" s="1">
        <f>IF(L330&gt;0,1,0)</f>
        <v>0</v>
      </c>
      <c r="Z330" s="1">
        <f>IF(Y330=1,L330,0)</f>
        <v>0</v>
      </c>
      <c r="AA330" s="1">
        <f>IF(X330&lt;-100000000/100,1,0)</f>
        <v>0</v>
      </c>
      <c r="AB330" s="1">
        <f>IF(Z330&gt;100000000/100,1,0)</f>
        <v>0</v>
      </c>
    </row>
    <row r="331" spans="1:28" s="1" customFormat="1">
      <c r="A331" s="3">
        <v>45464</v>
      </c>
      <c r="B331" s="2" t="s">
        <v>15</v>
      </c>
      <c r="C331" s="1">
        <f>SUM(PL!E331:H331)</f>
        <v>0</v>
      </c>
      <c r="D331" s="1">
        <f>SUM(PL!I331:L331)</f>
        <v>0</v>
      </c>
      <c r="E331" s="1">
        <f>SUM(C331:D331)</f>
        <v>0</v>
      </c>
      <c r="F331" s="1">
        <f>IF(C331 + F330 &lt; 0, C331 + F330, 0)</f>
        <v>0</v>
      </c>
      <c r="G331" s="1">
        <f>IF(D331 + G330 &lt; 0, D331 + G330, 0)</f>
        <v>0</v>
      </c>
      <c r="H331" s="1">
        <f>IF(E331 + H330 &lt; 0, E331 + H330, 0)</f>
        <v>0</v>
      </c>
      <c r="I331" s="1">
        <f>IF(H331 &lt; 0, 1 + I330, 0)</f>
        <v>0</v>
      </c>
      <c r="J331" s="1">
        <f>C331-((ABS(SUM(PL!E331:H331)))*0.125)</f>
        <v>0</v>
      </c>
      <c r="K331" s="1">
        <f>D331-((ABS(SUM(PL!I331:L331)))*0.125)</f>
        <v>0</v>
      </c>
      <c r="L331" s="1">
        <f>J331 + K331</f>
        <v>0</v>
      </c>
      <c r="M331" s="1">
        <f>IF(J331 + M330 &lt; 0, J331 + M330, 0)</f>
        <v>0</v>
      </c>
      <c r="N331" s="1">
        <f>IF(K331 + N330 &lt; 0, K331 + N330, 0)</f>
        <v>0</v>
      </c>
      <c r="O331" s="1">
        <f>IF(L331 + O330 &lt; 0, L331 + O330, 0)</f>
        <v>0</v>
      </c>
      <c r="P331" s="1">
        <f>IF(O331 &lt; 0, 1 + P330, 0)</f>
        <v>0</v>
      </c>
      <c r="Q331" s="1">
        <f>IF(E331&lt;0,1,0)</f>
        <v>0</v>
      </c>
      <c r="R331" s="1">
        <f>IF(Q331=1,E331,0)</f>
        <v>0</v>
      </c>
      <c r="S331" s="1">
        <f>IF(E331&gt;0,1,0)</f>
        <v>0</v>
      </c>
      <c r="T331" s="1">
        <f>IF(S331=1,E331,0)</f>
        <v>0</v>
      </c>
      <c r="U331" s="1">
        <f>IF(R331&lt;-100000000/100,1,0)</f>
        <v>0</v>
      </c>
      <c r="V331" s="1">
        <f>IF(T331&gt;100000000/100,1,0)</f>
        <v>0</v>
      </c>
      <c r="W331" s="1">
        <f>IF(L331&lt;0,1,0)</f>
        <v>0</v>
      </c>
      <c r="X331" s="1">
        <f>IF(W331=1,L331,0)</f>
        <v>0</v>
      </c>
      <c r="Y331" s="1">
        <f>IF(L331&gt;0,1,0)</f>
        <v>0</v>
      </c>
      <c r="Z331" s="1">
        <f>IF(Y331=1,L331,0)</f>
        <v>0</v>
      </c>
      <c r="AA331" s="1">
        <f>IF(X331&lt;-100000000/100,1,0)</f>
        <v>0</v>
      </c>
      <c r="AB331" s="1">
        <f>IF(Z331&gt;100000000/100,1,0)</f>
        <v>0</v>
      </c>
    </row>
    <row r="332" spans="1:28" s="1" customFormat="1">
      <c r="A332" s="3">
        <v>45467</v>
      </c>
      <c r="B332" s="2" t="s">
        <v>12</v>
      </c>
      <c r="C332" s="1">
        <f>SUM(PL!E332:H332)</f>
        <v>0</v>
      </c>
      <c r="D332" s="1">
        <f>SUM(PL!I332:L332)</f>
        <v>0</v>
      </c>
      <c r="E332" s="1">
        <f>SUM(C332:D332)</f>
        <v>0</v>
      </c>
      <c r="F332" s="1">
        <f>IF(C332 + F331 &lt; 0, C332 + F331, 0)</f>
        <v>0</v>
      </c>
      <c r="G332" s="1">
        <f>IF(D332 + G331 &lt; 0, D332 + G331, 0)</f>
        <v>0</v>
      </c>
      <c r="H332" s="1">
        <f>IF(E332 + H331 &lt; 0, E332 + H331, 0)</f>
        <v>0</v>
      </c>
      <c r="I332" s="1">
        <f>IF(H332 &lt; 0, 1 + I331, 0)</f>
        <v>0</v>
      </c>
      <c r="J332" s="1">
        <f>C332-((ABS(SUM(PL!E332:H332)))*0.125)</f>
        <v>0</v>
      </c>
      <c r="K332" s="1">
        <f>D332-((ABS(SUM(PL!I332:L332)))*0.125)</f>
        <v>0</v>
      </c>
      <c r="L332" s="1">
        <f>J332 + K332</f>
        <v>0</v>
      </c>
      <c r="M332" s="1">
        <f>IF(J332 + M331 &lt; 0, J332 + M331, 0)</f>
        <v>0</v>
      </c>
      <c r="N332" s="1">
        <f>IF(K332 + N331 &lt; 0, K332 + N331, 0)</f>
        <v>0</v>
      </c>
      <c r="O332" s="1">
        <f>IF(L332 + O331 &lt; 0, L332 + O331, 0)</f>
        <v>0</v>
      </c>
      <c r="P332" s="1">
        <f>IF(O332 &lt; 0, 1 + P331, 0)</f>
        <v>0</v>
      </c>
      <c r="Q332" s="1">
        <f>IF(E332&lt;0,1,0)</f>
        <v>0</v>
      </c>
      <c r="R332" s="1">
        <f>IF(Q332=1,E332,0)</f>
        <v>0</v>
      </c>
      <c r="S332" s="1">
        <f>IF(E332&gt;0,1,0)</f>
        <v>0</v>
      </c>
      <c r="T332" s="1">
        <f>IF(S332=1,E332,0)</f>
        <v>0</v>
      </c>
      <c r="U332" s="1">
        <f>IF(R332&lt;-100000000/100,1,0)</f>
        <v>0</v>
      </c>
      <c r="V332" s="1">
        <f>IF(T332&gt;100000000/100,1,0)</f>
        <v>0</v>
      </c>
      <c r="W332" s="1">
        <f>IF(L332&lt;0,1,0)</f>
        <v>0</v>
      </c>
      <c r="X332" s="1">
        <f>IF(W332=1,L332,0)</f>
        <v>0</v>
      </c>
      <c r="Y332" s="1">
        <f>IF(L332&gt;0,1,0)</f>
        <v>0</v>
      </c>
      <c r="Z332" s="1">
        <f>IF(Y332=1,L332,0)</f>
        <v>0</v>
      </c>
      <c r="AA332" s="1">
        <f>IF(X332&lt;-100000000/100,1,0)</f>
        <v>0</v>
      </c>
      <c r="AB332" s="1">
        <f>IF(Z332&gt;100000000/100,1,0)</f>
        <v>0</v>
      </c>
    </row>
    <row r="333" spans="1:28" s="1" customFormat="1">
      <c r="A333" s="3">
        <v>45468</v>
      </c>
      <c r="B333" s="2" t="s">
        <v>13</v>
      </c>
      <c r="C333" s="1">
        <f>SUM(PL!E333:H333)</f>
        <v>0</v>
      </c>
      <c r="D333" s="1">
        <f>SUM(PL!I333:L333)</f>
        <v>0</v>
      </c>
      <c r="E333" s="1">
        <f>SUM(C333:D333)</f>
        <v>0</v>
      </c>
      <c r="F333" s="1">
        <f>IF(C333 + F332 &lt; 0, C333 + F332, 0)</f>
        <v>0</v>
      </c>
      <c r="G333" s="1">
        <f>IF(D333 + G332 &lt; 0, D333 + G332, 0)</f>
        <v>0</v>
      </c>
      <c r="H333" s="1">
        <f>IF(E333 + H332 &lt; 0, E333 + H332, 0)</f>
        <v>0</v>
      </c>
      <c r="I333" s="1">
        <f>IF(H333 &lt; 0, 1 + I332, 0)</f>
        <v>0</v>
      </c>
      <c r="J333" s="1">
        <f>C333-((ABS(SUM(PL!E333:H333)))*0.125)</f>
        <v>0</v>
      </c>
      <c r="K333" s="1">
        <f>D333-((ABS(SUM(PL!I333:L333)))*0.125)</f>
        <v>0</v>
      </c>
      <c r="L333" s="1">
        <f>J333 + K333</f>
        <v>0</v>
      </c>
      <c r="M333" s="1">
        <f>IF(J333 + M332 &lt; 0, J333 + M332, 0)</f>
        <v>0</v>
      </c>
      <c r="N333" s="1">
        <f>IF(K333 + N332 &lt; 0, K333 + N332, 0)</f>
        <v>0</v>
      </c>
      <c r="O333" s="1">
        <f>IF(L333 + O332 &lt; 0, L333 + O332, 0)</f>
        <v>0</v>
      </c>
      <c r="P333" s="1">
        <f>IF(O333 &lt; 0, 1 + P332, 0)</f>
        <v>0</v>
      </c>
      <c r="Q333" s="1">
        <f>IF(E333&lt;0,1,0)</f>
        <v>0</v>
      </c>
      <c r="R333" s="1">
        <f>IF(Q333=1,E333,0)</f>
        <v>0</v>
      </c>
      <c r="S333" s="1">
        <f>IF(E333&gt;0,1,0)</f>
        <v>0</v>
      </c>
      <c r="T333" s="1">
        <f>IF(S333=1,E333,0)</f>
        <v>0</v>
      </c>
      <c r="U333" s="1">
        <f>IF(R333&lt;-100000000/100,1,0)</f>
        <v>0</v>
      </c>
      <c r="V333" s="1">
        <f>IF(T333&gt;100000000/100,1,0)</f>
        <v>0</v>
      </c>
      <c r="W333" s="1">
        <f>IF(L333&lt;0,1,0)</f>
        <v>0</v>
      </c>
      <c r="X333" s="1">
        <f>IF(W333=1,L333,0)</f>
        <v>0</v>
      </c>
      <c r="Y333" s="1">
        <f>IF(L333&gt;0,1,0)</f>
        <v>0</v>
      </c>
      <c r="Z333" s="1">
        <f>IF(Y333=1,L333,0)</f>
        <v>0</v>
      </c>
      <c r="AA333" s="1">
        <f>IF(X333&lt;-100000000/100,1,0)</f>
        <v>0</v>
      </c>
      <c r="AB333" s="1">
        <f>IF(Z333&gt;100000000/100,1,0)</f>
        <v>0</v>
      </c>
    </row>
    <row r="334" spans="1:28" s="1" customFormat="1">
      <c r="A334" s="3">
        <v>45469</v>
      </c>
      <c r="B334" s="2" t="s">
        <v>14</v>
      </c>
      <c r="C334" s="1">
        <f>SUM(PL!E334:H334)</f>
        <v>0</v>
      </c>
      <c r="D334" s="1">
        <f>SUM(PL!I334:L334)</f>
        <v>0</v>
      </c>
      <c r="E334" s="1">
        <f>SUM(C334:D334)</f>
        <v>0</v>
      </c>
      <c r="F334" s="1">
        <f>IF(C334 + F333 &lt; 0, C334 + F333, 0)</f>
        <v>0</v>
      </c>
      <c r="G334" s="1">
        <f>IF(D334 + G333 &lt; 0, D334 + G333, 0)</f>
        <v>0</v>
      </c>
      <c r="H334" s="1">
        <f>IF(E334 + H333 &lt; 0, E334 + H333, 0)</f>
        <v>0</v>
      </c>
      <c r="I334" s="1">
        <f>IF(H334 &lt; 0, 1 + I333, 0)</f>
        <v>0</v>
      </c>
      <c r="J334" s="1">
        <f>C334-((ABS(SUM(PL!E334:H334)))*0.125)</f>
        <v>0</v>
      </c>
      <c r="K334" s="1">
        <f>D334-((ABS(SUM(PL!I334:L334)))*0.125)</f>
        <v>0</v>
      </c>
      <c r="L334" s="1">
        <f>J334 + K334</f>
        <v>0</v>
      </c>
      <c r="M334" s="1">
        <f>IF(J334 + M333 &lt; 0, J334 + M333, 0)</f>
        <v>0</v>
      </c>
      <c r="N334" s="1">
        <f>IF(K334 + N333 &lt; 0, K334 + N333, 0)</f>
        <v>0</v>
      </c>
      <c r="O334" s="1">
        <f>IF(L334 + O333 &lt; 0, L334 + O333, 0)</f>
        <v>0</v>
      </c>
      <c r="P334" s="1">
        <f>IF(O334 &lt; 0, 1 + P333, 0)</f>
        <v>0</v>
      </c>
      <c r="Q334" s="1">
        <f>IF(E334&lt;0,1,0)</f>
        <v>0</v>
      </c>
      <c r="R334" s="1">
        <f>IF(Q334=1,E334,0)</f>
        <v>0</v>
      </c>
      <c r="S334" s="1">
        <f>IF(E334&gt;0,1,0)</f>
        <v>0</v>
      </c>
      <c r="T334" s="1">
        <f>IF(S334=1,E334,0)</f>
        <v>0</v>
      </c>
      <c r="U334" s="1">
        <f>IF(R334&lt;-100000000/100,1,0)</f>
        <v>0</v>
      </c>
      <c r="V334" s="1">
        <f>IF(T334&gt;100000000/100,1,0)</f>
        <v>0</v>
      </c>
      <c r="W334" s="1">
        <f>IF(L334&lt;0,1,0)</f>
        <v>0</v>
      </c>
      <c r="X334" s="1">
        <f>IF(W334=1,L334,0)</f>
        <v>0</v>
      </c>
      <c r="Y334" s="1">
        <f>IF(L334&gt;0,1,0)</f>
        <v>0</v>
      </c>
      <c r="Z334" s="1">
        <f>IF(Y334=1,L334,0)</f>
        <v>0</v>
      </c>
      <c r="AA334" s="1">
        <f>IF(X334&lt;-100000000/100,1,0)</f>
        <v>0</v>
      </c>
      <c r="AB334" s="1">
        <f>IF(Z334&gt;100000000/100,1,0)</f>
        <v>0</v>
      </c>
    </row>
    <row r="335" spans="1:28" s="1" customFormat="1">
      <c r="A335" s="3">
        <v>45470</v>
      </c>
      <c r="B335" s="2" t="s">
        <v>16</v>
      </c>
      <c r="C335" s="1">
        <f>SUM(PL!E335:H335)</f>
        <v>0</v>
      </c>
      <c r="D335" s="1">
        <f>SUM(PL!I335:L335)</f>
        <v>0</v>
      </c>
      <c r="E335" s="1">
        <f>SUM(C335:D335)</f>
        <v>0</v>
      </c>
      <c r="F335" s="1">
        <f>IF(C335 + F334 &lt; 0, C335 + F334, 0)</f>
        <v>0</v>
      </c>
      <c r="G335" s="1">
        <f>IF(D335 + G334 &lt; 0, D335 + G334, 0)</f>
        <v>0</v>
      </c>
      <c r="H335" s="1">
        <f>IF(E335 + H334 &lt; 0, E335 + H334, 0)</f>
        <v>0</v>
      </c>
      <c r="I335" s="1">
        <f>IF(H335 &lt; 0, 1 + I334, 0)</f>
        <v>0</v>
      </c>
      <c r="J335" s="1">
        <f>C335-((ABS(SUM(PL!E335:H335)))*0.125)</f>
        <v>0</v>
      </c>
      <c r="K335" s="1">
        <f>D335-((ABS(SUM(PL!I335:L335)))*0.125)</f>
        <v>0</v>
      </c>
      <c r="L335" s="1">
        <f>J335 + K335</f>
        <v>0</v>
      </c>
      <c r="M335" s="1">
        <f>IF(J335 + M334 &lt; 0, J335 + M334, 0)</f>
        <v>0</v>
      </c>
      <c r="N335" s="1">
        <f>IF(K335 + N334 &lt; 0, K335 + N334, 0)</f>
        <v>0</v>
      </c>
      <c r="O335" s="1">
        <f>IF(L335 + O334 &lt; 0, L335 + O334, 0)</f>
        <v>0</v>
      </c>
      <c r="P335" s="1">
        <f>IF(O335 &lt; 0, 1 + P334, 0)</f>
        <v>0</v>
      </c>
      <c r="Q335" s="1">
        <f>IF(E335&lt;0,1,0)</f>
        <v>0</v>
      </c>
      <c r="R335" s="1">
        <f>IF(Q335=1,E335,0)</f>
        <v>0</v>
      </c>
      <c r="S335" s="1">
        <f>IF(E335&gt;0,1,0)</f>
        <v>0</v>
      </c>
      <c r="T335" s="1">
        <f>IF(S335=1,E335,0)</f>
        <v>0</v>
      </c>
      <c r="U335" s="1">
        <f>IF(R335&lt;-100000000/100,1,0)</f>
        <v>0</v>
      </c>
      <c r="V335" s="1">
        <f>IF(T335&gt;100000000/100,1,0)</f>
        <v>0</v>
      </c>
      <c r="W335" s="1">
        <f>IF(L335&lt;0,1,0)</f>
        <v>0</v>
      </c>
      <c r="X335" s="1">
        <f>IF(W335=1,L335,0)</f>
        <v>0</v>
      </c>
      <c r="Y335" s="1">
        <f>IF(L335&gt;0,1,0)</f>
        <v>0</v>
      </c>
      <c r="Z335" s="1">
        <f>IF(Y335=1,L335,0)</f>
        <v>0</v>
      </c>
      <c r="AA335" s="1">
        <f>IF(X335&lt;-100000000/100,1,0)</f>
        <v>0</v>
      </c>
      <c r="AB335" s="1">
        <f>IF(Z335&gt;100000000/100,1,0)</f>
        <v>0</v>
      </c>
    </row>
    <row r="336" spans="1:28" s="1" customFormat="1">
      <c r="A336" s="3">
        <v>45471</v>
      </c>
      <c r="B336" s="2" t="s">
        <v>15</v>
      </c>
      <c r="C336" s="1">
        <f>SUM(PL!E336:H336)</f>
        <v>0</v>
      </c>
      <c r="D336" s="1">
        <f>SUM(PL!I336:L336)</f>
        <v>0</v>
      </c>
      <c r="E336" s="1">
        <f>SUM(C336:D336)</f>
        <v>0</v>
      </c>
      <c r="F336" s="1">
        <f>IF(C336 + F335 &lt; 0, C336 + F335, 0)</f>
        <v>0</v>
      </c>
      <c r="G336" s="1">
        <f>IF(D336 + G335 &lt; 0, D336 + G335, 0)</f>
        <v>0</v>
      </c>
      <c r="H336" s="1">
        <f>IF(E336 + H335 &lt; 0, E336 + H335, 0)</f>
        <v>0</v>
      </c>
      <c r="I336" s="1">
        <f>IF(H336 &lt; 0, 1 + I335, 0)</f>
        <v>0</v>
      </c>
      <c r="J336" s="1">
        <f>C336-((ABS(SUM(PL!E336:H336)))*0.125)</f>
        <v>0</v>
      </c>
      <c r="K336" s="1">
        <f>D336-((ABS(SUM(PL!I336:L336)))*0.125)</f>
        <v>0</v>
      </c>
      <c r="L336" s="1">
        <f>J336 + K336</f>
        <v>0</v>
      </c>
      <c r="M336" s="1">
        <f>IF(J336 + M335 &lt; 0, J336 + M335, 0)</f>
        <v>0</v>
      </c>
      <c r="N336" s="1">
        <f>IF(K336 + N335 &lt; 0, K336 + N335, 0)</f>
        <v>0</v>
      </c>
      <c r="O336" s="1">
        <f>IF(L336 + O335 &lt; 0, L336 + O335, 0)</f>
        <v>0</v>
      </c>
      <c r="P336" s="1">
        <f>IF(O336 &lt; 0, 1 + P335, 0)</f>
        <v>0</v>
      </c>
      <c r="Q336" s="1">
        <f>IF(E336&lt;0,1,0)</f>
        <v>0</v>
      </c>
      <c r="R336" s="1">
        <f>IF(Q336=1,E336,0)</f>
        <v>0</v>
      </c>
      <c r="S336" s="1">
        <f>IF(E336&gt;0,1,0)</f>
        <v>0</v>
      </c>
      <c r="T336" s="1">
        <f>IF(S336=1,E336,0)</f>
        <v>0</v>
      </c>
      <c r="U336" s="1">
        <f>IF(R336&lt;-100000000/100,1,0)</f>
        <v>0</v>
      </c>
      <c r="V336" s="1">
        <f>IF(T336&gt;100000000/100,1,0)</f>
        <v>0</v>
      </c>
      <c r="W336" s="1">
        <f>IF(L336&lt;0,1,0)</f>
        <v>0</v>
      </c>
      <c r="X336" s="1">
        <f>IF(W336=1,L336,0)</f>
        <v>0</v>
      </c>
      <c r="Y336" s="1">
        <f>IF(L336&gt;0,1,0)</f>
        <v>0</v>
      </c>
      <c r="Z336" s="1">
        <f>IF(Y336=1,L336,0)</f>
        <v>0</v>
      </c>
      <c r="AA336" s="1">
        <f>IF(X336&lt;-100000000/100,1,0)</f>
        <v>0</v>
      </c>
      <c r="AB336" s="1">
        <f>IF(Z336&gt;100000000/100,1,0)</f>
        <v>0</v>
      </c>
    </row>
    <row r="337" spans="1:28" s="1" customFormat="1">
      <c r="A337" s="3">
        <v>45474</v>
      </c>
      <c r="B337" s="2" t="s">
        <v>12</v>
      </c>
      <c r="C337" s="1">
        <f>SUM(PL!E337:H337)</f>
        <v>0</v>
      </c>
      <c r="D337" s="1">
        <f>SUM(PL!I337:L337)</f>
        <v>0</v>
      </c>
      <c r="E337" s="1">
        <f>SUM(C337:D337)</f>
        <v>0</v>
      </c>
      <c r="F337" s="1">
        <f>IF(C337 + F336 &lt; 0, C337 + F336, 0)</f>
        <v>0</v>
      </c>
      <c r="G337" s="1">
        <f>IF(D337 + G336 &lt; 0, D337 + G336, 0)</f>
        <v>0</v>
      </c>
      <c r="H337" s="1">
        <f>IF(E337 + H336 &lt; 0, E337 + H336, 0)</f>
        <v>0</v>
      </c>
      <c r="I337" s="1">
        <f>IF(H337 &lt; 0, 1 + I336, 0)</f>
        <v>0</v>
      </c>
      <c r="J337" s="1">
        <f>C337-((ABS(SUM(PL!E337:H337)))*0.125)</f>
        <v>0</v>
      </c>
      <c r="K337" s="1">
        <f>D337-((ABS(SUM(PL!I337:L337)))*0.125)</f>
        <v>0</v>
      </c>
      <c r="L337" s="1">
        <f>J337 + K337</f>
        <v>0</v>
      </c>
      <c r="M337" s="1">
        <f>IF(J337 + M336 &lt; 0, J337 + M336, 0)</f>
        <v>0</v>
      </c>
      <c r="N337" s="1">
        <f>IF(K337 + N336 &lt; 0, K337 + N336, 0)</f>
        <v>0</v>
      </c>
      <c r="O337" s="1">
        <f>IF(L337 + O336 &lt; 0, L337 + O336, 0)</f>
        <v>0</v>
      </c>
      <c r="P337" s="1">
        <f>IF(O337 &lt; 0, 1 + P336, 0)</f>
        <v>0</v>
      </c>
      <c r="Q337" s="1">
        <f>IF(E337&lt;0,1,0)</f>
        <v>0</v>
      </c>
      <c r="R337" s="1">
        <f>IF(Q337=1,E337,0)</f>
        <v>0</v>
      </c>
      <c r="S337" s="1">
        <f>IF(E337&gt;0,1,0)</f>
        <v>0</v>
      </c>
      <c r="T337" s="1">
        <f>IF(S337=1,E337,0)</f>
        <v>0</v>
      </c>
      <c r="U337" s="1">
        <f>IF(R337&lt;-100000000/100,1,0)</f>
        <v>0</v>
      </c>
      <c r="V337" s="1">
        <f>IF(T337&gt;100000000/100,1,0)</f>
        <v>0</v>
      </c>
      <c r="W337" s="1">
        <f>IF(L337&lt;0,1,0)</f>
        <v>0</v>
      </c>
      <c r="X337" s="1">
        <f>IF(W337=1,L337,0)</f>
        <v>0</v>
      </c>
      <c r="Y337" s="1">
        <f>IF(L337&gt;0,1,0)</f>
        <v>0</v>
      </c>
      <c r="Z337" s="1">
        <f>IF(Y337=1,L337,0)</f>
        <v>0</v>
      </c>
      <c r="AA337" s="1">
        <f>IF(X337&lt;-100000000/100,1,0)</f>
        <v>0</v>
      </c>
      <c r="AB337" s="1">
        <f>IF(Z337&gt;100000000/100,1,0)</f>
        <v>0</v>
      </c>
    </row>
    <row r="338" spans="1:28" s="1" customFormat="1">
      <c r="A338" s="3">
        <v>45476</v>
      </c>
      <c r="B338" s="2" t="s">
        <v>14</v>
      </c>
      <c r="C338" s="1">
        <f>SUM(PL!E338:H338)</f>
        <v>0</v>
      </c>
      <c r="D338" s="1">
        <f>SUM(PL!I338:L338)</f>
        <v>0</v>
      </c>
      <c r="E338" s="1">
        <f>SUM(C338:D338)</f>
        <v>0</v>
      </c>
      <c r="F338" s="1">
        <f>IF(C338 + F337 &lt; 0, C338 + F337, 0)</f>
        <v>0</v>
      </c>
      <c r="G338" s="1">
        <f>IF(D338 + G337 &lt; 0, D338 + G337, 0)</f>
        <v>0</v>
      </c>
      <c r="H338" s="1">
        <f>IF(E338 + H337 &lt; 0, E338 + H337, 0)</f>
        <v>0</v>
      </c>
      <c r="I338" s="1">
        <f>IF(H338 &lt; 0, 1 + I337, 0)</f>
        <v>0</v>
      </c>
      <c r="J338" s="1">
        <f>C338-((ABS(SUM(PL!E338:H338)))*0.125)</f>
        <v>0</v>
      </c>
      <c r="K338" s="1">
        <f>D338-((ABS(SUM(PL!I338:L338)))*0.125)</f>
        <v>0</v>
      </c>
      <c r="L338" s="1">
        <f>J338 + K338</f>
        <v>0</v>
      </c>
      <c r="M338" s="1">
        <f>IF(J338 + M337 &lt; 0, J338 + M337, 0)</f>
        <v>0</v>
      </c>
      <c r="N338" s="1">
        <f>IF(K338 + N337 &lt; 0, K338 + N337, 0)</f>
        <v>0</v>
      </c>
      <c r="O338" s="1">
        <f>IF(L338 + O337 &lt; 0, L338 + O337, 0)</f>
        <v>0</v>
      </c>
      <c r="P338" s="1">
        <f>IF(O338 &lt; 0, 1 + P337, 0)</f>
        <v>0</v>
      </c>
      <c r="Q338" s="1">
        <f>IF(E338&lt;0,1,0)</f>
        <v>0</v>
      </c>
      <c r="R338" s="1">
        <f>IF(Q338=1,E338,0)</f>
        <v>0</v>
      </c>
      <c r="S338" s="1">
        <f>IF(E338&gt;0,1,0)</f>
        <v>0</v>
      </c>
      <c r="T338" s="1">
        <f>IF(S338=1,E338,0)</f>
        <v>0</v>
      </c>
      <c r="U338" s="1">
        <f>IF(R338&lt;-100000000/100,1,0)</f>
        <v>0</v>
      </c>
      <c r="V338" s="1">
        <f>IF(T338&gt;100000000/100,1,0)</f>
        <v>0</v>
      </c>
      <c r="W338" s="1">
        <f>IF(L338&lt;0,1,0)</f>
        <v>0</v>
      </c>
      <c r="X338" s="1">
        <f>IF(W338=1,L338,0)</f>
        <v>0</v>
      </c>
      <c r="Y338" s="1">
        <f>IF(L338&gt;0,1,0)</f>
        <v>0</v>
      </c>
      <c r="Z338" s="1">
        <f>IF(Y338=1,L338,0)</f>
        <v>0</v>
      </c>
      <c r="AA338" s="1">
        <f>IF(X338&lt;-100000000/100,1,0)</f>
        <v>0</v>
      </c>
      <c r="AB338" s="1">
        <f>IF(Z338&gt;100000000/100,1,0)</f>
        <v>0</v>
      </c>
    </row>
    <row r="339" spans="1:28" s="1" customFormat="1">
      <c r="A339" s="3">
        <v>45477</v>
      </c>
      <c r="B339" s="2" t="s">
        <v>16</v>
      </c>
      <c r="C339" s="1">
        <f>SUM(PL!E339:H339)</f>
        <v>0</v>
      </c>
      <c r="D339" s="1">
        <f>SUM(PL!I339:L339)</f>
        <v>0</v>
      </c>
      <c r="E339" s="1">
        <f>SUM(C339:D339)</f>
        <v>0</v>
      </c>
      <c r="F339" s="1">
        <f>IF(C339 + F338 &lt; 0, C339 + F338, 0)</f>
        <v>0</v>
      </c>
      <c r="G339" s="1">
        <f>IF(D339 + G338 &lt; 0, D339 + G338, 0)</f>
        <v>0</v>
      </c>
      <c r="H339" s="1">
        <f>IF(E339 + H338 &lt; 0, E339 + H338, 0)</f>
        <v>0</v>
      </c>
      <c r="I339" s="1">
        <f>IF(H339 &lt; 0, 1 + I338, 0)</f>
        <v>0</v>
      </c>
      <c r="J339" s="1">
        <f>C339-((ABS(SUM(PL!E339:H339)))*0.125)</f>
        <v>0</v>
      </c>
      <c r="K339" s="1">
        <f>D339-((ABS(SUM(PL!I339:L339)))*0.125)</f>
        <v>0</v>
      </c>
      <c r="L339" s="1">
        <f>J339 + K339</f>
        <v>0</v>
      </c>
      <c r="M339" s="1">
        <f>IF(J339 + M338 &lt; 0, J339 + M338, 0)</f>
        <v>0</v>
      </c>
      <c r="N339" s="1">
        <f>IF(K339 + N338 &lt; 0, K339 + N338, 0)</f>
        <v>0</v>
      </c>
      <c r="O339" s="1">
        <f>IF(L339 + O338 &lt; 0, L339 + O338, 0)</f>
        <v>0</v>
      </c>
      <c r="P339" s="1">
        <f>IF(O339 &lt; 0, 1 + P338, 0)</f>
        <v>0</v>
      </c>
      <c r="Q339" s="1">
        <f>IF(E339&lt;0,1,0)</f>
        <v>0</v>
      </c>
      <c r="R339" s="1">
        <f>IF(Q339=1,E339,0)</f>
        <v>0</v>
      </c>
      <c r="S339" s="1">
        <f>IF(E339&gt;0,1,0)</f>
        <v>0</v>
      </c>
      <c r="T339" s="1">
        <f>IF(S339=1,E339,0)</f>
        <v>0</v>
      </c>
      <c r="U339" s="1">
        <f>IF(R339&lt;-100000000/100,1,0)</f>
        <v>0</v>
      </c>
      <c r="V339" s="1">
        <f>IF(T339&gt;100000000/100,1,0)</f>
        <v>0</v>
      </c>
      <c r="W339" s="1">
        <f>IF(L339&lt;0,1,0)</f>
        <v>0</v>
      </c>
      <c r="X339" s="1">
        <f>IF(W339=1,L339,0)</f>
        <v>0</v>
      </c>
      <c r="Y339" s="1">
        <f>IF(L339&gt;0,1,0)</f>
        <v>0</v>
      </c>
      <c r="Z339" s="1">
        <f>IF(Y339=1,L339,0)</f>
        <v>0</v>
      </c>
      <c r="AA339" s="1">
        <f>IF(X339&lt;-100000000/100,1,0)</f>
        <v>0</v>
      </c>
      <c r="AB339" s="1">
        <f>IF(Z339&gt;100000000/100,1,0)</f>
        <v>0</v>
      </c>
    </row>
    <row r="340" spans="1:28" s="1" customFormat="1">
      <c r="A340" s="3">
        <v>45478</v>
      </c>
      <c r="B340" s="2" t="s">
        <v>15</v>
      </c>
      <c r="C340" s="1">
        <f>SUM(PL!E340:H340)</f>
        <v>0</v>
      </c>
      <c r="D340" s="1">
        <f>SUM(PL!I340:L340)</f>
        <v>0</v>
      </c>
      <c r="E340" s="1">
        <f>SUM(C340:D340)</f>
        <v>0</v>
      </c>
      <c r="F340" s="1">
        <f>IF(C340 + F339 &lt; 0, C340 + F339, 0)</f>
        <v>0</v>
      </c>
      <c r="G340" s="1">
        <f>IF(D340 + G339 &lt; 0, D340 + G339, 0)</f>
        <v>0</v>
      </c>
      <c r="H340" s="1">
        <f>IF(E340 + H339 &lt; 0, E340 + H339, 0)</f>
        <v>0</v>
      </c>
      <c r="I340" s="1">
        <f>IF(H340 &lt; 0, 1 + I339, 0)</f>
        <v>0</v>
      </c>
      <c r="J340" s="1">
        <f>C340-((ABS(SUM(PL!E340:H340)))*0.125)</f>
        <v>0</v>
      </c>
      <c r="K340" s="1">
        <f>D340-((ABS(SUM(PL!I340:L340)))*0.125)</f>
        <v>0</v>
      </c>
      <c r="L340" s="1">
        <f>J340 + K340</f>
        <v>0</v>
      </c>
      <c r="M340" s="1">
        <f>IF(J340 + M339 &lt; 0, J340 + M339, 0)</f>
        <v>0</v>
      </c>
      <c r="N340" s="1">
        <f>IF(K340 + N339 &lt; 0, K340 + N339, 0)</f>
        <v>0</v>
      </c>
      <c r="O340" s="1">
        <f>IF(L340 + O339 &lt; 0, L340 + O339, 0)</f>
        <v>0</v>
      </c>
      <c r="P340" s="1">
        <f>IF(O340 &lt; 0, 1 + P339, 0)</f>
        <v>0</v>
      </c>
      <c r="Q340" s="1">
        <f>IF(E340&lt;0,1,0)</f>
        <v>0</v>
      </c>
      <c r="R340" s="1">
        <f>IF(Q340=1,E340,0)</f>
        <v>0</v>
      </c>
      <c r="S340" s="1">
        <f>IF(E340&gt;0,1,0)</f>
        <v>0</v>
      </c>
      <c r="T340" s="1">
        <f>IF(S340=1,E340,0)</f>
        <v>0</v>
      </c>
      <c r="U340" s="1">
        <f>IF(R340&lt;-100000000/100,1,0)</f>
        <v>0</v>
      </c>
      <c r="V340" s="1">
        <f>IF(T340&gt;100000000/100,1,0)</f>
        <v>0</v>
      </c>
      <c r="W340" s="1">
        <f>IF(L340&lt;0,1,0)</f>
        <v>0</v>
      </c>
      <c r="X340" s="1">
        <f>IF(W340=1,L340,0)</f>
        <v>0</v>
      </c>
      <c r="Y340" s="1">
        <f>IF(L340&gt;0,1,0)</f>
        <v>0</v>
      </c>
      <c r="Z340" s="1">
        <f>IF(Y340=1,L340,0)</f>
        <v>0</v>
      </c>
      <c r="AA340" s="1">
        <f>IF(X340&lt;-100000000/100,1,0)</f>
        <v>0</v>
      </c>
      <c r="AB340" s="1">
        <f>IF(Z340&gt;100000000/100,1,0)</f>
        <v>0</v>
      </c>
    </row>
    <row r="341" spans="1:28" s="1" customFormat="1">
      <c r="A341" s="3">
        <v>45481</v>
      </c>
      <c r="B341" s="2" t="s">
        <v>12</v>
      </c>
      <c r="C341" s="1">
        <f>SUM(PL!E341:H341)</f>
        <v>0</v>
      </c>
      <c r="D341" s="1">
        <f>SUM(PL!I341:L341)</f>
        <v>0</v>
      </c>
      <c r="E341" s="1">
        <f>SUM(C341:D341)</f>
        <v>0</v>
      </c>
      <c r="F341" s="1">
        <f>IF(C341 + F340 &lt; 0, C341 + F340, 0)</f>
        <v>0</v>
      </c>
      <c r="G341" s="1">
        <f>IF(D341 + G340 &lt; 0, D341 + G340, 0)</f>
        <v>0</v>
      </c>
      <c r="H341" s="1">
        <f>IF(E341 + H340 &lt; 0, E341 + H340, 0)</f>
        <v>0</v>
      </c>
      <c r="I341" s="1">
        <f>IF(H341 &lt; 0, 1 + I340, 0)</f>
        <v>0</v>
      </c>
      <c r="J341" s="1">
        <f>C341-((ABS(SUM(PL!E341:H341)))*0.125)</f>
        <v>0</v>
      </c>
      <c r="K341" s="1">
        <f>D341-((ABS(SUM(PL!I341:L341)))*0.125)</f>
        <v>0</v>
      </c>
      <c r="L341" s="1">
        <f>J341 + K341</f>
        <v>0</v>
      </c>
      <c r="M341" s="1">
        <f>IF(J341 + M340 &lt; 0, J341 + M340, 0)</f>
        <v>0</v>
      </c>
      <c r="N341" s="1">
        <f>IF(K341 + N340 &lt; 0, K341 + N340, 0)</f>
        <v>0</v>
      </c>
      <c r="O341" s="1">
        <f>IF(L341 + O340 &lt; 0, L341 + O340, 0)</f>
        <v>0</v>
      </c>
      <c r="P341" s="1">
        <f>IF(O341 &lt; 0, 1 + P340, 0)</f>
        <v>0</v>
      </c>
      <c r="Q341" s="1">
        <f>IF(E341&lt;0,1,0)</f>
        <v>0</v>
      </c>
      <c r="R341" s="1">
        <f>IF(Q341=1,E341,0)</f>
        <v>0</v>
      </c>
      <c r="S341" s="1">
        <f>IF(E341&gt;0,1,0)</f>
        <v>0</v>
      </c>
      <c r="T341" s="1">
        <f>IF(S341=1,E341,0)</f>
        <v>0</v>
      </c>
      <c r="U341" s="1">
        <f>IF(R341&lt;-100000000/100,1,0)</f>
        <v>0</v>
      </c>
      <c r="V341" s="1">
        <f>IF(T341&gt;100000000/100,1,0)</f>
        <v>0</v>
      </c>
      <c r="W341" s="1">
        <f>IF(L341&lt;0,1,0)</f>
        <v>0</v>
      </c>
      <c r="X341" s="1">
        <f>IF(W341=1,L341,0)</f>
        <v>0</v>
      </c>
      <c r="Y341" s="1">
        <f>IF(L341&gt;0,1,0)</f>
        <v>0</v>
      </c>
      <c r="Z341" s="1">
        <f>IF(Y341=1,L341,0)</f>
        <v>0</v>
      </c>
      <c r="AA341" s="1">
        <f>IF(X341&lt;-100000000/100,1,0)</f>
        <v>0</v>
      </c>
      <c r="AB341" s="1">
        <f>IF(Z341&gt;100000000/100,1,0)</f>
        <v>0</v>
      </c>
    </row>
    <row r="342" spans="1:28" s="1" customFormat="1">
      <c r="A342" s="3">
        <v>45482</v>
      </c>
      <c r="B342" s="2" t="s">
        <v>13</v>
      </c>
      <c r="C342" s="1">
        <f>SUM(PL!E342:H342)</f>
        <v>0</v>
      </c>
      <c r="D342" s="1">
        <f>SUM(PL!I342:L342)</f>
        <v>0</v>
      </c>
      <c r="E342" s="1">
        <f>SUM(C342:D342)</f>
        <v>0</v>
      </c>
      <c r="F342" s="1">
        <f>IF(C342 + F341 &lt; 0, C342 + F341, 0)</f>
        <v>0</v>
      </c>
      <c r="G342" s="1">
        <f>IF(D342 + G341 &lt; 0, D342 + G341, 0)</f>
        <v>0</v>
      </c>
      <c r="H342" s="1">
        <f>IF(E342 + H341 &lt; 0, E342 + H341, 0)</f>
        <v>0</v>
      </c>
      <c r="I342" s="1">
        <f>IF(H342 &lt; 0, 1 + I341, 0)</f>
        <v>0</v>
      </c>
      <c r="J342" s="1">
        <f>C342-((ABS(SUM(PL!E342:H342)))*0.125)</f>
        <v>0</v>
      </c>
      <c r="K342" s="1">
        <f>D342-((ABS(SUM(PL!I342:L342)))*0.125)</f>
        <v>0</v>
      </c>
      <c r="L342" s="1">
        <f>J342 + K342</f>
        <v>0</v>
      </c>
      <c r="M342" s="1">
        <f>IF(J342 + M341 &lt; 0, J342 + M341, 0)</f>
        <v>0</v>
      </c>
      <c r="N342" s="1">
        <f>IF(K342 + N341 &lt; 0, K342 + N341, 0)</f>
        <v>0</v>
      </c>
      <c r="O342" s="1">
        <f>IF(L342 + O341 &lt; 0, L342 + O341, 0)</f>
        <v>0</v>
      </c>
      <c r="P342" s="1">
        <f>IF(O342 &lt; 0, 1 + P341, 0)</f>
        <v>0</v>
      </c>
      <c r="Q342" s="1">
        <f>IF(E342&lt;0,1,0)</f>
        <v>0</v>
      </c>
      <c r="R342" s="1">
        <f>IF(Q342=1,E342,0)</f>
        <v>0</v>
      </c>
      <c r="S342" s="1">
        <f>IF(E342&gt;0,1,0)</f>
        <v>0</v>
      </c>
      <c r="T342" s="1">
        <f>IF(S342=1,E342,0)</f>
        <v>0</v>
      </c>
      <c r="U342" s="1">
        <f>IF(R342&lt;-100000000/100,1,0)</f>
        <v>0</v>
      </c>
      <c r="V342" s="1">
        <f>IF(T342&gt;100000000/100,1,0)</f>
        <v>0</v>
      </c>
      <c r="W342" s="1">
        <f>IF(L342&lt;0,1,0)</f>
        <v>0</v>
      </c>
      <c r="X342" s="1">
        <f>IF(W342=1,L342,0)</f>
        <v>0</v>
      </c>
      <c r="Y342" s="1">
        <f>IF(L342&gt;0,1,0)</f>
        <v>0</v>
      </c>
      <c r="Z342" s="1">
        <f>IF(Y342=1,L342,0)</f>
        <v>0</v>
      </c>
      <c r="AA342" s="1">
        <f>IF(X342&lt;-100000000/100,1,0)</f>
        <v>0</v>
      </c>
      <c r="AB342" s="1">
        <f>IF(Z342&gt;100000000/100,1,0)</f>
        <v>0</v>
      </c>
    </row>
    <row r="343" spans="1:28" s="1" customFormat="1">
      <c r="A343" s="3">
        <v>45484</v>
      </c>
      <c r="B343" s="2" t="s">
        <v>16</v>
      </c>
      <c r="C343" s="1">
        <f>SUM(PL!E343:H343)</f>
        <v>0</v>
      </c>
      <c r="D343" s="1">
        <f>SUM(PL!I343:L343)</f>
        <v>0</v>
      </c>
      <c r="E343" s="1">
        <f>SUM(C343:D343)</f>
        <v>0</v>
      </c>
      <c r="F343" s="1">
        <f>IF(C343 + F342 &lt; 0, C343 + F342, 0)</f>
        <v>0</v>
      </c>
      <c r="G343" s="1">
        <f>IF(D343 + G342 &lt; 0, D343 + G342, 0)</f>
        <v>0</v>
      </c>
      <c r="H343" s="1">
        <f>IF(E343 + H342 &lt; 0, E343 + H342, 0)</f>
        <v>0</v>
      </c>
      <c r="I343" s="1">
        <f>IF(H343 &lt; 0, 1 + I342, 0)</f>
        <v>0</v>
      </c>
      <c r="J343" s="1">
        <f>C343-((ABS(SUM(PL!E343:H343)))*0.125)</f>
        <v>0</v>
      </c>
      <c r="K343" s="1">
        <f>D343-((ABS(SUM(PL!I343:L343)))*0.125)</f>
        <v>0</v>
      </c>
      <c r="L343" s="1">
        <f>J343 + K343</f>
        <v>0</v>
      </c>
      <c r="M343" s="1">
        <f>IF(J343 + M342 &lt; 0, J343 + M342, 0)</f>
        <v>0</v>
      </c>
      <c r="N343" s="1">
        <f>IF(K343 + N342 &lt; 0, K343 + N342, 0)</f>
        <v>0</v>
      </c>
      <c r="O343" s="1">
        <f>IF(L343 + O342 &lt; 0, L343 + O342, 0)</f>
        <v>0</v>
      </c>
      <c r="P343" s="1">
        <f>IF(O343 &lt; 0, 1 + P342, 0)</f>
        <v>0</v>
      </c>
      <c r="Q343" s="1">
        <f>IF(E343&lt;0,1,0)</f>
        <v>0</v>
      </c>
      <c r="R343" s="1">
        <f>IF(Q343=1,E343,0)</f>
        <v>0</v>
      </c>
      <c r="S343" s="1">
        <f>IF(E343&gt;0,1,0)</f>
        <v>0</v>
      </c>
      <c r="T343" s="1">
        <f>IF(S343=1,E343,0)</f>
        <v>0</v>
      </c>
      <c r="U343" s="1">
        <f>IF(R343&lt;-100000000/100,1,0)</f>
        <v>0</v>
      </c>
      <c r="V343" s="1">
        <f>IF(T343&gt;100000000/100,1,0)</f>
        <v>0</v>
      </c>
      <c r="W343" s="1">
        <f>IF(L343&lt;0,1,0)</f>
        <v>0</v>
      </c>
      <c r="X343" s="1">
        <f>IF(W343=1,L343,0)</f>
        <v>0</v>
      </c>
      <c r="Y343" s="1">
        <f>IF(L343&gt;0,1,0)</f>
        <v>0</v>
      </c>
      <c r="Z343" s="1">
        <f>IF(Y343=1,L343,0)</f>
        <v>0</v>
      </c>
      <c r="AA343" s="1">
        <f>IF(X343&lt;-100000000/100,1,0)</f>
        <v>0</v>
      </c>
      <c r="AB343" s="1">
        <f>IF(Z343&gt;100000000/100,1,0)</f>
        <v>0</v>
      </c>
    </row>
    <row r="344" spans="1:28" s="1" customFormat="1">
      <c r="A344" s="3">
        <v>45485</v>
      </c>
      <c r="B344" s="2" t="s">
        <v>15</v>
      </c>
      <c r="C344" s="1">
        <f>SUM(PL!E344:H344)</f>
        <v>0</v>
      </c>
      <c r="D344" s="1">
        <f>SUM(PL!I344:L344)</f>
        <v>0</v>
      </c>
      <c r="E344" s="1">
        <f>SUM(C344:D344)</f>
        <v>0</v>
      </c>
      <c r="F344" s="1">
        <f>IF(C344 + F343 &lt; 0, C344 + F343, 0)</f>
        <v>0</v>
      </c>
      <c r="G344" s="1">
        <f>IF(D344 + G343 &lt; 0, D344 + G343, 0)</f>
        <v>0</v>
      </c>
      <c r="H344" s="1">
        <f>IF(E344 + H343 &lt; 0, E344 + H343, 0)</f>
        <v>0</v>
      </c>
      <c r="I344" s="1">
        <f>IF(H344 &lt; 0, 1 + I343, 0)</f>
        <v>0</v>
      </c>
      <c r="J344" s="1">
        <f>C344-((ABS(SUM(PL!E344:H344)))*0.125)</f>
        <v>0</v>
      </c>
      <c r="K344" s="1">
        <f>D344-((ABS(SUM(PL!I344:L344)))*0.125)</f>
        <v>0</v>
      </c>
      <c r="L344" s="1">
        <f>J344 + K344</f>
        <v>0</v>
      </c>
      <c r="M344" s="1">
        <f>IF(J344 + M343 &lt; 0, J344 + M343, 0)</f>
        <v>0</v>
      </c>
      <c r="N344" s="1">
        <f>IF(K344 + N343 &lt; 0, K344 + N343, 0)</f>
        <v>0</v>
      </c>
      <c r="O344" s="1">
        <f>IF(L344 + O343 &lt; 0, L344 + O343, 0)</f>
        <v>0</v>
      </c>
      <c r="P344" s="1">
        <f>IF(O344 &lt; 0, 1 + P343, 0)</f>
        <v>0</v>
      </c>
      <c r="Q344" s="1">
        <f>IF(E344&lt;0,1,0)</f>
        <v>0</v>
      </c>
      <c r="R344" s="1">
        <f>IF(Q344=1,E344,0)</f>
        <v>0</v>
      </c>
      <c r="S344" s="1">
        <f>IF(E344&gt;0,1,0)</f>
        <v>0</v>
      </c>
      <c r="T344" s="1">
        <f>IF(S344=1,E344,0)</f>
        <v>0</v>
      </c>
      <c r="U344" s="1">
        <f>IF(R344&lt;-100000000/100,1,0)</f>
        <v>0</v>
      </c>
      <c r="V344" s="1">
        <f>IF(T344&gt;100000000/100,1,0)</f>
        <v>0</v>
      </c>
      <c r="W344" s="1">
        <f>IF(L344&lt;0,1,0)</f>
        <v>0</v>
      </c>
      <c r="X344" s="1">
        <f>IF(W344=1,L344,0)</f>
        <v>0</v>
      </c>
      <c r="Y344" s="1">
        <f>IF(L344&gt;0,1,0)</f>
        <v>0</v>
      </c>
      <c r="Z344" s="1">
        <f>IF(Y344=1,L344,0)</f>
        <v>0</v>
      </c>
      <c r="AA344" s="1">
        <f>IF(X344&lt;-100000000/100,1,0)</f>
        <v>0</v>
      </c>
      <c r="AB344" s="1">
        <f>IF(Z344&gt;100000000/100,1,0)</f>
        <v>0</v>
      </c>
    </row>
    <row r="345" spans="1:28" s="1" customFormat="1">
      <c r="A345" s="3">
        <v>45488</v>
      </c>
      <c r="B345" s="2" t="s">
        <v>12</v>
      </c>
      <c r="C345" s="1">
        <f>SUM(PL!E345:H345)</f>
        <v>0</v>
      </c>
      <c r="D345" s="1">
        <f>SUM(PL!I345:L345)</f>
        <v>0</v>
      </c>
      <c r="E345" s="1">
        <f>SUM(C345:D345)</f>
        <v>0</v>
      </c>
      <c r="F345" s="1">
        <f>IF(C345 + F344 &lt; 0, C345 + F344, 0)</f>
        <v>0</v>
      </c>
      <c r="G345" s="1">
        <f>IF(D345 + G344 &lt; 0, D345 + G344, 0)</f>
        <v>0</v>
      </c>
      <c r="H345" s="1">
        <f>IF(E345 + H344 &lt; 0, E345 + H344, 0)</f>
        <v>0</v>
      </c>
      <c r="I345" s="1">
        <f>IF(H345 &lt; 0, 1 + I344, 0)</f>
        <v>0</v>
      </c>
      <c r="J345" s="1">
        <f>C345-((ABS(SUM(PL!E345:H345)))*0.125)</f>
        <v>0</v>
      </c>
      <c r="K345" s="1">
        <f>D345-((ABS(SUM(PL!I345:L345)))*0.125)</f>
        <v>0</v>
      </c>
      <c r="L345" s="1">
        <f>J345 + K345</f>
        <v>0</v>
      </c>
      <c r="M345" s="1">
        <f>IF(J345 + M344 &lt; 0, J345 + M344, 0)</f>
        <v>0</v>
      </c>
      <c r="N345" s="1">
        <f>IF(K345 + N344 &lt; 0, K345 + N344, 0)</f>
        <v>0</v>
      </c>
      <c r="O345" s="1">
        <f>IF(L345 + O344 &lt; 0, L345 + O344, 0)</f>
        <v>0</v>
      </c>
      <c r="P345" s="1">
        <f>IF(O345 &lt; 0, 1 + P344, 0)</f>
        <v>0</v>
      </c>
      <c r="Q345" s="1">
        <f>IF(E345&lt;0,1,0)</f>
        <v>0</v>
      </c>
      <c r="R345" s="1">
        <f>IF(Q345=1,E345,0)</f>
        <v>0</v>
      </c>
      <c r="S345" s="1">
        <f>IF(E345&gt;0,1,0)</f>
        <v>0</v>
      </c>
      <c r="T345" s="1">
        <f>IF(S345=1,E345,0)</f>
        <v>0</v>
      </c>
      <c r="U345" s="1">
        <f>IF(R345&lt;-100000000/100,1,0)</f>
        <v>0</v>
      </c>
      <c r="V345" s="1">
        <f>IF(T345&gt;100000000/100,1,0)</f>
        <v>0</v>
      </c>
      <c r="W345" s="1">
        <f>IF(L345&lt;0,1,0)</f>
        <v>0</v>
      </c>
      <c r="X345" s="1">
        <f>IF(W345=1,L345,0)</f>
        <v>0</v>
      </c>
      <c r="Y345" s="1">
        <f>IF(L345&gt;0,1,0)</f>
        <v>0</v>
      </c>
      <c r="Z345" s="1">
        <f>IF(Y345=1,L345,0)</f>
        <v>0</v>
      </c>
      <c r="AA345" s="1">
        <f>IF(X345&lt;-100000000/100,1,0)</f>
        <v>0</v>
      </c>
      <c r="AB345" s="1">
        <f>IF(Z345&gt;100000000/100,1,0)</f>
        <v>0</v>
      </c>
    </row>
    <row r="346" spans="1:28" s="1" customFormat="1">
      <c r="A346" s="3">
        <v>45489</v>
      </c>
      <c r="B346" s="2" t="s">
        <v>13</v>
      </c>
      <c r="C346" s="1">
        <f>SUM(PL!E346:H346)</f>
        <v>0</v>
      </c>
      <c r="D346" s="1">
        <f>SUM(PL!I346:L346)</f>
        <v>0</v>
      </c>
      <c r="E346" s="1">
        <f>SUM(C346:D346)</f>
        <v>0</v>
      </c>
      <c r="F346" s="1">
        <f>IF(C346 + F345 &lt; 0, C346 + F345, 0)</f>
        <v>0</v>
      </c>
      <c r="G346" s="1">
        <f>IF(D346 + G345 &lt; 0, D346 + G345, 0)</f>
        <v>0</v>
      </c>
      <c r="H346" s="1">
        <f>IF(E346 + H345 &lt; 0, E346 + H345, 0)</f>
        <v>0</v>
      </c>
      <c r="I346" s="1">
        <f>IF(H346 &lt; 0, 1 + I345, 0)</f>
        <v>0</v>
      </c>
      <c r="J346" s="1">
        <f>C346-((ABS(SUM(PL!E346:H346)))*0.125)</f>
        <v>0</v>
      </c>
      <c r="K346" s="1">
        <f>D346-((ABS(SUM(PL!I346:L346)))*0.125)</f>
        <v>0</v>
      </c>
      <c r="L346" s="1">
        <f>J346 + K346</f>
        <v>0</v>
      </c>
      <c r="M346" s="1">
        <f>IF(J346 + M345 &lt; 0, J346 + M345, 0)</f>
        <v>0</v>
      </c>
      <c r="N346" s="1">
        <f>IF(K346 + N345 &lt; 0, K346 + N345, 0)</f>
        <v>0</v>
      </c>
      <c r="O346" s="1">
        <f>IF(L346 + O345 &lt; 0, L346 + O345, 0)</f>
        <v>0</v>
      </c>
      <c r="P346" s="1">
        <f>IF(O346 &lt; 0, 1 + P345, 0)</f>
        <v>0</v>
      </c>
      <c r="Q346" s="1">
        <f>IF(E346&lt;0,1,0)</f>
        <v>0</v>
      </c>
      <c r="R346" s="1">
        <f>IF(Q346=1,E346,0)</f>
        <v>0</v>
      </c>
      <c r="S346" s="1">
        <f>IF(E346&gt;0,1,0)</f>
        <v>0</v>
      </c>
      <c r="T346" s="1">
        <f>IF(S346=1,E346,0)</f>
        <v>0</v>
      </c>
      <c r="U346" s="1">
        <f>IF(R346&lt;-100000000/100,1,0)</f>
        <v>0</v>
      </c>
      <c r="V346" s="1">
        <f>IF(T346&gt;100000000/100,1,0)</f>
        <v>0</v>
      </c>
      <c r="W346" s="1">
        <f>IF(L346&lt;0,1,0)</f>
        <v>0</v>
      </c>
      <c r="X346" s="1">
        <f>IF(W346=1,L346,0)</f>
        <v>0</v>
      </c>
      <c r="Y346" s="1">
        <f>IF(L346&gt;0,1,0)</f>
        <v>0</v>
      </c>
      <c r="Z346" s="1">
        <f>IF(Y346=1,L346,0)</f>
        <v>0</v>
      </c>
      <c r="AA346" s="1">
        <f>IF(X346&lt;-100000000/100,1,0)</f>
        <v>0</v>
      </c>
      <c r="AB346" s="1">
        <f>IF(Z346&gt;100000000/100,1,0)</f>
        <v>0</v>
      </c>
    </row>
    <row r="347" spans="1:28" s="1" customFormat="1">
      <c r="A347" s="3">
        <v>45490</v>
      </c>
      <c r="B347" s="2" t="s">
        <v>14</v>
      </c>
      <c r="C347" s="1">
        <f>SUM(PL!E347:H347)</f>
        <v>0</v>
      </c>
      <c r="D347" s="1">
        <f>SUM(PL!I347:L347)</f>
        <v>0</v>
      </c>
      <c r="E347" s="1">
        <f>SUM(C347:D347)</f>
        <v>0</v>
      </c>
      <c r="F347" s="1">
        <f>IF(C347 + F346 &lt; 0, C347 + F346, 0)</f>
        <v>0</v>
      </c>
      <c r="G347" s="1">
        <f>IF(D347 + G346 &lt; 0, D347 + G346, 0)</f>
        <v>0</v>
      </c>
      <c r="H347" s="1">
        <f>IF(E347 + H346 &lt; 0, E347 + H346, 0)</f>
        <v>0</v>
      </c>
      <c r="I347" s="1">
        <f>IF(H347 &lt; 0, 1 + I346, 0)</f>
        <v>0</v>
      </c>
      <c r="J347" s="1">
        <f>C347-((ABS(SUM(PL!E347:H347)))*0.125)</f>
        <v>0</v>
      </c>
      <c r="K347" s="1">
        <f>D347-((ABS(SUM(PL!I347:L347)))*0.125)</f>
        <v>0</v>
      </c>
      <c r="L347" s="1">
        <f>J347 + K347</f>
        <v>0</v>
      </c>
      <c r="M347" s="1">
        <f>IF(J347 + M346 &lt; 0, J347 + M346, 0)</f>
        <v>0</v>
      </c>
      <c r="N347" s="1">
        <f>IF(K347 + N346 &lt; 0, K347 + N346, 0)</f>
        <v>0</v>
      </c>
      <c r="O347" s="1">
        <f>IF(L347 + O346 &lt; 0, L347 + O346, 0)</f>
        <v>0</v>
      </c>
      <c r="P347" s="1">
        <f>IF(O347 &lt; 0, 1 + P346, 0)</f>
        <v>0</v>
      </c>
      <c r="Q347" s="1">
        <f>IF(E347&lt;0,1,0)</f>
        <v>0</v>
      </c>
      <c r="R347" s="1">
        <f>IF(Q347=1,E347,0)</f>
        <v>0</v>
      </c>
      <c r="S347" s="1">
        <f>IF(E347&gt;0,1,0)</f>
        <v>0</v>
      </c>
      <c r="T347" s="1">
        <f>IF(S347=1,E347,0)</f>
        <v>0</v>
      </c>
      <c r="U347" s="1">
        <f>IF(R347&lt;-100000000/100,1,0)</f>
        <v>0</v>
      </c>
      <c r="V347" s="1">
        <f>IF(T347&gt;100000000/100,1,0)</f>
        <v>0</v>
      </c>
      <c r="W347" s="1">
        <f>IF(L347&lt;0,1,0)</f>
        <v>0</v>
      </c>
      <c r="X347" s="1">
        <f>IF(W347=1,L347,0)</f>
        <v>0</v>
      </c>
      <c r="Y347" s="1">
        <f>IF(L347&gt;0,1,0)</f>
        <v>0</v>
      </c>
      <c r="Z347" s="1">
        <f>IF(Y347=1,L347,0)</f>
        <v>0</v>
      </c>
      <c r="AA347" s="1">
        <f>IF(X347&lt;-100000000/100,1,0)</f>
        <v>0</v>
      </c>
      <c r="AB347" s="1">
        <f>IF(Z347&gt;100000000/100,1,0)</f>
        <v>0</v>
      </c>
    </row>
    <row r="348" spans="1:28" s="1" customFormat="1">
      <c r="A348" s="3">
        <v>45491</v>
      </c>
      <c r="B348" s="2" t="s">
        <v>16</v>
      </c>
      <c r="C348" s="1">
        <f>SUM(PL!E348:H348)</f>
        <v>0</v>
      </c>
      <c r="D348" s="1">
        <f>SUM(PL!I348:L348)</f>
        <v>0</v>
      </c>
      <c r="E348" s="1">
        <f>SUM(C348:D348)</f>
        <v>0</v>
      </c>
      <c r="F348" s="1">
        <f>IF(C348 + F347 &lt; 0, C348 + F347, 0)</f>
        <v>0</v>
      </c>
      <c r="G348" s="1">
        <f>IF(D348 + G347 &lt; 0, D348 + G347, 0)</f>
        <v>0</v>
      </c>
      <c r="H348" s="1">
        <f>IF(E348 + H347 &lt; 0, E348 + H347, 0)</f>
        <v>0</v>
      </c>
      <c r="I348" s="1">
        <f>IF(H348 &lt; 0, 1 + I347, 0)</f>
        <v>0</v>
      </c>
      <c r="J348" s="1">
        <f>C348-((ABS(SUM(PL!E348:H348)))*0.125)</f>
        <v>0</v>
      </c>
      <c r="K348" s="1">
        <f>D348-((ABS(SUM(PL!I348:L348)))*0.125)</f>
        <v>0</v>
      </c>
      <c r="L348" s="1">
        <f>J348 + K348</f>
        <v>0</v>
      </c>
      <c r="M348" s="1">
        <f>IF(J348 + M347 &lt; 0, J348 + M347, 0)</f>
        <v>0</v>
      </c>
      <c r="N348" s="1">
        <f>IF(K348 + N347 &lt; 0, K348 + N347, 0)</f>
        <v>0</v>
      </c>
      <c r="O348" s="1">
        <f>IF(L348 + O347 &lt; 0, L348 + O347, 0)</f>
        <v>0</v>
      </c>
      <c r="P348" s="1">
        <f>IF(O348 &lt; 0, 1 + P347, 0)</f>
        <v>0</v>
      </c>
      <c r="Q348" s="1">
        <f>IF(E348&lt;0,1,0)</f>
        <v>0</v>
      </c>
      <c r="R348" s="1">
        <f>IF(Q348=1,E348,0)</f>
        <v>0</v>
      </c>
      <c r="S348" s="1">
        <f>IF(E348&gt;0,1,0)</f>
        <v>0</v>
      </c>
      <c r="T348" s="1">
        <f>IF(S348=1,E348,0)</f>
        <v>0</v>
      </c>
      <c r="U348" s="1">
        <f>IF(R348&lt;-100000000/100,1,0)</f>
        <v>0</v>
      </c>
      <c r="V348" s="1">
        <f>IF(T348&gt;100000000/100,1,0)</f>
        <v>0</v>
      </c>
      <c r="W348" s="1">
        <f>IF(L348&lt;0,1,0)</f>
        <v>0</v>
      </c>
      <c r="X348" s="1">
        <f>IF(W348=1,L348,0)</f>
        <v>0</v>
      </c>
      <c r="Y348" s="1">
        <f>IF(L348&gt;0,1,0)</f>
        <v>0</v>
      </c>
      <c r="Z348" s="1">
        <f>IF(Y348=1,L348,0)</f>
        <v>0</v>
      </c>
      <c r="AA348" s="1">
        <f>IF(X348&lt;-100000000/100,1,0)</f>
        <v>0</v>
      </c>
      <c r="AB348" s="1">
        <f>IF(Z348&gt;100000000/100,1,0)</f>
        <v>0</v>
      </c>
    </row>
    <row r="349" spans="1:28" s="1" customFormat="1">
      <c r="A349" s="3">
        <v>45492</v>
      </c>
      <c r="B349" s="2" t="s">
        <v>15</v>
      </c>
      <c r="C349" s="1">
        <f>SUM(PL!E349:H349)</f>
        <v>0</v>
      </c>
      <c r="D349" s="1">
        <f>SUM(PL!I349:L349)</f>
        <v>0</v>
      </c>
      <c r="E349" s="1">
        <f>SUM(C349:D349)</f>
        <v>0</v>
      </c>
      <c r="F349" s="1">
        <f>IF(C349 + F348 &lt; 0, C349 + F348, 0)</f>
        <v>0</v>
      </c>
      <c r="G349" s="1">
        <f>IF(D349 + G348 &lt; 0, D349 + G348, 0)</f>
        <v>0</v>
      </c>
      <c r="H349" s="1">
        <f>IF(E349 + H348 &lt; 0, E349 + H348, 0)</f>
        <v>0</v>
      </c>
      <c r="I349" s="1">
        <f>IF(H349 &lt; 0, 1 + I348, 0)</f>
        <v>0</v>
      </c>
      <c r="J349" s="1">
        <f>C349-((ABS(SUM(PL!E349:H349)))*0.125)</f>
        <v>0</v>
      </c>
      <c r="K349" s="1">
        <f>D349-((ABS(SUM(PL!I349:L349)))*0.125)</f>
        <v>0</v>
      </c>
      <c r="L349" s="1">
        <f>J349 + K349</f>
        <v>0</v>
      </c>
      <c r="M349" s="1">
        <f>IF(J349 + M348 &lt; 0, J349 + M348, 0)</f>
        <v>0</v>
      </c>
      <c r="N349" s="1">
        <f>IF(K349 + N348 &lt; 0, K349 + N348, 0)</f>
        <v>0</v>
      </c>
      <c r="O349" s="1">
        <f>IF(L349 + O348 &lt; 0, L349 + O348, 0)</f>
        <v>0</v>
      </c>
      <c r="P349" s="1">
        <f>IF(O349 &lt; 0, 1 + P348, 0)</f>
        <v>0</v>
      </c>
      <c r="Q349" s="1">
        <f>IF(E349&lt;0,1,0)</f>
        <v>0</v>
      </c>
      <c r="R349" s="1">
        <f>IF(Q349=1,E349,0)</f>
        <v>0</v>
      </c>
      <c r="S349" s="1">
        <f>IF(E349&gt;0,1,0)</f>
        <v>0</v>
      </c>
      <c r="T349" s="1">
        <f>IF(S349=1,E349,0)</f>
        <v>0</v>
      </c>
      <c r="U349" s="1">
        <f>IF(R349&lt;-100000000/100,1,0)</f>
        <v>0</v>
      </c>
      <c r="V349" s="1">
        <f>IF(T349&gt;100000000/100,1,0)</f>
        <v>0</v>
      </c>
      <c r="W349" s="1">
        <f>IF(L349&lt;0,1,0)</f>
        <v>0</v>
      </c>
      <c r="X349" s="1">
        <f>IF(W349=1,L349,0)</f>
        <v>0</v>
      </c>
      <c r="Y349" s="1">
        <f>IF(L349&gt;0,1,0)</f>
        <v>0</v>
      </c>
      <c r="Z349" s="1">
        <f>IF(Y349=1,L349,0)</f>
        <v>0</v>
      </c>
      <c r="AA349" s="1">
        <f>IF(X349&lt;-100000000/100,1,0)</f>
        <v>0</v>
      </c>
      <c r="AB349" s="1">
        <f>IF(Z349&gt;100000000/100,1,0)</f>
        <v>0</v>
      </c>
    </row>
    <row r="350" spans="1:28" s="1" customFormat="1">
      <c r="A350" s="3">
        <v>45495</v>
      </c>
      <c r="B350" s="2" t="s">
        <v>12</v>
      </c>
      <c r="C350" s="1">
        <f>SUM(PL!E350:H350)</f>
        <v>0</v>
      </c>
      <c r="D350" s="1">
        <f>SUM(PL!I350:L350)</f>
        <v>0</v>
      </c>
      <c r="E350" s="1">
        <f>SUM(C350:D350)</f>
        <v>0</v>
      </c>
      <c r="F350" s="1">
        <f>IF(C350 + F349 &lt; 0, C350 + F349, 0)</f>
        <v>0</v>
      </c>
      <c r="G350" s="1">
        <f>IF(D350 + G349 &lt; 0, D350 + G349, 0)</f>
        <v>0</v>
      </c>
      <c r="H350" s="1">
        <f>IF(E350 + H349 &lt; 0, E350 + H349, 0)</f>
        <v>0</v>
      </c>
      <c r="I350" s="1">
        <f>IF(H350 &lt; 0, 1 + I349, 0)</f>
        <v>0</v>
      </c>
      <c r="J350" s="1">
        <f>C350-((ABS(SUM(PL!E350:H350)))*0.125)</f>
        <v>0</v>
      </c>
      <c r="K350" s="1">
        <f>D350-((ABS(SUM(PL!I350:L350)))*0.125)</f>
        <v>0</v>
      </c>
      <c r="L350" s="1">
        <f>J350 + K350</f>
        <v>0</v>
      </c>
      <c r="M350" s="1">
        <f>IF(J350 + M349 &lt; 0, J350 + M349, 0)</f>
        <v>0</v>
      </c>
      <c r="N350" s="1">
        <f>IF(K350 + N349 &lt; 0, K350 + N349, 0)</f>
        <v>0</v>
      </c>
      <c r="O350" s="1">
        <f>IF(L350 + O349 &lt; 0, L350 + O349, 0)</f>
        <v>0</v>
      </c>
      <c r="P350" s="1">
        <f>IF(O350 &lt; 0, 1 + P349, 0)</f>
        <v>0</v>
      </c>
      <c r="Q350" s="1">
        <f>IF(E350&lt;0,1,0)</f>
        <v>0</v>
      </c>
      <c r="R350" s="1">
        <f>IF(Q350=1,E350,0)</f>
        <v>0</v>
      </c>
      <c r="S350" s="1">
        <f>IF(E350&gt;0,1,0)</f>
        <v>0</v>
      </c>
      <c r="T350" s="1">
        <f>IF(S350=1,E350,0)</f>
        <v>0</v>
      </c>
      <c r="U350" s="1">
        <f>IF(R350&lt;-100000000/100,1,0)</f>
        <v>0</v>
      </c>
      <c r="V350" s="1">
        <f>IF(T350&gt;100000000/100,1,0)</f>
        <v>0</v>
      </c>
      <c r="W350" s="1">
        <f>IF(L350&lt;0,1,0)</f>
        <v>0</v>
      </c>
      <c r="X350" s="1">
        <f>IF(W350=1,L350,0)</f>
        <v>0</v>
      </c>
      <c r="Y350" s="1">
        <f>IF(L350&gt;0,1,0)</f>
        <v>0</v>
      </c>
      <c r="Z350" s="1">
        <f>IF(Y350=1,L350,0)</f>
        <v>0</v>
      </c>
      <c r="AA350" s="1">
        <f>IF(X350&lt;-100000000/100,1,0)</f>
        <v>0</v>
      </c>
      <c r="AB350" s="1">
        <f>IF(Z350&gt;100000000/100,1,0)</f>
        <v>0</v>
      </c>
    </row>
    <row r="351" spans="1:28" s="1" customFormat="1">
      <c r="A351" s="3">
        <v>45496</v>
      </c>
      <c r="B351" s="2" t="s">
        <v>13</v>
      </c>
      <c r="C351" s="1">
        <f>SUM(PL!E351:H351)</f>
        <v>0</v>
      </c>
      <c r="D351" s="1">
        <f>SUM(PL!I351:L351)</f>
        <v>0</v>
      </c>
      <c r="E351" s="1">
        <f>SUM(C351:D351)</f>
        <v>0</v>
      </c>
      <c r="F351" s="1">
        <f>IF(C351 + F350 &lt; 0, C351 + F350, 0)</f>
        <v>0</v>
      </c>
      <c r="G351" s="1">
        <f>IF(D351 + G350 &lt; 0, D351 + G350, 0)</f>
        <v>0</v>
      </c>
      <c r="H351" s="1">
        <f>IF(E351 + H350 &lt; 0, E351 + H350, 0)</f>
        <v>0</v>
      </c>
      <c r="I351" s="1">
        <f>IF(H351 &lt; 0, 1 + I350, 0)</f>
        <v>0</v>
      </c>
      <c r="J351" s="1">
        <f>C351-((ABS(SUM(PL!E351:H351)))*0.125)</f>
        <v>0</v>
      </c>
      <c r="K351" s="1">
        <f>D351-((ABS(SUM(PL!I351:L351)))*0.125)</f>
        <v>0</v>
      </c>
      <c r="L351" s="1">
        <f>J351 + K351</f>
        <v>0</v>
      </c>
      <c r="M351" s="1">
        <f>IF(J351 + M350 &lt; 0, J351 + M350, 0)</f>
        <v>0</v>
      </c>
      <c r="N351" s="1">
        <f>IF(K351 + N350 &lt; 0, K351 + N350, 0)</f>
        <v>0</v>
      </c>
      <c r="O351" s="1">
        <f>IF(L351 + O350 &lt; 0, L351 + O350, 0)</f>
        <v>0</v>
      </c>
      <c r="P351" s="1">
        <f>IF(O351 &lt; 0, 1 + P350, 0)</f>
        <v>0</v>
      </c>
      <c r="Q351" s="1">
        <f>IF(E351&lt;0,1,0)</f>
        <v>0</v>
      </c>
      <c r="R351" s="1">
        <f>IF(Q351=1,E351,0)</f>
        <v>0</v>
      </c>
      <c r="S351" s="1">
        <f>IF(E351&gt;0,1,0)</f>
        <v>0</v>
      </c>
      <c r="T351" s="1">
        <f>IF(S351=1,E351,0)</f>
        <v>0</v>
      </c>
      <c r="U351" s="1">
        <f>IF(R351&lt;-100000000/100,1,0)</f>
        <v>0</v>
      </c>
      <c r="V351" s="1">
        <f>IF(T351&gt;100000000/100,1,0)</f>
        <v>0</v>
      </c>
      <c r="W351" s="1">
        <f>IF(L351&lt;0,1,0)</f>
        <v>0</v>
      </c>
      <c r="X351" s="1">
        <f>IF(W351=1,L351,0)</f>
        <v>0</v>
      </c>
      <c r="Y351" s="1">
        <f>IF(L351&gt;0,1,0)</f>
        <v>0</v>
      </c>
      <c r="Z351" s="1">
        <f>IF(Y351=1,L351,0)</f>
        <v>0</v>
      </c>
      <c r="AA351" s="1">
        <f>IF(X351&lt;-100000000/100,1,0)</f>
        <v>0</v>
      </c>
      <c r="AB351" s="1">
        <f>IF(Z351&gt;100000000/100,1,0)</f>
        <v>0</v>
      </c>
    </row>
    <row r="352" spans="1:28" s="1" customFormat="1">
      <c r="A352" s="3">
        <v>45497</v>
      </c>
      <c r="B352" s="2" t="s">
        <v>14</v>
      </c>
      <c r="C352" s="1">
        <f>SUM(PL!E352:H352)</f>
        <v>0</v>
      </c>
      <c r="D352" s="1">
        <f>SUM(PL!I352:L352)</f>
        <v>0</v>
      </c>
      <c r="E352" s="1">
        <f>SUM(C352:D352)</f>
        <v>0</v>
      </c>
      <c r="F352" s="1">
        <f>IF(C352 + F351 &lt; 0, C352 + F351, 0)</f>
        <v>0</v>
      </c>
      <c r="G352" s="1">
        <f>IF(D352 + G351 &lt; 0, D352 + G351, 0)</f>
        <v>0</v>
      </c>
      <c r="H352" s="1">
        <f>IF(E352 + H351 &lt; 0, E352 + H351, 0)</f>
        <v>0</v>
      </c>
      <c r="I352" s="1">
        <f>IF(H352 &lt; 0, 1 + I351, 0)</f>
        <v>0</v>
      </c>
      <c r="J352" s="1">
        <f>C352-((ABS(SUM(PL!E352:H352)))*0.125)</f>
        <v>0</v>
      </c>
      <c r="K352" s="1">
        <f>D352-((ABS(SUM(PL!I352:L352)))*0.125)</f>
        <v>0</v>
      </c>
      <c r="L352" s="1">
        <f>J352 + K352</f>
        <v>0</v>
      </c>
      <c r="M352" s="1">
        <f>IF(J352 + M351 &lt; 0, J352 + M351, 0)</f>
        <v>0</v>
      </c>
      <c r="N352" s="1">
        <f>IF(K352 + N351 &lt; 0, K352 + N351, 0)</f>
        <v>0</v>
      </c>
      <c r="O352" s="1">
        <f>IF(L352 + O351 &lt; 0, L352 + O351, 0)</f>
        <v>0</v>
      </c>
      <c r="P352" s="1">
        <f>IF(O352 &lt; 0, 1 + P351, 0)</f>
        <v>0</v>
      </c>
      <c r="Q352" s="1">
        <f>IF(E352&lt;0,1,0)</f>
        <v>0</v>
      </c>
      <c r="R352" s="1">
        <f>IF(Q352=1,E352,0)</f>
        <v>0</v>
      </c>
      <c r="S352" s="1">
        <f>IF(E352&gt;0,1,0)</f>
        <v>0</v>
      </c>
      <c r="T352" s="1">
        <f>IF(S352=1,E352,0)</f>
        <v>0</v>
      </c>
      <c r="U352" s="1">
        <f>IF(R352&lt;-100000000/100,1,0)</f>
        <v>0</v>
      </c>
      <c r="V352" s="1">
        <f>IF(T352&gt;100000000/100,1,0)</f>
        <v>0</v>
      </c>
      <c r="W352" s="1">
        <f>IF(L352&lt;0,1,0)</f>
        <v>0</v>
      </c>
      <c r="X352" s="1">
        <f>IF(W352=1,L352,0)</f>
        <v>0</v>
      </c>
      <c r="Y352" s="1">
        <f>IF(L352&gt;0,1,0)</f>
        <v>0</v>
      </c>
      <c r="Z352" s="1">
        <f>IF(Y352=1,L352,0)</f>
        <v>0</v>
      </c>
      <c r="AA352" s="1">
        <f>IF(X352&lt;-100000000/100,1,0)</f>
        <v>0</v>
      </c>
      <c r="AB352" s="1">
        <f>IF(Z352&gt;100000000/100,1,0)</f>
        <v>0</v>
      </c>
    </row>
    <row r="353" spans="1:28" s="1" customFormat="1">
      <c r="A353" s="3">
        <v>45498</v>
      </c>
      <c r="B353" s="2" t="s">
        <v>16</v>
      </c>
      <c r="C353" s="1">
        <f>SUM(PL!E353:H353)</f>
        <v>0</v>
      </c>
      <c r="D353" s="1">
        <f>SUM(PL!I353:L353)</f>
        <v>0</v>
      </c>
      <c r="E353" s="1">
        <f>SUM(C353:D353)</f>
        <v>0</v>
      </c>
      <c r="F353" s="1">
        <f>IF(C353 + F352 &lt; 0, C353 + F352, 0)</f>
        <v>0</v>
      </c>
      <c r="G353" s="1">
        <f>IF(D353 + G352 &lt; 0, D353 + G352, 0)</f>
        <v>0</v>
      </c>
      <c r="H353" s="1">
        <f>IF(E353 + H352 &lt; 0, E353 + H352, 0)</f>
        <v>0</v>
      </c>
      <c r="I353" s="1">
        <f>IF(H353 &lt; 0, 1 + I352, 0)</f>
        <v>0</v>
      </c>
      <c r="J353" s="1">
        <f>C353-((ABS(SUM(PL!E353:H353)))*0.125)</f>
        <v>0</v>
      </c>
      <c r="K353" s="1">
        <f>D353-((ABS(SUM(PL!I353:L353)))*0.125)</f>
        <v>0</v>
      </c>
      <c r="L353" s="1">
        <f>J353 + K353</f>
        <v>0</v>
      </c>
      <c r="M353" s="1">
        <f>IF(J353 + M352 &lt; 0, J353 + M352, 0)</f>
        <v>0</v>
      </c>
      <c r="N353" s="1">
        <f>IF(K353 + N352 &lt; 0, K353 + N352, 0)</f>
        <v>0</v>
      </c>
      <c r="O353" s="1">
        <f>IF(L353 + O352 &lt; 0, L353 + O352, 0)</f>
        <v>0</v>
      </c>
      <c r="P353" s="1">
        <f>IF(O353 &lt; 0, 1 + P352, 0)</f>
        <v>0</v>
      </c>
      <c r="Q353" s="1">
        <f>IF(E353&lt;0,1,0)</f>
        <v>0</v>
      </c>
      <c r="R353" s="1">
        <f>IF(Q353=1,E353,0)</f>
        <v>0</v>
      </c>
      <c r="S353" s="1">
        <f>IF(E353&gt;0,1,0)</f>
        <v>0</v>
      </c>
      <c r="T353" s="1">
        <f>IF(S353=1,E353,0)</f>
        <v>0</v>
      </c>
      <c r="U353" s="1">
        <f>IF(R353&lt;-100000000/100,1,0)</f>
        <v>0</v>
      </c>
      <c r="V353" s="1">
        <f>IF(T353&gt;100000000/100,1,0)</f>
        <v>0</v>
      </c>
      <c r="W353" s="1">
        <f>IF(L353&lt;0,1,0)</f>
        <v>0</v>
      </c>
      <c r="X353" s="1">
        <f>IF(W353=1,L353,0)</f>
        <v>0</v>
      </c>
      <c r="Y353" s="1">
        <f>IF(L353&gt;0,1,0)</f>
        <v>0</v>
      </c>
      <c r="Z353" s="1">
        <f>IF(Y353=1,L353,0)</f>
        <v>0</v>
      </c>
      <c r="AA353" s="1">
        <f>IF(X353&lt;-100000000/100,1,0)</f>
        <v>0</v>
      </c>
      <c r="AB353" s="1">
        <f>IF(Z353&gt;100000000/100,1,0)</f>
        <v>0</v>
      </c>
    </row>
    <row r="354" spans="1:28" s="1" customFormat="1">
      <c r="A354" s="3">
        <v>45499</v>
      </c>
      <c r="B354" s="2" t="s">
        <v>15</v>
      </c>
      <c r="C354" s="1">
        <f>SUM(PL!E354:H354)</f>
        <v>0</v>
      </c>
      <c r="D354" s="1">
        <f>SUM(PL!I354:L354)</f>
        <v>0</v>
      </c>
      <c r="E354" s="1">
        <f>SUM(C354:D354)</f>
        <v>0</v>
      </c>
      <c r="F354" s="1">
        <f>IF(C354 + F353 &lt; 0, C354 + F353, 0)</f>
        <v>0</v>
      </c>
      <c r="G354" s="1">
        <f>IF(D354 + G353 &lt; 0, D354 + G353, 0)</f>
        <v>0</v>
      </c>
      <c r="H354" s="1">
        <f>IF(E354 + H353 &lt; 0, E354 + H353, 0)</f>
        <v>0</v>
      </c>
      <c r="I354" s="1">
        <f>IF(H354 &lt; 0, 1 + I353, 0)</f>
        <v>0</v>
      </c>
      <c r="J354" s="1">
        <f>C354-((ABS(SUM(PL!E354:H354)))*0.125)</f>
        <v>0</v>
      </c>
      <c r="K354" s="1">
        <f>D354-((ABS(SUM(PL!I354:L354)))*0.125)</f>
        <v>0</v>
      </c>
      <c r="L354" s="1">
        <f>J354 + K354</f>
        <v>0</v>
      </c>
      <c r="M354" s="1">
        <f>IF(J354 + M353 &lt; 0, J354 + M353, 0)</f>
        <v>0</v>
      </c>
      <c r="N354" s="1">
        <f>IF(K354 + N353 &lt; 0, K354 + N353, 0)</f>
        <v>0</v>
      </c>
      <c r="O354" s="1">
        <f>IF(L354 + O353 &lt; 0, L354 + O353, 0)</f>
        <v>0</v>
      </c>
      <c r="P354" s="1">
        <f>IF(O354 &lt; 0, 1 + P353, 0)</f>
        <v>0</v>
      </c>
      <c r="Q354" s="1">
        <f>IF(E354&lt;0,1,0)</f>
        <v>0</v>
      </c>
      <c r="R354" s="1">
        <f>IF(Q354=1,E354,0)</f>
        <v>0</v>
      </c>
      <c r="S354" s="1">
        <f>IF(E354&gt;0,1,0)</f>
        <v>0</v>
      </c>
      <c r="T354" s="1">
        <f>IF(S354=1,E354,0)</f>
        <v>0</v>
      </c>
      <c r="U354" s="1">
        <f>IF(R354&lt;-100000000/100,1,0)</f>
        <v>0</v>
      </c>
      <c r="V354" s="1">
        <f>IF(T354&gt;100000000/100,1,0)</f>
        <v>0</v>
      </c>
      <c r="W354" s="1">
        <f>IF(L354&lt;0,1,0)</f>
        <v>0</v>
      </c>
      <c r="X354" s="1">
        <f>IF(W354=1,L354,0)</f>
        <v>0</v>
      </c>
      <c r="Y354" s="1">
        <f>IF(L354&gt;0,1,0)</f>
        <v>0</v>
      </c>
      <c r="Z354" s="1">
        <f>IF(Y354=1,L354,0)</f>
        <v>0</v>
      </c>
      <c r="AA354" s="1">
        <f>IF(X354&lt;-100000000/100,1,0)</f>
        <v>0</v>
      </c>
      <c r="AB354" s="1">
        <f>IF(Z354&gt;100000000/100,1,0)</f>
        <v>0</v>
      </c>
    </row>
    <row r="355" spans="1:28" s="1" customFormat="1">
      <c r="A355" s="3">
        <v>45502</v>
      </c>
      <c r="B355" s="2" t="s">
        <v>12</v>
      </c>
      <c r="C355" s="1">
        <f>SUM(PL!E355:H355)</f>
        <v>0</v>
      </c>
      <c r="D355" s="1">
        <f>SUM(PL!I355:L355)</f>
        <v>0</v>
      </c>
      <c r="E355" s="1">
        <f>SUM(C355:D355)</f>
        <v>0</v>
      </c>
      <c r="F355" s="1">
        <f>IF(C355 + F354 &lt; 0, C355 + F354, 0)</f>
        <v>0</v>
      </c>
      <c r="G355" s="1">
        <f>IF(D355 + G354 &lt; 0, D355 + G354, 0)</f>
        <v>0</v>
      </c>
      <c r="H355" s="1">
        <f>IF(E355 + H354 &lt; 0, E355 + H354, 0)</f>
        <v>0</v>
      </c>
      <c r="I355" s="1">
        <f>IF(H355 &lt; 0, 1 + I354, 0)</f>
        <v>0</v>
      </c>
      <c r="J355" s="1">
        <f>C355-((ABS(SUM(PL!E355:H355)))*0.125)</f>
        <v>0</v>
      </c>
      <c r="K355" s="1">
        <f>D355-((ABS(SUM(PL!I355:L355)))*0.125)</f>
        <v>0</v>
      </c>
      <c r="L355" s="1">
        <f>J355 + K355</f>
        <v>0</v>
      </c>
      <c r="M355" s="1">
        <f>IF(J355 + M354 &lt; 0, J355 + M354, 0)</f>
        <v>0</v>
      </c>
      <c r="N355" s="1">
        <f>IF(K355 + N354 &lt; 0, K355 + N354, 0)</f>
        <v>0</v>
      </c>
      <c r="O355" s="1">
        <f>IF(L355 + O354 &lt; 0, L355 + O354, 0)</f>
        <v>0</v>
      </c>
      <c r="P355" s="1">
        <f>IF(O355 &lt; 0, 1 + P354, 0)</f>
        <v>0</v>
      </c>
      <c r="Q355" s="1">
        <f>IF(E355&lt;0,1,0)</f>
        <v>0</v>
      </c>
      <c r="R355" s="1">
        <f>IF(Q355=1,E355,0)</f>
        <v>0</v>
      </c>
      <c r="S355" s="1">
        <f>IF(E355&gt;0,1,0)</f>
        <v>0</v>
      </c>
      <c r="T355" s="1">
        <f>IF(S355=1,E355,0)</f>
        <v>0</v>
      </c>
      <c r="U355" s="1">
        <f>IF(R355&lt;-100000000/100,1,0)</f>
        <v>0</v>
      </c>
      <c r="V355" s="1">
        <f>IF(T355&gt;100000000/100,1,0)</f>
        <v>0</v>
      </c>
      <c r="W355" s="1">
        <f>IF(L355&lt;0,1,0)</f>
        <v>0</v>
      </c>
      <c r="X355" s="1">
        <f>IF(W355=1,L355,0)</f>
        <v>0</v>
      </c>
      <c r="Y355" s="1">
        <f>IF(L355&gt;0,1,0)</f>
        <v>0</v>
      </c>
      <c r="Z355" s="1">
        <f>IF(Y355=1,L355,0)</f>
        <v>0</v>
      </c>
      <c r="AA355" s="1">
        <f>IF(X355&lt;-100000000/100,1,0)</f>
        <v>0</v>
      </c>
      <c r="AB355" s="1">
        <f>IF(Z355&gt;100000000/100,1,0)</f>
        <v>0</v>
      </c>
    </row>
    <row r="356" spans="1:28" s="1" customFormat="1">
      <c r="A356" s="3">
        <v>45503</v>
      </c>
      <c r="B356" s="2" t="s">
        <v>13</v>
      </c>
      <c r="C356" s="1">
        <f>SUM(PL!E356:H356)</f>
        <v>0</v>
      </c>
      <c r="D356" s="1">
        <f>SUM(PL!I356:L356)</f>
        <v>0</v>
      </c>
      <c r="E356" s="1">
        <f>SUM(C356:D356)</f>
        <v>0</v>
      </c>
      <c r="F356" s="1">
        <f>IF(C356 + F355 &lt; 0, C356 + F355, 0)</f>
        <v>0</v>
      </c>
      <c r="G356" s="1">
        <f>IF(D356 + G355 &lt; 0, D356 + G355, 0)</f>
        <v>0</v>
      </c>
      <c r="H356" s="1">
        <f>IF(E356 + H355 &lt; 0, E356 + H355, 0)</f>
        <v>0</v>
      </c>
      <c r="I356" s="1">
        <f>IF(H356 &lt; 0, 1 + I355, 0)</f>
        <v>0</v>
      </c>
      <c r="J356" s="1">
        <f>C356-((ABS(SUM(PL!E356:H356)))*0.125)</f>
        <v>0</v>
      </c>
      <c r="K356" s="1">
        <f>D356-((ABS(SUM(PL!I356:L356)))*0.125)</f>
        <v>0</v>
      </c>
      <c r="L356" s="1">
        <f>J356 + K356</f>
        <v>0</v>
      </c>
      <c r="M356" s="1">
        <f>IF(J356 + M355 &lt; 0, J356 + M355, 0)</f>
        <v>0</v>
      </c>
      <c r="N356" s="1">
        <f>IF(K356 + N355 &lt; 0, K356 + N355, 0)</f>
        <v>0</v>
      </c>
      <c r="O356" s="1">
        <f>IF(L356 + O355 &lt; 0, L356 + O355, 0)</f>
        <v>0</v>
      </c>
      <c r="P356" s="1">
        <f>IF(O356 &lt; 0, 1 + P355, 0)</f>
        <v>0</v>
      </c>
      <c r="Q356" s="1">
        <f>IF(E356&lt;0,1,0)</f>
        <v>0</v>
      </c>
      <c r="R356" s="1">
        <f>IF(Q356=1,E356,0)</f>
        <v>0</v>
      </c>
      <c r="S356" s="1">
        <f>IF(E356&gt;0,1,0)</f>
        <v>0</v>
      </c>
      <c r="T356" s="1">
        <f>IF(S356=1,E356,0)</f>
        <v>0</v>
      </c>
      <c r="U356" s="1">
        <f>IF(R356&lt;-100000000/100,1,0)</f>
        <v>0</v>
      </c>
      <c r="V356" s="1">
        <f>IF(T356&gt;100000000/100,1,0)</f>
        <v>0</v>
      </c>
      <c r="W356" s="1">
        <f>IF(L356&lt;0,1,0)</f>
        <v>0</v>
      </c>
      <c r="X356" s="1">
        <f>IF(W356=1,L356,0)</f>
        <v>0</v>
      </c>
      <c r="Y356" s="1">
        <f>IF(L356&gt;0,1,0)</f>
        <v>0</v>
      </c>
      <c r="Z356" s="1">
        <f>IF(Y356=1,L356,0)</f>
        <v>0</v>
      </c>
      <c r="AA356" s="1">
        <f>IF(X356&lt;-100000000/100,1,0)</f>
        <v>0</v>
      </c>
      <c r="AB356" s="1">
        <f>IF(Z356&gt;100000000/100,1,0)</f>
        <v>0</v>
      </c>
    </row>
    <row r="357" spans="1:28" s="1" customFormat="1">
      <c r="A357" s="3">
        <v>45504</v>
      </c>
      <c r="B357" s="2" t="s">
        <v>14</v>
      </c>
      <c r="C357" s="1">
        <f>SUM(PL!E357:H357)</f>
        <v>0</v>
      </c>
      <c r="D357" s="1">
        <f>SUM(PL!I357:L357)</f>
        <v>0</v>
      </c>
      <c r="E357" s="1">
        <f>SUM(C357:D357)</f>
        <v>0</v>
      </c>
      <c r="F357" s="1">
        <f>IF(C357 + F356 &lt; 0, C357 + F356, 0)</f>
        <v>0</v>
      </c>
      <c r="G357" s="1">
        <f>IF(D357 + G356 &lt; 0, D357 + G356, 0)</f>
        <v>0</v>
      </c>
      <c r="H357" s="1">
        <f>IF(E357 + H356 &lt; 0, E357 + H356, 0)</f>
        <v>0</v>
      </c>
      <c r="I357" s="1">
        <f>IF(H357 &lt; 0, 1 + I356, 0)</f>
        <v>0</v>
      </c>
      <c r="J357" s="1">
        <f>C357-((ABS(SUM(PL!E357:H357)))*0.125)</f>
        <v>0</v>
      </c>
      <c r="K357" s="1">
        <f>D357-((ABS(SUM(PL!I357:L357)))*0.125)</f>
        <v>0</v>
      </c>
      <c r="L357" s="1">
        <f>J357 + K357</f>
        <v>0</v>
      </c>
      <c r="M357" s="1">
        <f>IF(J357 + M356 &lt; 0, J357 + M356, 0)</f>
        <v>0</v>
      </c>
      <c r="N357" s="1">
        <f>IF(K357 + N356 &lt; 0, K357 + N356, 0)</f>
        <v>0</v>
      </c>
      <c r="O357" s="1">
        <f>IF(L357 + O356 &lt; 0, L357 + O356, 0)</f>
        <v>0</v>
      </c>
      <c r="P357" s="1">
        <f>IF(O357 &lt; 0, 1 + P356, 0)</f>
        <v>0</v>
      </c>
      <c r="Q357" s="1">
        <f>IF(E357&lt;0,1,0)</f>
        <v>0</v>
      </c>
      <c r="R357" s="1">
        <f>IF(Q357=1,E357,0)</f>
        <v>0</v>
      </c>
      <c r="S357" s="1">
        <f>IF(E357&gt;0,1,0)</f>
        <v>0</v>
      </c>
      <c r="T357" s="1">
        <f>IF(S357=1,E357,0)</f>
        <v>0</v>
      </c>
      <c r="U357" s="1">
        <f>IF(R357&lt;-100000000/100,1,0)</f>
        <v>0</v>
      </c>
      <c r="V357" s="1">
        <f>IF(T357&gt;100000000/100,1,0)</f>
        <v>0</v>
      </c>
      <c r="W357" s="1">
        <f>IF(L357&lt;0,1,0)</f>
        <v>0</v>
      </c>
      <c r="X357" s="1">
        <f>IF(W357=1,L357,0)</f>
        <v>0</v>
      </c>
      <c r="Y357" s="1">
        <f>IF(L357&gt;0,1,0)</f>
        <v>0</v>
      </c>
      <c r="Z357" s="1">
        <f>IF(Y357=1,L357,0)</f>
        <v>0</v>
      </c>
      <c r="AA357" s="1">
        <f>IF(X357&lt;-100000000/100,1,0)</f>
        <v>0</v>
      </c>
      <c r="AB357" s="1">
        <f>IF(Z357&gt;100000000/100,1,0)</f>
        <v>0</v>
      </c>
    </row>
    <row r="358" spans="1:28" s="1" customFormat="1">
      <c r="A358" s="3">
        <v>45505</v>
      </c>
      <c r="B358" s="2" t="s">
        <v>16</v>
      </c>
      <c r="C358" s="1">
        <f>SUM(PL!E358:H358)</f>
        <v>0</v>
      </c>
      <c r="D358" s="1">
        <f>SUM(PL!I358:L358)</f>
        <v>0</v>
      </c>
      <c r="E358" s="1">
        <f>SUM(C358:D358)</f>
        <v>0</v>
      </c>
      <c r="F358" s="1">
        <f>IF(C358 + F357 &lt; 0, C358 + F357, 0)</f>
        <v>0</v>
      </c>
      <c r="G358" s="1">
        <f>IF(D358 + G357 &lt; 0, D358 + G357, 0)</f>
        <v>0</v>
      </c>
      <c r="H358" s="1">
        <f>IF(E358 + H357 &lt; 0, E358 + H357, 0)</f>
        <v>0</v>
      </c>
      <c r="I358" s="1">
        <f>IF(H358 &lt; 0, 1 + I357, 0)</f>
        <v>0</v>
      </c>
      <c r="J358" s="1">
        <f>C358-((ABS(SUM(PL!E358:H358)))*0.125)</f>
        <v>0</v>
      </c>
      <c r="K358" s="1">
        <f>D358-((ABS(SUM(PL!I358:L358)))*0.125)</f>
        <v>0</v>
      </c>
      <c r="L358" s="1">
        <f>J358 + K358</f>
        <v>0</v>
      </c>
      <c r="M358" s="1">
        <f>IF(J358 + M357 &lt; 0, J358 + M357, 0)</f>
        <v>0</v>
      </c>
      <c r="N358" s="1">
        <f>IF(K358 + N357 &lt; 0, K358 + N357, 0)</f>
        <v>0</v>
      </c>
      <c r="O358" s="1">
        <f>IF(L358 + O357 &lt; 0, L358 + O357, 0)</f>
        <v>0</v>
      </c>
      <c r="P358" s="1">
        <f>IF(O358 &lt; 0, 1 + P357, 0)</f>
        <v>0</v>
      </c>
      <c r="Q358" s="1">
        <f>IF(E358&lt;0,1,0)</f>
        <v>0</v>
      </c>
      <c r="R358" s="1">
        <f>IF(Q358=1,E358,0)</f>
        <v>0</v>
      </c>
      <c r="S358" s="1">
        <f>IF(E358&gt;0,1,0)</f>
        <v>0</v>
      </c>
      <c r="T358" s="1">
        <f>IF(S358=1,E358,0)</f>
        <v>0</v>
      </c>
      <c r="U358" s="1">
        <f>IF(R358&lt;-100000000/100,1,0)</f>
        <v>0</v>
      </c>
      <c r="V358" s="1">
        <f>IF(T358&gt;100000000/100,1,0)</f>
        <v>0</v>
      </c>
      <c r="W358" s="1">
        <f>IF(L358&lt;0,1,0)</f>
        <v>0</v>
      </c>
      <c r="X358" s="1">
        <f>IF(W358=1,L358,0)</f>
        <v>0</v>
      </c>
      <c r="Y358" s="1">
        <f>IF(L358&gt;0,1,0)</f>
        <v>0</v>
      </c>
      <c r="Z358" s="1">
        <f>IF(Y358=1,L358,0)</f>
        <v>0</v>
      </c>
      <c r="AA358" s="1">
        <f>IF(X358&lt;-100000000/100,1,0)</f>
        <v>0</v>
      </c>
      <c r="AB358" s="1">
        <f>IF(Z358&gt;100000000/100,1,0)</f>
        <v>0</v>
      </c>
    </row>
    <row r="359" spans="1:28" s="1" customFormat="1">
      <c r="A359" s="3">
        <v>45506</v>
      </c>
      <c r="B359" s="2" t="s">
        <v>15</v>
      </c>
      <c r="C359" s="1">
        <f>SUM(PL!E359:H359)</f>
        <v>0</v>
      </c>
      <c r="D359" s="1">
        <f>SUM(PL!I359:L359)</f>
        <v>0</v>
      </c>
      <c r="E359" s="1">
        <f>SUM(C359:D359)</f>
        <v>0</v>
      </c>
      <c r="F359" s="1">
        <f>IF(C359 + F358 &lt; 0, C359 + F358, 0)</f>
        <v>0</v>
      </c>
      <c r="G359" s="1">
        <f>IF(D359 + G358 &lt; 0, D359 + G358, 0)</f>
        <v>0</v>
      </c>
      <c r="H359" s="1">
        <f>IF(E359 + H358 &lt; 0, E359 + H358, 0)</f>
        <v>0</v>
      </c>
      <c r="I359" s="1">
        <f>IF(H359 &lt; 0, 1 + I358, 0)</f>
        <v>0</v>
      </c>
      <c r="J359" s="1">
        <f>C359-((ABS(SUM(PL!E359:H359)))*0.125)</f>
        <v>0</v>
      </c>
      <c r="K359" s="1">
        <f>D359-((ABS(SUM(PL!I359:L359)))*0.125)</f>
        <v>0</v>
      </c>
      <c r="L359" s="1">
        <f>J359 + K359</f>
        <v>0</v>
      </c>
      <c r="M359" s="1">
        <f>IF(J359 + M358 &lt; 0, J359 + M358, 0)</f>
        <v>0</v>
      </c>
      <c r="N359" s="1">
        <f>IF(K359 + N358 &lt; 0, K359 + N358, 0)</f>
        <v>0</v>
      </c>
      <c r="O359" s="1">
        <f>IF(L359 + O358 &lt; 0, L359 + O358, 0)</f>
        <v>0</v>
      </c>
      <c r="P359" s="1">
        <f>IF(O359 &lt; 0, 1 + P358, 0)</f>
        <v>0</v>
      </c>
      <c r="Q359" s="1">
        <f>IF(E359&lt;0,1,0)</f>
        <v>0</v>
      </c>
      <c r="R359" s="1">
        <f>IF(Q359=1,E359,0)</f>
        <v>0</v>
      </c>
      <c r="S359" s="1">
        <f>IF(E359&gt;0,1,0)</f>
        <v>0</v>
      </c>
      <c r="T359" s="1">
        <f>IF(S359=1,E359,0)</f>
        <v>0</v>
      </c>
      <c r="U359" s="1">
        <f>IF(R359&lt;-100000000/100,1,0)</f>
        <v>0</v>
      </c>
      <c r="V359" s="1">
        <f>IF(T359&gt;100000000/100,1,0)</f>
        <v>0</v>
      </c>
      <c r="W359" s="1">
        <f>IF(L359&lt;0,1,0)</f>
        <v>0</v>
      </c>
      <c r="X359" s="1">
        <f>IF(W359=1,L359,0)</f>
        <v>0</v>
      </c>
      <c r="Y359" s="1">
        <f>IF(L359&gt;0,1,0)</f>
        <v>0</v>
      </c>
      <c r="Z359" s="1">
        <f>IF(Y359=1,L359,0)</f>
        <v>0</v>
      </c>
      <c r="AA359" s="1">
        <f>IF(X359&lt;-100000000/100,1,0)</f>
        <v>0</v>
      </c>
      <c r="AB359" s="1">
        <f>IF(Z359&gt;100000000/100,1,0)</f>
        <v>0</v>
      </c>
    </row>
    <row r="360" spans="1:28" s="1" customFormat="1">
      <c r="A360" s="3">
        <v>45509</v>
      </c>
      <c r="B360" s="2" t="s">
        <v>12</v>
      </c>
      <c r="C360" s="1">
        <f>SUM(PL!E360:H360)</f>
        <v>0</v>
      </c>
      <c r="D360" s="1">
        <f>SUM(PL!I360:L360)</f>
        <v>0</v>
      </c>
      <c r="E360" s="1">
        <f>SUM(C360:D360)</f>
        <v>0</v>
      </c>
      <c r="F360" s="1">
        <f>IF(C360 + F359 &lt; 0, C360 + F359, 0)</f>
        <v>0</v>
      </c>
      <c r="G360" s="1">
        <f>IF(D360 + G359 &lt; 0, D360 + G359, 0)</f>
        <v>0</v>
      </c>
      <c r="H360" s="1">
        <f>IF(E360 + H359 &lt; 0, E360 + H359, 0)</f>
        <v>0</v>
      </c>
      <c r="I360" s="1">
        <f>IF(H360 &lt; 0, 1 + I359, 0)</f>
        <v>0</v>
      </c>
      <c r="J360" s="1">
        <f>C360-((ABS(SUM(PL!E360:H360)))*0.125)</f>
        <v>0</v>
      </c>
      <c r="K360" s="1">
        <f>D360-((ABS(SUM(PL!I360:L360)))*0.125)</f>
        <v>0</v>
      </c>
      <c r="L360" s="1">
        <f>J360 + K360</f>
        <v>0</v>
      </c>
      <c r="M360" s="1">
        <f>IF(J360 + M359 &lt; 0, J360 + M359, 0)</f>
        <v>0</v>
      </c>
      <c r="N360" s="1">
        <f>IF(K360 + N359 &lt; 0, K360 + N359, 0)</f>
        <v>0</v>
      </c>
      <c r="O360" s="1">
        <f>IF(L360 + O359 &lt; 0, L360 + O359, 0)</f>
        <v>0</v>
      </c>
      <c r="P360" s="1">
        <f>IF(O360 &lt; 0, 1 + P359, 0)</f>
        <v>0</v>
      </c>
      <c r="Q360" s="1">
        <f>IF(E360&lt;0,1,0)</f>
        <v>0</v>
      </c>
      <c r="R360" s="1">
        <f>IF(Q360=1,E360,0)</f>
        <v>0</v>
      </c>
      <c r="S360" s="1">
        <f>IF(E360&gt;0,1,0)</f>
        <v>0</v>
      </c>
      <c r="T360" s="1">
        <f>IF(S360=1,E360,0)</f>
        <v>0</v>
      </c>
      <c r="U360" s="1">
        <f>IF(R360&lt;-100000000/100,1,0)</f>
        <v>0</v>
      </c>
      <c r="V360" s="1">
        <f>IF(T360&gt;100000000/100,1,0)</f>
        <v>0</v>
      </c>
      <c r="W360" s="1">
        <f>IF(L360&lt;0,1,0)</f>
        <v>0</v>
      </c>
      <c r="X360" s="1">
        <f>IF(W360=1,L360,0)</f>
        <v>0</v>
      </c>
      <c r="Y360" s="1">
        <f>IF(L360&gt;0,1,0)</f>
        <v>0</v>
      </c>
      <c r="Z360" s="1">
        <f>IF(Y360=1,L360,0)</f>
        <v>0</v>
      </c>
      <c r="AA360" s="1">
        <f>IF(X360&lt;-100000000/100,1,0)</f>
        <v>0</v>
      </c>
      <c r="AB360" s="1">
        <f>IF(Z360&gt;100000000/100,1,0)</f>
        <v>0</v>
      </c>
    </row>
    <row r="361" spans="1:28" s="1" customFormat="1">
      <c r="A361" s="3">
        <v>45510</v>
      </c>
      <c r="B361" s="2" t="s">
        <v>13</v>
      </c>
      <c r="C361" s="1">
        <f>SUM(PL!E361:H361)</f>
        <v>0</v>
      </c>
      <c r="D361" s="1">
        <f>SUM(PL!I361:L361)</f>
        <v>0</v>
      </c>
      <c r="E361" s="1">
        <f>SUM(C361:D361)</f>
        <v>0</v>
      </c>
      <c r="F361" s="1">
        <f>IF(C361 + F360 &lt; 0, C361 + F360, 0)</f>
        <v>0</v>
      </c>
      <c r="G361" s="1">
        <f>IF(D361 + G360 &lt; 0, D361 + G360, 0)</f>
        <v>0</v>
      </c>
      <c r="H361" s="1">
        <f>IF(E361 + H360 &lt; 0, E361 + H360, 0)</f>
        <v>0</v>
      </c>
      <c r="I361" s="1">
        <f>IF(H361 &lt; 0, 1 + I360, 0)</f>
        <v>0</v>
      </c>
      <c r="J361" s="1">
        <f>C361-((ABS(SUM(PL!E361:H361)))*0.125)</f>
        <v>0</v>
      </c>
      <c r="K361" s="1">
        <f>D361-((ABS(SUM(PL!I361:L361)))*0.125)</f>
        <v>0</v>
      </c>
      <c r="L361" s="1">
        <f>J361 + K361</f>
        <v>0</v>
      </c>
      <c r="M361" s="1">
        <f>IF(J361 + M360 &lt; 0, J361 + M360, 0)</f>
        <v>0</v>
      </c>
      <c r="N361" s="1">
        <f>IF(K361 + N360 &lt; 0, K361 + N360, 0)</f>
        <v>0</v>
      </c>
      <c r="O361" s="1">
        <f>IF(L361 + O360 &lt; 0, L361 + O360, 0)</f>
        <v>0</v>
      </c>
      <c r="P361" s="1">
        <f>IF(O361 &lt; 0, 1 + P360, 0)</f>
        <v>0</v>
      </c>
      <c r="Q361" s="1">
        <f>IF(E361&lt;0,1,0)</f>
        <v>0</v>
      </c>
      <c r="R361" s="1">
        <f>IF(Q361=1,E361,0)</f>
        <v>0</v>
      </c>
      <c r="S361" s="1">
        <f>IF(E361&gt;0,1,0)</f>
        <v>0</v>
      </c>
      <c r="T361" s="1">
        <f>IF(S361=1,E361,0)</f>
        <v>0</v>
      </c>
      <c r="U361" s="1">
        <f>IF(R361&lt;-100000000/100,1,0)</f>
        <v>0</v>
      </c>
      <c r="V361" s="1">
        <f>IF(T361&gt;100000000/100,1,0)</f>
        <v>0</v>
      </c>
      <c r="W361" s="1">
        <f>IF(L361&lt;0,1,0)</f>
        <v>0</v>
      </c>
      <c r="X361" s="1">
        <f>IF(W361=1,L361,0)</f>
        <v>0</v>
      </c>
      <c r="Y361" s="1">
        <f>IF(L361&gt;0,1,0)</f>
        <v>0</v>
      </c>
      <c r="Z361" s="1">
        <f>IF(Y361=1,L361,0)</f>
        <v>0</v>
      </c>
      <c r="AA361" s="1">
        <f>IF(X361&lt;-100000000/100,1,0)</f>
        <v>0</v>
      </c>
      <c r="AB361" s="1">
        <f>IF(Z361&gt;100000000/100,1,0)</f>
        <v>0</v>
      </c>
    </row>
    <row r="362" spans="1:28" s="1" customFormat="1">
      <c r="A362" s="3">
        <v>45511</v>
      </c>
      <c r="B362" s="2" t="s">
        <v>14</v>
      </c>
      <c r="C362" s="1">
        <f>SUM(PL!E362:H362)</f>
        <v>0</v>
      </c>
      <c r="D362" s="1">
        <f>SUM(PL!I362:L362)</f>
        <v>0</v>
      </c>
      <c r="E362" s="1">
        <f>SUM(C362:D362)</f>
        <v>0</v>
      </c>
      <c r="F362" s="1">
        <f>IF(C362 + F361 &lt; 0, C362 + F361, 0)</f>
        <v>0</v>
      </c>
      <c r="G362" s="1">
        <f>IF(D362 + G361 &lt; 0, D362 + G361, 0)</f>
        <v>0</v>
      </c>
      <c r="H362" s="1">
        <f>IF(E362 + H361 &lt; 0, E362 + H361, 0)</f>
        <v>0</v>
      </c>
      <c r="I362" s="1">
        <f>IF(H362 &lt; 0, 1 + I361, 0)</f>
        <v>0</v>
      </c>
      <c r="J362" s="1">
        <f>C362-((ABS(SUM(PL!E362:H362)))*0.125)</f>
        <v>0</v>
      </c>
      <c r="K362" s="1">
        <f>D362-((ABS(SUM(PL!I362:L362)))*0.125)</f>
        <v>0</v>
      </c>
      <c r="L362" s="1">
        <f>J362 + K362</f>
        <v>0</v>
      </c>
      <c r="M362" s="1">
        <f>IF(J362 + M361 &lt; 0, J362 + M361, 0)</f>
        <v>0</v>
      </c>
      <c r="N362" s="1">
        <f>IF(K362 + N361 &lt; 0, K362 + N361, 0)</f>
        <v>0</v>
      </c>
      <c r="O362" s="1">
        <f>IF(L362 + O361 &lt; 0, L362 + O361, 0)</f>
        <v>0</v>
      </c>
      <c r="P362" s="1">
        <f>IF(O362 &lt; 0, 1 + P361, 0)</f>
        <v>0</v>
      </c>
      <c r="Q362" s="1">
        <f>IF(E362&lt;0,1,0)</f>
        <v>0</v>
      </c>
      <c r="R362" s="1">
        <f>IF(Q362=1,E362,0)</f>
        <v>0</v>
      </c>
      <c r="S362" s="1">
        <f>IF(E362&gt;0,1,0)</f>
        <v>0</v>
      </c>
      <c r="T362" s="1">
        <f>IF(S362=1,E362,0)</f>
        <v>0</v>
      </c>
      <c r="U362" s="1">
        <f>IF(R362&lt;-100000000/100,1,0)</f>
        <v>0</v>
      </c>
      <c r="V362" s="1">
        <f>IF(T362&gt;100000000/100,1,0)</f>
        <v>0</v>
      </c>
      <c r="W362" s="1">
        <f>IF(L362&lt;0,1,0)</f>
        <v>0</v>
      </c>
      <c r="X362" s="1">
        <f>IF(W362=1,L362,0)</f>
        <v>0</v>
      </c>
      <c r="Y362" s="1">
        <f>IF(L362&gt;0,1,0)</f>
        <v>0</v>
      </c>
      <c r="Z362" s="1">
        <f>IF(Y362=1,L362,0)</f>
        <v>0</v>
      </c>
      <c r="AA362" s="1">
        <f>IF(X362&lt;-100000000/100,1,0)</f>
        <v>0</v>
      </c>
      <c r="AB362" s="1">
        <f>IF(Z362&gt;100000000/100,1,0)</f>
        <v>0</v>
      </c>
    </row>
    <row r="363" spans="1:28" s="1" customFormat="1">
      <c r="A363" s="3">
        <v>45512</v>
      </c>
      <c r="B363" s="2" t="s">
        <v>16</v>
      </c>
      <c r="C363" s="1">
        <f>SUM(PL!E363:H363)</f>
        <v>0</v>
      </c>
      <c r="D363" s="1">
        <f>SUM(PL!I363:L363)</f>
        <v>0</v>
      </c>
      <c r="E363" s="1">
        <f>SUM(C363:D363)</f>
        <v>0</v>
      </c>
      <c r="F363" s="1">
        <f>IF(C363 + F362 &lt; 0, C363 + F362, 0)</f>
        <v>0</v>
      </c>
      <c r="G363" s="1">
        <f>IF(D363 + G362 &lt; 0, D363 + G362, 0)</f>
        <v>0</v>
      </c>
      <c r="H363" s="1">
        <f>IF(E363 + H362 &lt; 0, E363 + H362, 0)</f>
        <v>0</v>
      </c>
      <c r="I363" s="1">
        <f>IF(H363 &lt; 0, 1 + I362, 0)</f>
        <v>0</v>
      </c>
      <c r="J363" s="1">
        <f>C363-((ABS(SUM(PL!E363:H363)))*0.125)</f>
        <v>0</v>
      </c>
      <c r="K363" s="1">
        <f>D363-((ABS(SUM(PL!I363:L363)))*0.125)</f>
        <v>0</v>
      </c>
      <c r="L363" s="1">
        <f>J363 + K363</f>
        <v>0</v>
      </c>
      <c r="M363" s="1">
        <f>IF(J363 + M362 &lt; 0, J363 + M362, 0)</f>
        <v>0</v>
      </c>
      <c r="N363" s="1">
        <f>IF(K363 + N362 &lt; 0, K363 + N362, 0)</f>
        <v>0</v>
      </c>
      <c r="O363" s="1">
        <f>IF(L363 + O362 &lt; 0, L363 + O362, 0)</f>
        <v>0</v>
      </c>
      <c r="P363" s="1">
        <f>IF(O363 &lt; 0, 1 + P362, 0)</f>
        <v>0</v>
      </c>
      <c r="Q363" s="1">
        <f>IF(E363&lt;0,1,0)</f>
        <v>0</v>
      </c>
      <c r="R363" s="1">
        <f>IF(Q363=1,E363,0)</f>
        <v>0</v>
      </c>
      <c r="S363" s="1">
        <f>IF(E363&gt;0,1,0)</f>
        <v>0</v>
      </c>
      <c r="T363" s="1">
        <f>IF(S363=1,E363,0)</f>
        <v>0</v>
      </c>
      <c r="U363" s="1">
        <f>IF(R363&lt;-100000000/100,1,0)</f>
        <v>0</v>
      </c>
      <c r="V363" s="1">
        <f>IF(T363&gt;100000000/100,1,0)</f>
        <v>0</v>
      </c>
      <c r="W363" s="1">
        <f>IF(L363&lt;0,1,0)</f>
        <v>0</v>
      </c>
      <c r="X363" s="1">
        <f>IF(W363=1,L363,0)</f>
        <v>0</v>
      </c>
      <c r="Y363" s="1">
        <f>IF(L363&gt;0,1,0)</f>
        <v>0</v>
      </c>
      <c r="Z363" s="1">
        <f>IF(Y363=1,L363,0)</f>
        <v>0</v>
      </c>
      <c r="AA363" s="1">
        <f>IF(X363&lt;-100000000/100,1,0)</f>
        <v>0</v>
      </c>
      <c r="AB363" s="1">
        <f>IF(Z363&gt;100000000/100,1,0)</f>
        <v>0</v>
      </c>
    </row>
    <row r="364" spans="1:28" s="1" customFormat="1">
      <c r="A364" s="3">
        <v>45513</v>
      </c>
      <c r="B364" s="2" t="s">
        <v>15</v>
      </c>
      <c r="C364" s="1">
        <f>SUM(PL!E364:H364)</f>
        <v>0</v>
      </c>
      <c r="D364" s="1">
        <f>SUM(PL!I364:L364)</f>
        <v>0</v>
      </c>
      <c r="E364" s="1">
        <f>SUM(C364:D364)</f>
        <v>0</v>
      </c>
      <c r="F364" s="1">
        <f>IF(C364 + F363 &lt; 0, C364 + F363, 0)</f>
        <v>0</v>
      </c>
      <c r="G364" s="1">
        <f>IF(D364 + G363 &lt; 0, D364 + G363, 0)</f>
        <v>0</v>
      </c>
      <c r="H364" s="1">
        <f>IF(E364 + H363 &lt; 0, E364 + H363, 0)</f>
        <v>0</v>
      </c>
      <c r="I364" s="1">
        <f>IF(H364 &lt; 0, 1 + I363, 0)</f>
        <v>0</v>
      </c>
      <c r="J364" s="1">
        <f>C364-((ABS(SUM(PL!E364:H364)))*0.125)</f>
        <v>0</v>
      </c>
      <c r="K364" s="1">
        <f>D364-((ABS(SUM(PL!I364:L364)))*0.125)</f>
        <v>0</v>
      </c>
      <c r="L364" s="1">
        <f>J364 + K364</f>
        <v>0</v>
      </c>
      <c r="M364" s="1">
        <f>IF(J364 + M363 &lt; 0, J364 + M363, 0)</f>
        <v>0</v>
      </c>
      <c r="N364" s="1">
        <f>IF(K364 + N363 &lt; 0, K364 + N363, 0)</f>
        <v>0</v>
      </c>
      <c r="O364" s="1">
        <f>IF(L364 + O363 &lt; 0, L364 + O363, 0)</f>
        <v>0</v>
      </c>
      <c r="P364" s="1">
        <f>IF(O364 &lt; 0, 1 + P363, 0)</f>
        <v>0</v>
      </c>
      <c r="Q364" s="1">
        <f>IF(E364&lt;0,1,0)</f>
        <v>0</v>
      </c>
      <c r="R364" s="1">
        <f>IF(Q364=1,E364,0)</f>
        <v>0</v>
      </c>
      <c r="S364" s="1">
        <f>IF(E364&gt;0,1,0)</f>
        <v>0</v>
      </c>
      <c r="T364" s="1">
        <f>IF(S364=1,E364,0)</f>
        <v>0</v>
      </c>
      <c r="U364" s="1">
        <f>IF(R364&lt;-100000000/100,1,0)</f>
        <v>0</v>
      </c>
      <c r="V364" s="1">
        <f>IF(T364&gt;100000000/100,1,0)</f>
        <v>0</v>
      </c>
      <c r="W364" s="1">
        <f>IF(L364&lt;0,1,0)</f>
        <v>0</v>
      </c>
      <c r="X364" s="1">
        <f>IF(W364=1,L364,0)</f>
        <v>0</v>
      </c>
      <c r="Y364" s="1">
        <f>IF(L364&gt;0,1,0)</f>
        <v>0</v>
      </c>
      <c r="Z364" s="1">
        <f>IF(Y364=1,L364,0)</f>
        <v>0</v>
      </c>
      <c r="AA364" s="1">
        <f>IF(X364&lt;-100000000/100,1,0)</f>
        <v>0</v>
      </c>
      <c r="AB364" s="1">
        <f>IF(Z364&gt;100000000/100,1,0)</f>
        <v>0</v>
      </c>
    </row>
    <row r="365" spans="1:28" s="1" customFormat="1">
      <c r="A365" s="3">
        <v>45516</v>
      </c>
      <c r="B365" s="2" t="s">
        <v>12</v>
      </c>
      <c r="C365" s="1">
        <f>SUM(PL!E365:H365)</f>
        <v>0</v>
      </c>
      <c r="D365" s="1">
        <f>SUM(PL!I365:L365)</f>
        <v>0</v>
      </c>
      <c r="E365" s="1">
        <f>SUM(C365:D365)</f>
        <v>0</v>
      </c>
      <c r="F365" s="1">
        <f>IF(C365 + F364 &lt; 0, C365 + F364, 0)</f>
        <v>0</v>
      </c>
      <c r="G365" s="1">
        <f>IF(D365 + G364 &lt; 0, D365 + G364, 0)</f>
        <v>0</v>
      </c>
      <c r="H365" s="1">
        <f>IF(E365 + H364 &lt; 0, E365 + H364, 0)</f>
        <v>0</v>
      </c>
      <c r="I365" s="1">
        <f>IF(H365 &lt; 0, 1 + I364, 0)</f>
        <v>0</v>
      </c>
      <c r="J365" s="1">
        <f>C365-((ABS(SUM(PL!E365:H365)))*0.125)</f>
        <v>0</v>
      </c>
      <c r="K365" s="1">
        <f>D365-((ABS(SUM(PL!I365:L365)))*0.125)</f>
        <v>0</v>
      </c>
      <c r="L365" s="1">
        <f>J365 + K365</f>
        <v>0</v>
      </c>
      <c r="M365" s="1">
        <f>IF(J365 + M364 &lt; 0, J365 + M364, 0)</f>
        <v>0</v>
      </c>
      <c r="N365" s="1">
        <f>IF(K365 + N364 &lt; 0, K365 + N364, 0)</f>
        <v>0</v>
      </c>
      <c r="O365" s="1">
        <f>IF(L365 + O364 &lt; 0, L365 + O364, 0)</f>
        <v>0</v>
      </c>
      <c r="P365" s="1">
        <f>IF(O365 &lt; 0, 1 + P364, 0)</f>
        <v>0</v>
      </c>
      <c r="Q365" s="1">
        <f>IF(E365&lt;0,1,0)</f>
        <v>0</v>
      </c>
      <c r="R365" s="1">
        <f>IF(Q365=1,E365,0)</f>
        <v>0</v>
      </c>
      <c r="S365" s="1">
        <f>IF(E365&gt;0,1,0)</f>
        <v>0</v>
      </c>
      <c r="T365" s="1">
        <f>IF(S365=1,E365,0)</f>
        <v>0</v>
      </c>
      <c r="U365" s="1">
        <f>IF(R365&lt;-100000000/100,1,0)</f>
        <v>0</v>
      </c>
      <c r="V365" s="1">
        <f>IF(T365&gt;100000000/100,1,0)</f>
        <v>0</v>
      </c>
      <c r="W365" s="1">
        <f>IF(L365&lt;0,1,0)</f>
        <v>0</v>
      </c>
      <c r="X365" s="1">
        <f>IF(W365=1,L365,0)</f>
        <v>0</v>
      </c>
      <c r="Y365" s="1">
        <f>IF(L365&gt;0,1,0)</f>
        <v>0</v>
      </c>
      <c r="Z365" s="1">
        <f>IF(Y365=1,L365,0)</f>
        <v>0</v>
      </c>
      <c r="AA365" s="1">
        <f>IF(X365&lt;-100000000/100,1,0)</f>
        <v>0</v>
      </c>
      <c r="AB365" s="1">
        <f>IF(Z365&gt;100000000/100,1,0)</f>
        <v>0</v>
      </c>
    </row>
    <row r="366" spans="1:28" s="1" customFormat="1">
      <c r="A366" s="3">
        <v>45517</v>
      </c>
      <c r="B366" s="2" t="s">
        <v>13</v>
      </c>
      <c r="C366" s="1">
        <f>SUM(PL!E366:H366)</f>
        <v>0</v>
      </c>
      <c r="D366" s="1">
        <f>SUM(PL!I366:L366)</f>
        <v>0</v>
      </c>
      <c r="E366" s="1">
        <f>SUM(C366:D366)</f>
        <v>0</v>
      </c>
      <c r="F366" s="1">
        <f>IF(C366 + F365 &lt; 0, C366 + F365, 0)</f>
        <v>0</v>
      </c>
      <c r="G366" s="1">
        <f>IF(D366 + G365 &lt; 0, D366 + G365, 0)</f>
        <v>0</v>
      </c>
      <c r="H366" s="1">
        <f>IF(E366 + H365 &lt; 0, E366 + H365, 0)</f>
        <v>0</v>
      </c>
      <c r="I366" s="1">
        <f>IF(H366 &lt; 0, 1 + I365, 0)</f>
        <v>0</v>
      </c>
      <c r="J366" s="1">
        <f>C366-((ABS(SUM(PL!E366:H366)))*0.125)</f>
        <v>0</v>
      </c>
      <c r="K366" s="1">
        <f>D366-((ABS(SUM(PL!I366:L366)))*0.125)</f>
        <v>0</v>
      </c>
      <c r="L366" s="1">
        <f>J366 + K366</f>
        <v>0</v>
      </c>
      <c r="M366" s="1">
        <f>IF(J366 + M365 &lt; 0, J366 + M365, 0)</f>
        <v>0</v>
      </c>
      <c r="N366" s="1">
        <f>IF(K366 + N365 &lt; 0, K366 + N365, 0)</f>
        <v>0</v>
      </c>
      <c r="O366" s="1">
        <f>IF(L366 + O365 &lt; 0, L366 + O365, 0)</f>
        <v>0</v>
      </c>
      <c r="P366" s="1">
        <f>IF(O366 &lt; 0, 1 + P365, 0)</f>
        <v>0</v>
      </c>
      <c r="Q366" s="1">
        <f>IF(E366&lt;0,1,0)</f>
        <v>0</v>
      </c>
      <c r="R366" s="1">
        <f>IF(Q366=1,E366,0)</f>
        <v>0</v>
      </c>
      <c r="S366" s="1">
        <f>IF(E366&gt;0,1,0)</f>
        <v>0</v>
      </c>
      <c r="T366" s="1">
        <f>IF(S366=1,E366,0)</f>
        <v>0</v>
      </c>
      <c r="U366" s="1">
        <f>IF(R366&lt;-100000000/100,1,0)</f>
        <v>0</v>
      </c>
      <c r="V366" s="1">
        <f>IF(T366&gt;100000000/100,1,0)</f>
        <v>0</v>
      </c>
      <c r="W366" s="1">
        <f>IF(L366&lt;0,1,0)</f>
        <v>0</v>
      </c>
      <c r="X366" s="1">
        <f>IF(W366=1,L366,0)</f>
        <v>0</v>
      </c>
      <c r="Y366" s="1">
        <f>IF(L366&gt;0,1,0)</f>
        <v>0</v>
      </c>
      <c r="Z366" s="1">
        <f>IF(Y366=1,L366,0)</f>
        <v>0</v>
      </c>
      <c r="AA366" s="1">
        <f>IF(X366&lt;-100000000/100,1,0)</f>
        <v>0</v>
      </c>
      <c r="AB366" s="1">
        <f>IF(Z366&gt;100000000/100,1,0)</f>
        <v>0</v>
      </c>
    </row>
    <row r="367" spans="1:28" s="1" customFormat="1">
      <c r="A367" s="3">
        <v>45518</v>
      </c>
      <c r="B367" s="2" t="s">
        <v>14</v>
      </c>
      <c r="C367" s="1">
        <f>SUM(PL!E367:H367)</f>
        <v>0</v>
      </c>
      <c r="D367" s="1">
        <f>SUM(PL!I367:L367)</f>
        <v>0</v>
      </c>
      <c r="E367" s="1">
        <f>SUM(C367:D367)</f>
        <v>0</v>
      </c>
      <c r="F367" s="1">
        <f>IF(C367 + F366 &lt; 0, C367 + F366, 0)</f>
        <v>0</v>
      </c>
      <c r="G367" s="1">
        <f>IF(D367 + G366 &lt; 0, D367 + G366, 0)</f>
        <v>0</v>
      </c>
      <c r="H367" s="1">
        <f>IF(E367 + H366 &lt; 0, E367 + H366, 0)</f>
        <v>0</v>
      </c>
      <c r="I367" s="1">
        <f>IF(H367 &lt; 0, 1 + I366, 0)</f>
        <v>0</v>
      </c>
      <c r="J367" s="1">
        <f>C367-((ABS(SUM(PL!E367:H367)))*0.125)</f>
        <v>0</v>
      </c>
      <c r="K367" s="1">
        <f>D367-((ABS(SUM(PL!I367:L367)))*0.125)</f>
        <v>0</v>
      </c>
      <c r="L367" s="1">
        <f>J367 + K367</f>
        <v>0</v>
      </c>
      <c r="M367" s="1">
        <f>IF(J367 + M366 &lt; 0, J367 + M366, 0)</f>
        <v>0</v>
      </c>
      <c r="N367" s="1">
        <f>IF(K367 + N366 &lt; 0, K367 + N366, 0)</f>
        <v>0</v>
      </c>
      <c r="O367" s="1">
        <f>IF(L367 + O366 &lt; 0, L367 + O366, 0)</f>
        <v>0</v>
      </c>
      <c r="P367" s="1">
        <f>IF(O367 &lt; 0, 1 + P366, 0)</f>
        <v>0</v>
      </c>
      <c r="Q367" s="1">
        <f>IF(E367&lt;0,1,0)</f>
        <v>0</v>
      </c>
      <c r="R367" s="1">
        <f>IF(Q367=1,E367,0)</f>
        <v>0</v>
      </c>
      <c r="S367" s="1">
        <f>IF(E367&gt;0,1,0)</f>
        <v>0</v>
      </c>
      <c r="T367" s="1">
        <f>IF(S367=1,E367,0)</f>
        <v>0</v>
      </c>
      <c r="U367" s="1">
        <f>IF(R367&lt;-100000000/100,1,0)</f>
        <v>0</v>
      </c>
      <c r="V367" s="1">
        <f>IF(T367&gt;100000000/100,1,0)</f>
        <v>0</v>
      </c>
      <c r="W367" s="1">
        <f>IF(L367&lt;0,1,0)</f>
        <v>0</v>
      </c>
      <c r="X367" s="1">
        <f>IF(W367=1,L367,0)</f>
        <v>0</v>
      </c>
      <c r="Y367" s="1">
        <f>IF(L367&gt;0,1,0)</f>
        <v>0</v>
      </c>
      <c r="Z367" s="1">
        <f>IF(Y367=1,L367,0)</f>
        <v>0</v>
      </c>
      <c r="AA367" s="1">
        <f>IF(X367&lt;-100000000/100,1,0)</f>
        <v>0</v>
      </c>
      <c r="AB367" s="1">
        <f>IF(Z367&gt;100000000/100,1,0)</f>
        <v>0</v>
      </c>
    </row>
    <row r="368" spans="1:28" s="1" customFormat="1">
      <c r="A368" s="3">
        <v>45527</v>
      </c>
      <c r="B368" s="2" t="s">
        <v>15</v>
      </c>
      <c r="C368" s="1">
        <f>SUM(PL!E368:H368)</f>
        <v>0</v>
      </c>
      <c r="D368" s="1">
        <f>SUM(PL!I368:L368)</f>
        <v>0</v>
      </c>
      <c r="E368" s="1">
        <f>SUM(C368:D368)</f>
        <v>0</v>
      </c>
      <c r="F368" s="1">
        <f>IF(C368 + F367 &lt; 0, C368 + F367, 0)</f>
        <v>0</v>
      </c>
      <c r="G368" s="1">
        <f>IF(D368 + G367 &lt; 0, D368 + G367, 0)</f>
        <v>0</v>
      </c>
      <c r="H368" s="1">
        <f>IF(E368 + H367 &lt; 0, E368 + H367, 0)</f>
        <v>0</v>
      </c>
      <c r="I368" s="1">
        <f>IF(H368 &lt; 0, 1 + I367, 0)</f>
        <v>0</v>
      </c>
      <c r="J368" s="1">
        <f>C368-((ABS(SUM(PL!E368:H368)))*0.125)</f>
        <v>0</v>
      </c>
      <c r="K368" s="1">
        <f>D368-((ABS(SUM(PL!I368:L368)))*0.125)</f>
        <v>0</v>
      </c>
      <c r="L368" s="1">
        <f>J368 + K368</f>
        <v>0</v>
      </c>
      <c r="M368" s="1">
        <f>IF(J368 + M367 &lt; 0, J368 + M367, 0)</f>
        <v>0</v>
      </c>
      <c r="N368" s="1">
        <f>IF(K368 + N367 &lt; 0, K368 + N367, 0)</f>
        <v>0</v>
      </c>
      <c r="O368" s="1">
        <f>IF(L368 + O367 &lt; 0, L368 + O367, 0)</f>
        <v>0</v>
      </c>
      <c r="P368" s="1">
        <f>IF(O368 &lt; 0, 1 + P367, 0)</f>
        <v>0</v>
      </c>
      <c r="Q368" s="1">
        <f>IF(E368&lt;0,1,0)</f>
        <v>0</v>
      </c>
      <c r="R368" s="1">
        <f>IF(Q368=1,E368,0)</f>
        <v>0</v>
      </c>
      <c r="S368" s="1">
        <f>IF(E368&gt;0,1,0)</f>
        <v>0</v>
      </c>
      <c r="T368" s="1">
        <f>IF(S368=1,E368,0)</f>
        <v>0</v>
      </c>
      <c r="U368" s="1">
        <f>IF(R368&lt;-100000000/100,1,0)</f>
        <v>0</v>
      </c>
      <c r="V368" s="1">
        <f>IF(T368&gt;100000000/100,1,0)</f>
        <v>0</v>
      </c>
      <c r="W368" s="1">
        <f>IF(L368&lt;0,1,0)</f>
        <v>0</v>
      </c>
      <c r="X368" s="1">
        <f>IF(W368=1,L368,0)</f>
        <v>0</v>
      </c>
      <c r="Y368" s="1">
        <f>IF(L368&gt;0,1,0)</f>
        <v>0</v>
      </c>
      <c r="Z368" s="1">
        <f>IF(Y368=1,L368,0)</f>
        <v>0</v>
      </c>
      <c r="AA368" s="1">
        <f>IF(X368&lt;-100000000/100,1,0)</f>
        <v>0</v>
      </c>
      <c r="AB368" s="1">
        <f>IF(Z368&gt;100000000/100,1,0)</f>
        <v>0</v>
      </c>
    </row>
    <row r="369" spans="1:28" s="1" customFormat="1">
      <c r="A369" s="3">
        <v>45530</v>
      </c>
      <c r="B369" s="2" t="s">
        <v>12</v>
      </c>
      <c r="C369" s="1">
        <f>SUM(PL!E369:H369)</f>
        <v>0</v>
      </c>
      <c r="D369" s="1">
        <f>SUM(PL!I369:L369)</f>
        <v>0</v>
      </c>
      <c r="E369" s="1">
        <f>SUM(C369:D369)</f>
        <v>0</v>
      </c>
      <c r="F369" s="1">
        <f>IF(C369 + F368 &lt; 0, C369 + F368, 0)</f>
        <v>0</v>
      </c>
      <c r="G369" s="1">
        <f>IF(D369 + G368 &lt; 0, D369 + G368, 0)</f>
        <v>0</v>
      </c>
      <c r="H369" s="1">
        <f>IF(E369 + H368 &lt; 0, E369 + H368, 0)</f>
        <v>0</v>
      </c>
      <c r="I369" s="1">
        <f>IF(H369 &lt; 0, 1 + I368, 0)</f>
        <v>0</v>
      </c>
      <c r="J369" s="1">
        <f>C369-((ABS(SUM(PL!E369:H369)))*0.125)</f>
        <v>0</v>
      </c>
      <c r="K369" s="1">
        <f>D369-((ABS(SUM(PL!I369:L369)))*0.125)</f>
        <v>0</v>
      </c>
      <c r="L369" s="1">
        <f>J369 + K369</f>
        <v>0</v>
      </c>
      <c r="M369" s="1">
        <f>IF(J369 + M368 &lt; 0, J369 + M368, 0)</f>
        <v>0</v>
      </c>
      <c r="N369" s="1">
        <f>IF(K369 + N368 &lt; 0, K369 + N368, 0)</f>
        <v>0</v>
      </c>
      <c r="O369" s="1">
        <f>IF(L369 + O368 &lt; 0, L369 + O368, 0)</f>
        <v>0</v>
      </c>
      <c r="P369" s="1">
        <f>IF(O369 &lt; 0, 1 + P368, 0)</f>
        <v>0</v>
      </c>
      <c r="Q369" s="1">
        <f>IF(E369&lt;0,1,0)</f>
        <v>0</v>
      </c>
      <c r="R369" s="1">
        <f>IF(Q369=1,E369,0)</f>
        <v>0</v>
      </c>
      <c r="S369" s="1">
        <f>IF(E369&gt;0,1,0)</f>
        <v>0</v>
      </c>
      <c r="T369" s="1">
        <f>IF(S369=1,E369,0)</f>
        <v>0</v>
      </c>
      <c r="U369" s="1">
        <f>IF(R369&lt;-100000000/100,1,0)</f>
        <v>0</v>
      </c>
      <c r="V369" s="1">
        <f>IF(T369&gt;100000000/100,1,0)</f>
        <v>0</v>
      </c>
      <c r="W369" s="1">
        <f>IF(L369&lt;0,1,0)</f>
        <v>0</v>
      </c>
      <c r="X369" s="1">
        <f>IF(W369=1,L369,0)</f>
        <v>0</v>
      </c>
      <c r="Y369" s="1">
        <f>IF(L369&gt;0,1,0)</f>
        <v>0</v>
      </c>
      <c r="Z369" s="1">
        <f>IF(Y369=1,L369,0)</f>
        <v>0</v>
      </c>
      <c r="AA369" s="1">
        <f>IF(X369&lt;-100000000/100,1,0)</f>
        <v>0</v>
      </c>
      <c r="AB369" s="1">
        <f>IF(Z369&gt;100000000/100,1,0)</f>
        <v>0</v>
      </c>
    </row>
    <row r="370" spans="1:28" s="1" customFormat="1">
      <c r="A370" s="3">
        <v>45531</v>
      </c>
      <c r="B370" s="2" t="s">
        <v>13</v>
      </c>
      <c r="C370" s="1">
        <f>SUM(PL!E370:H370)</f>
        <v>0</v>
      </c>
      <c r="D370" s="1">
        <f>SUM(PL!I370:L370)</f>
        <v>0</v>
      </c>
      <c r="E370" s="1">
        <f>SUM(C370:D370)</f>
        <v>0</v>
      </c>
      <c r="F370" s="1">
        <f>IF(C370 + F369 &lt; 0, C370 + F369, 0)</f>
        <v>0</v>
      </c>
      <c r="G370" s="1">
        <f>IF(D370 + G369 &lt; 0, D370 + G369, 0)</f>
        <v>0</v>
      </c>
      <c r="H370" s="1">
        <f>IF(E370 + H369 &lt; 0, E370 + H369, 0)</f>
        <v>0</v>
      </c>
      <c r="I370" s="1">
        <f>IF(H370 &lt; 0, 1 + I369, 0)</f>
        <v>0</v>
      </c>
      <c r="J370" s="1">
        <f>C370-((ABS(SUM(PL!E370:H370)))*0.125)</f>
        <v>0</v>
      </c>
      <c r="K370" s="1">
        <f>D370-((ABS(SUM(PL!I370:L370)))*0.125)</f>
        <v>0</v>
      </c>
      <c r="L370" s="1">
        <f>J370 + K370</f>
        <v>0</v>
      </c>
      <c r="M370" s="1">
        <f>IF(J370 + M369 &lt; 0, J370 + M369, 0)</f>
        <v>0</v>
      </c>
      <c r="N370" s="1">
        <f>IF(K370 + N369 &lt; 0, K370 + N369, 0)</f>
        <v>0</v>
      </c>
      <c r="O370" s="1">
        <f>IF(L370 + O369 &lt; 0, L370 + O369, 0)</f>
        <v>0</v>
      </c>
      <c r="P370" s="1">
        <f>IF(O370 &lt; 0, 1 + P369, 0)</f>
        <v>0</v>
      </c>
      <c r="Q370" s="1">
        <f>IF(E370&lt;0,1,0)</f>
        <v>0</v>
      </c>
      <c r="R370" s="1">
        <f>IF(Q370=1,E370,0)</f>
        <v>0</v>
      </c>
      <c r="S370" s="1">
        <f>IF(E370&gt;0,1,0)</f>
        <v>0</v>
      </c>
      <c r="T370" s="1">
        <f>IF(S370=1,E370,0)</f>
        <v>0</v>
      </c>
      <c r="U370" s="1">
        <f>IF(R370&lt;-100000000/100,1,0)</f>
        <v>0</v>
      </c>
      <c r="V370" s="1">
        <f>IF(T370&gt;100000000/100,1,0)</f>
        <v>0</v>
      </c>
      <c r="W370" s="1">
        <f>IF(L370&lt;0,1,0)</f>
        <v>0</v>
      </c>
      <c r="X370" s="1">
        <f>IF(W370=1,L370,0)</f>
        <v>0</v>
      </c>
      <c r="Y370" s="1">
        <f>IF(L370&gt;0,1,0)</f>
        <v>0</v>
      </c>
      <c r="Z370" s="1">
        <f>IF(Y370=1,L370,0)</f>
        <v>0</v>
      </c>
      <c r="AA370" s="1">
        <f>IF(X370&lt;-100000000/100,1,0)</f>
        <v>0</v>
      </c>
      <c r="AB370" s="1">
        <f>IF(Z370&gt;100000000/100,1,0)</f>
        <v>0</v>
      </c>
    </row>
    <row r="371" spans="1:28" s="1" customFormat="1">
      <c r="A371" s="3">
        <v>45532</v>
      </c>
      <c r="B371" s="2" t="s">
        <v>14</v>
      </c>
      <c r="C371" s="1">
        <f>SUM(PL!E371:H371)</f>
        <v>0</v>
      </c>
      <c r="D371" s="1">
        <f>SUM(PL!I371:L371)</f>
        <v>0</v>
      </c>
      <c r="E371" s="1">
        <f>SUM(C371:D371)</f>
        <v>0</v>
      </c>
      <c r="F371" s="1">
        <f>IF(C371 + F370 &lt; 0, C371 + F370, 0)</f>
        <v>0</v>
      </c>
      <c r="G371" s="1">
        <f>IF(D371 + G370 &lt; 0, D371 + G370, 0)</f>
        <v>0</v>
      </c>
      <c r="H371" s="1">
        <f>IF(E371 + H370 &lt; 0, E371 + H370, 0)</f>
        <v>0</v>
      </c>
      <c r="I371" s="1">
        <f>IF(H371 &lt; 0, 1 + I370, 0)</f>
        <v>0</v>
      </c>
      <c r="J371" s="1">
        <f>C371-((ABS(SUM(PL!E371:H371)))*0.125)</f>
        <v>0</v>
      </c>
      <c r="K371" s="1">
        <f>D371-((ABS(SUM(PL!I371:L371)))*0.125)</f>
        <v>0</v>
      </c>
      <c r="L371" s="1">
        <f>J371 + K371</f>
        <v>0</v>
      </c>
      <c r="M371" s="1">
        <f>IF(J371 + M370 &lt; 0, J371 + M370, 0)</f>
        <v>0</v>
      </c>
      <c r="N371" s="1">
        <f>IF(K371 + N370 &lt; 0, K371 + N370, 0)</f>
        <v>0</v>
      </c>
      <c r="O371" s="1">
        <f>IF(L371 + O370 &lt; 0, L371 + O370, 0)</f>
        <v>0</v>
      </c>
      <c r="P371" s="1">
        <f>IF(O371 &lt; 0, 1 + P370, 0)</f>
        <v>0</v>
      </c>
      <c r="Q371" s="1">
        <f>IF(E371&lt;0,1,0)</f>
        <v>0</v>
      </c>
      <c r="R371" s="1">
        <f>IF(Q371=1,E371,0)</f>
        <v>0</v>
      </c>
      <c r="S371" s="1">
        <f>IF(E371&gt;0,1,0)</f>
        <v>0</v>
      </c>
      <c r="T371" s="1">
        <f>IF(S371=1,E371,0)</f>
        <v>0</v>
      </c>
      <c r="U371" s="1">
        <f>IF(R371&lt;-100000000/100,1,0)</f>
        <v>0</v>
      </c>
      <c r="V371" s="1">
        <f>IF(T371&gt;100000000/100,1,0)</f>
        <v>0</v>
      </c>
      <c r="W371" s="1">
        <f>IF(L371&lt;0,1,0)</f>
        <v>0</v>
      </c>
      <c r="X371" s="1">
        <f>IF(W371=1,L371,0)</f>
        <v>0</v>
      </c>
      <c r="Y371" s="1">
        <f>IF(L371&gt;0,1,0)</f>
        <v>0</v>
      </c>
      <c r="Z371" s="1">
        <f>IF(Y371=1,L371,0)</f>
        <v>0</v>
      </c>
      <c r="AA371" s="1">
        <f>IF(X371&lt;-100000000/100,1,0)</f>
        <v>0</v>
      </c>
      <c r="AB371" s="1">
        <f>IF(Z371&gt;100000000/100,1,0)</f>
        <v>0</v>
      </c>
    </row>
    <row r="372" spans="1:28" s="1" customFormat="1">
      <c r="A372" s="3">
        <v>45533</v>
      </c>
      <c r="B372" s="2" t="s">
        <v>16</v>
      </c>
      <c r="C372" s="1">
        <f>SUM(PL!E372:H372)</f>
        <v>0</v>
      </c>
      <c r="D372" s="1">
        <f>SUM(PL!I372:L372)</f>
        <v>0</v>
      </c>
      <c r="E372" s="1">
        <f>SUM(C372:D372)</f>
        <v>0</v>
      </c>
      <c r="F372" s="1">
        <f>IF(C372 + F371 &lt; 0, C372 + F371, 0)</f>
        <v>0</v>
      </c>
      <c r="G372" s="1">
        <f>IF(D372 + G371 &lt; 0, D372 + G371, 0)</f>
        <v>0</v>
      </c>
      <c r="H372" s="1">
        <f>IF(E372 + H371 &lt; 0, E372 + H371, 0)</f>
        <v>0</v>
      </c>
      <c r="I372" s="1">
        <f>IF(H372 &lt; 0, 1 + I371, 0)</f>
        <v>0</v>
      </c>
      <c r="J372" s="1">
        <f>C372-((ABS(SUM(PL!E372:H372)))*0.125)</f>
        <v>0</v>
      </c>
      <c r="K372" s="1">
        <f>D372-((ABS(SUM(PL!I372:L372)))*0.125)</f>
        <v>0</v>
      </c>
      <c r="L372" s="1">
        <f>J372 + K372</f>
        <v>0</v>
      </c>
      <c r="M372" s="1">
        <f>IF(J372 + M371 &lt; 0, J372 + M371, 0)</f>
        <v>0</v>
      </c>
      <c r="N372" s="1">
        <f>IF(K372 + N371 &lt; 0, K372 + N371, 0)</f>
        <v>0</v>
      </c>
      <c r="O372" s="1">
        <f>IF(L372 + O371 &lt; 0, L372 + O371, 0)</f>
        <v>0</v>
      </c>
      <c r="P372" s="1">
        <f>IF(O372 &lt; 0, 1 + P371, 0)</f>
        <v>0</v>
      </c>
      <c r="Q372" s="1">
        <f>IF(E372&lt;0,1,0)</f>
        <v>0</v>
      </c>
      <c r="R372" s="1">
        <f>IF(Q372=1,E372,0)</f>
        <v>0</v>
      </c>
      <c r="S372" s="1">
        <f>IF(E372&gt;0,1,0)</f>
        <v>0</v>
      </c>
      <c r="T372" s="1">
        <f>IF(S372=1,E372,0)</f>
        <v>0</v>
      </c>
      <c r="U372" s="1">
        <f>IF(R372&lt;-100000000/100,1,0)</f>
        <v>0</v>
      </c>
      <c r="V372" s="1">
        <f>IF(T372&gt;100000000/100,1,0)</f>
        <v>0</v>
      </c>
      <c r="W372" s="1">
        <f>IF(L372&lt;0,1,0)</f>
        <v>0</v>
      </c>
      <c r="X372" s="1">
        <f>IF(W372=1,L372,0)</f>
        <v>0</v>
      </c>
      <c r="Y372" s="1">
        <f>IF(L372&gt;0,1,0)</f>
        <v>0</v>
      </c>
      <c r="Z372" s="1">
        <f>IF(Y372=1,L372,0)</f>
        <v>0</v>
      </c>
      <c r="AA372" s="1">
        <f>IF(X372&lt;-100000000/100,1,0)</f>
        <v>0</v>
      </c>
      <c r="AB372" s="1">
        <f>IF(Z372&gt;100000000/100,1,0)</f>
        <v>0</v>
      </c>
    </row>
    <row r="373" spans="1:28" s="1" customFormat="1">
      <c r="A373" s="3">
        <v>45534</v>
      </c>
      <c r="B373" s="2" t="s">
        <v>15</v>
      </c>
      <c r="C373" s="1">
        <f>SUM(PL!E373:H373)</f>
        <v>0</v>
      </c>
      <c r="D373" s="1">
        <f>SUM(PL!I373:L373)</f>
        <v>0</v>
      </c>
      <c r="E373" s="1">
        <f>SUM(C373:D373)</f>
        <v>0</v>
      </c>
      <c r="F373" s="1">
        <f>IF(C373 + F372 &lt; 0, C373 + F372, 0)</f>
        <v>0</v>
      </c>
      <c r="G373" s="1">
        <f>IF(D373 + G372 &lt; 0, D373 + G372, 0)</f>
        <v>0</v>
      </c>
      <c r="H373" s="1">
        <f>IF(E373 + H372 &lt; 0, E373 + H372, 0)</f>
        <v>0</v>
      </c>
      <c r="I373" s="1">
        <f>IF(H373 &lt; 0, 1 + I372, 0)</f>
        <v>0</v>
      </c>
      <c r="J373" s="1">
        <f>C373-((ABS(SUM(PL!E373:H373)))*0.125)</f>
        <v>0</v>
      </c>
      <c r="K373" s="1">
        <f>D373-((ABS(SUM(PL!I373:L373)))*0.125)</f>
        <v>0</v>
      </c>
      <c r="L373" s="1">
        <f>J373 + K373</f>
        <v>0</v>
      </c>
      <c r="M373" s="1">
        <f>IF(J373 + M372 &lt; 0, J373 + M372, 0)</f>
        <v>0</v>
      </c>
      <c r="N373" s="1">
        <f>IF(K373 + N372 &lt; 0, K373 + N372, 0)</f>
        <v>0</v>
      </c>
      <c r="O373" s="1">
        <f>IF(L373 + O372 &lt; 0, L373 + O372, 0)</f>
        <v>0</v>
      </c>
      <c r="P373" s="1">
        <f>IF(O373 &lt; 0, 1 + P372, 0)</f>
        <v>0</v>
      </c>
      <c r="Q373" s="1">
        <f>IF(E373&lt;0,1,0)</f>
        <v>0</v>
      </c>
      <c r="R373" s="1">
        <f>IF(Q373=1,E373,0)</f>
        <v>0</v>
      </c>
      <c r="S373" s="1">
        <f>IF(E373&gt;0,1,0)</f>
        <v>0</v>
      </c>
      <c r="T373" s="1">
        <f>IF(S373=1,E373,0)</f>
        <v>0</v>
      </c>
      <c r="U373" s="1">
        <f>IF(R373&lt;-100000000/100,1,0)</f>
        <v>0</v>
      </c>
      <c r="V373" s="1">
        <f>IF(T373&gt;100000000/100,1,0)</f>
        <v>0</v>
      </c>
      <c r="W373" s="1">
        <f>IF(L373&lt;0,1,0)</f>
        <v>0</v>
      </c>
      <c r="X373" s="1">
        <f>IF(W373=1,L373,0)</f>
        <v>0</v>
      </c>
      <c r="Y373" s="1">
        <f>IF(L373&gt;0,1,0)</f>
        <v>0</v>
      </c>
      <c r="Z373" s="1">
        <f>IF(Y373=1,L373,0)</f>
        <v>0</v>
      </c>
      <c r="AA373" s="1">
        <f>IF(X373&lt;-100000000/100,1,0)</f>
        <v>0</v>
      </c>
      <c r="AB373" s="1">
        <f>IF(Z373&gt;100000000/100,1,0)</f>
        <v>0</v>
      </c>
    </row>
    <row r="374" spans="1:28" s="1" customFormat="1">
      <c r="A374" s="3">
        <v>45537</v>
      </c>
      <c r="B374" s="2" t="s">
        <v>12</v>
      </c>
      <c r="C374" s="1">
        <f>SUM(PL!E374:H374)</f>
        <v>0</v>
      </c>
      <c r="D374" s="1">
        <f>SUM(PL!I374:L374)</f>
        <v>0</v>
      </c>
      <c r="E374" s="1">
        <f>SUM(C374:D374)</f>
        <v>0</v>
      </c>
      <c r="F374" s="1">
        <f>IF(C374 + F373 &lt; 0, C374 + F373, 0)</f>
        <v>0</v>
      </c>
      <c r="G374" s="1">
        <f>IF(D374 + G373 &lt; 0, D374 + G373, 0)</f>
        <v>0</v>
      </c>
      <c r="H374" s="1">
        <f>IF(E374 + H373 &lt; 0, E374 + H373, 0)</f>
        <v>0</v>
      </c>
      <c r="I374" s="1">
        <f>IF(H374 &lt; 0, 1 + I373, 0)</f>
        <v>0</v>
      </c>
      <c r="J374" s="1">
        <f>C374-((ABS(SUM(PL!E374:H374)))*0.125)</f>
        <v>0</v>
      </c>
      <c r="K374" s="1">
        <f>D374-((ABS(SUM(PL!I374:L374)))*0.125)</f>
        <v>0</v>
      </c>
      <c r="L374" s="1">
        <f>J374 + K374</f>
        <v>0</v>
      </c>
      <c r="M374" s="1">
        <f>IF(J374 + M373 &lt; 0, J374 + M373, 0)</f>
        <v>0</v>
      </c>
      <c r="N374" s="1">
        <f>IF(K374 + N373 &lt; 0, K374 + N373, 0)</f>
        <v>0</v>
      </c>
      <c r="O374" s="1">
        <f>IF(L374 + O373 &lt; 0, L374 + O373, 0)</f>
        <v>0</v>
      </c>
      <c r="P374" s="1">
        <f>IF(O374 &lt; 0, 1 + P373, 0)</f>
        <v>0</v>
      </c>
      <c r="Q374" s="1">
        <f>IF(E374&lt;0,1,0)</f>
        <v>0</v>
      </c>
      <c r="R374" s="1">
        <f>IF(Q374=1,E374,0)</f>
        <v>0</v>
      </c>
      <c r="S374" s="1">
        <f>IF(E374&gt;0,1,0)</f>
        <v>0</v>
      </c>
      <c r="T374" s="1">
        <f>IF(S374=1,E374,0)</f>
        <v>0</v>
      </c>
      <c r="U374" s="1">
        <f>IF(R374&lt;-100000000/100,1,0)</f>
        <v>0</v>
      </c>
      <c r="V374" s="1">
        <f>IF(T374&gt;100000000/100,1,0)</f>
        <v>0</v>
      </c>
      <c r="W374" s="1">
        <f>IF(L374&lt;0,1,0)</f>
        <v>0</v>
      </c>
      <c r="X374" s="1">
        <f>IF(W374=1,L374,0)</f>
        <v>0</v>
      </c>
      <c r="Y374" s="1">
        <f>IF(L374&gt;0,1,0)</f>
        <v>0</v>
      </c>
      <c r="Z374" s="1">
        <f>IF(Y374=1,L374,0)</f>
        <v>0</v>
      </c>
      <c r="AA374" s="1">
        <f>IF(X374&lt;-100000000/100,1,0)</f>
        <v>0</v>
      </c>
      <c r="AB374" s="1">
        <f>IF(Z374&gt;100000000/100,1,0)</f>
        <v>0</v>
      </c>
    </row>
    <row r="375" spans="1:28" s="1" customFormat="1">
      <c r="A375" s="3">
        <v>45538</v>
      </c>
      <c r="B375" s="2" t="s">
        <v>13</v>
      </c>
      <c r="C375" s="1">
        <f>SUM(PL!E375:H375)</f>
        <v>0</v>
      </c>
      <c r="D375" s="1">
        <f>SUM(PL!I375:L375)</f>
        <v>0</v>
      </c>
      <c r="E375" s="1">
        <f>SUM(C375:D375)</f>
        <v>0</v>
      </c>
      <c r="F375" s="1">
        <f>IF(C375 + F374 &lt; 0, C375 + F374, 0)</f>
        <v>0</v>
      </c>
      <c r="G375" s="1">
        <f>IF(D375 + G374 &lt; 0, D375 + G374, 0)</f>
        <v>0</v>
      </c>
      <c r="H375" s="1">
        <f>IF(E375 + H374 &lt; 0, E375 + H374, 0)</f>
        <v>0</v>
      </c>
      <c r="I375" s="1">
        <f>IF(H375 &lt; 0, 1 + I374, 0)</f>
        <v>0</v>
      </c>
      <c r="J375" s="1">
        <f>C375-((ABS(SUM(PL!E375:H375)))*0.125)</f>
        <v>0</v>
      </c>
      <c r="K375" s="1">
        <f>D375-((ABS(SUM(PL!I375:L375)))*0.125)</f>
        <v>0</v>
      </c>
      <c r="L375" s="1">
        <f>J375 + K375</f>
        <v>0</v>
      </c>
      <c r="M375" s="1">
        <f>IF(J375 + M374 &lt; 0, J375 + M374, 0)</f>
        <v>0</v>
      </c>
      <c r="N375" s="1">
        <f>IF(K375 + N374 &lt; 0, K375 + N374, 0)</f>
        <v>0</v>
      </c>
      <c r="O375" s="1">
        <f>IF(L375 + O374 &lt; 0, L375 + O374, 0)</f>
        <v>0</v>
      </c>
      <c r="P375" s="1">
        <f>IF(O375 &lt; 0, 1 + P374, 0)</f>
        <v>0</v>
      </c>
      <c r="Q375" s="1">
        <f>IF(E375&lt;0,1,0)</f>
        <v>0</v>
      </c>
      <c r="R375" s="1">
        <f>IF(Q375=1,E375,0)</f>
        <v>0</v>
      </c>
      <c r="S375" s="1">
        <f>IF(E375&gt;0,1,0)</f>
        <v>0</v>
      </c>
      <c r="T375" s="1">
        <f>IF(S375=1,E375,0)</f>
        <v>0</v>
      </c>
      <c r="U375" s="1">
        <f>IF(R375&lt;-100000000/100,1,0)</f>
        <v>0</v>
      </c>
      <c r="V375" s="1">
        <f>IF(T375&gt;100000000/100,1,0)</f>
        <v>0</v>
      </c>
      <c r="W375" s="1">
        <f>IF(L375&lt;0,1,0)</f>
        <v>0</v>
      </c>
      <c r="X375" s="1">
        <f>IF(W375=1,L375,0)</f>
        <v>0</v>
      </c>
      <c r="Y375" s="1">
        <f>IF(L375&gt;0,1,0)</f>
        <v>0</v>
      </c>
      <c r="Z375" s="1">
        <f>IF(Y375=1,L375,0)</f>
        <v>0</v>
      </c>
      <c r="AA375" s="1">
        <f>IF(X375&lt;-100000000/100,1,0)</f>
        <v>0</v>
      </c>
      <c r="AB375" s="1">
        <f>IF(Z375&gt;100000000/100,1,0)</f>
        <v>0</v>
      </c>
    </row>
    <row r="376" spans="1:28" s="1" customFormat="1">
      <c r="A376" s="3">
        <v>45539</v>
      </c>
      <c r="B376" s="2" t="s">
        <v>14</v>
      </c>
      <c r="C376" s="1">
        <f>SUM(PL!E376:H376)</f>
        <v>0</v>
      </c>
      <c r="D376" s="1">
        <f>SUM(PL!I376:L376)</f>
        <v>0</v>
      </c>
      <c r="E376" s="1">
        <f>SUM(C376:D376)</f>
        <v>0</v>
      </c>
      <c r="F376" s="1">
        <f>IF(C376 + F375 &lt; 0, C376 + F375, 0)</f>
        <v>0</v>
      </c>
      <c r="G376" s="1">
        <f>IF(D376 + G375 &lt; 0, D376 + G375, 0)</f>
        <v>0</v>
      </c>
      <c r="H376" s="1">
        <f>IF(E376 + H375 &lt; 0, E376 + H375, 0)</f>
        <v>0</v>
      </c>
      <c r="I376" s="1">
        <f>IF(H376 &lt; 0, 1 + I375, 0)</f>
        <v>0</v>
      </c>
      <c r="J376" s="1">
        <f>C376-((ABS(SUM(PL!E376:H376)))*0.125)</f>
        <v>0</v>
      </c>
      <c r="K376" s="1">
        <f>D376-((ABS(SUM(PL!I376:L376)))*0.125)</f>
        <v>0</v>
      </c>
      <c r="L376" s="1">
        <f>J376 + K376</f>
        <v>0</v>
      </c>
      <c r="M376" s="1">
        <f>IF(J376 + M375 &lt; 0, J376 + M375, 0)</f>
        <v>0</v>
      </c>
      <c r="N376" s="1">
        <f>IF(K376 + N375 &lt; 0, K376 + N375, 0)</f>
        <v>0</v>
      </c>
      <c r="O376" s="1">
        <f>IF(L376 + O375 &lt; 0, L376 + O375, 0)</f>
        <v>0</v>
      </c>
      <c r="P376" s="1">
        <f>IF(O376 &lt; 0, 1 + P375, 0)</f>
        <v>0</v>
      </c>
      <c r="Q376" s="1">
        <f>IF(E376&lt;0,1,0)</f>
        <v>0</v>
      </c>
      <c r="R376" s="1">
        <f>IF(Q376=1,E376,0)</f>
        <v>0</v>
      </c>
      <c r="S376" s="1">
        <f>IF(E376&gt;0,1,0)</f>
        <v>0</v>
      </c>
      <c r="T376" s="1">
        <f>IF(S376=1,E376,0)</f>
        <v>0</v>
      </c>
      <c r="U376" s="1">
        <f>IF(R376&lt;-100000000/100,1,0)</f>
        <v>0</v>
      </c>
      <c r="V376" s="1">
        <f>IF(T376&gt;100000000/100,1,0)</f>
        <v>0</v>
      </c>
      <c r="W376" s="1">
        <f>IF(L376&lt;0,1,0)</f>
        <v>0</v>
      </c>
      <c r="X376" s="1">
        <f>IF(W376=1,L376,0)</f>
        <v>0</v>
      </c>
      <c r="Y376" s="1">
        <f>IF(L376&gt;0,1,0)</f>
        <v>0</v>
      </c>
      <c r="Z376" s="1">
        <f>IF(Y376=1,L376,0)</f>
        <v>0</v>
      </c>
      <c r="AA376" s="1">
        <f>IF(X376&lt;-100000000/100,1,0)</f>
        <v>0</v>
      </c>
      <c r="AB376" s="1">
        <f>IF(Z376&gt;100000000/100,1,0)</f>
        <v>0</v>
      </c>
    </row>
    <row r="377" spans="1:28" s="1" customFormat="1">
      <c r="A377" s="3">
        <v>45540</v>
      </c>
      <c r="B377" s="2" t="s">
        <v>16</v>
      </c>
      <c r="C377" s="1">
        <f>SUM(PL!E377:H377)</f>
        <v>0</v>
      </c>
      <c r="D377" s="1">
        <f>SUM(PL!I377:L377)</f>
        <v>0</v>
      </c>
      <c r="E377" s="1">
        <f>SUM(C377:D377)</f>
        <v>0</v>
      </c>
      <c r="F377" s="1">
        <f>IF(C377 + F376 &lt; 0, C377 + F376, 0)</f>
        <v>0</v>
      </c>
      <c r="G377" s="1">
        <f>IF(D377 + G376 &lt; 0, D377 + G376, 0)</f>
        <v>0</v>
      </c>
      <c r="H377" s="1">
        <f>IF(E377 + H376 &lt; 0, E377 + H376, 0)</f>
        <v>0</v>
      </c>
      <c r="I377" s="1">
        <f>IF(H377 &lt; 0, 1 + I376, 0)</f>
        <v>0</v>
      </c>
      <c r="J377" s="1">
        <f>C377-((ABS(SUM(PL!E377:H377)))*0.125)</f>
        <v>0</v>
      </c>
      <c r="K377" s="1">
        <f>D377-((ABS(SUM(PL!I377:L377)))*0.125)</f>
        <v>0</v>
      </c>
      <c r="L377" s="1">
        <f>J377 + K377</f>
        <v>0</v>
      </c>
      <c r="M377" s="1">
        <f>IF(J377 + M376 &lt; 0, J377 + M376, 0)</f>
        <v>0</v>
      </c>
      <c r="N377" s="1">
        <f>IF(K377 + N376 &lt; 0, K377 + N376, 0)</f>
        <v>0</v>
      </c>
      <c r="O377" s="1">
        <f>IF(L377 + O376 &lt; 0, L377 + O376, 0)</f>
        <v>0</v>
      </c>
      <c r="P377" s="1">
        <f>IF(O377 &lt; 0, 1 + P376, 0)</f>
        <v>0</v>
      </c>
      <c r="Q377" s="1">
        <f>IF(E377&lt;0,1,0)</f>
        <v>0</v>
      </c>
      <c r="R377" s="1">
        <f>IF(Q377=1,E377,0)</f>
        <v>0</v>
      </c>
      <c r="S377" s="1">
        <f>IF(E377&gt;0,1,0)</f>
        <v>0</v>
      </c>
      <c r="T377" s="1">
        <f>IF(S377=1,E377,0)</f>
        <v>0</v>
      </c>
      <c r="U377" s="1">
        <f>IF(R377&lt;-100000000/100,1,0)</f>
        <v>0</v>
      </c>
      <c r="V377" s="1">
        <f>IF(T377&gt;100000000/100,1,0)</f>
        <v>0</v>
      </c>
      <c r="W377" s="1">
        <f>IF(L377&lt;0,1,0)</f>
        <v>0</v>
      </c>
      <c r="X377" s="1">
        <f>IF(W377=1,L377,0)</f>
        <v>0</v>
      </c>
      <c r="Y377" s="1">
        <f>IF(L377&gt;0,1,0)</f>
        <v>0</v>
      </c>
      <c r="Z377" s="1">
        <f>IF(Y377=1,L377,0)</f>
        <v>0</v>
      </c>
      <c r="AA377" s="1">
        <f>IF(X377&lt;-100000000/100,1,0)</f>
        <v>0</v>
      </c>
      <c r="AB377" s="1">
        <f>IF(Z377&gt;100000000/100,1,0)</f>
        <v>0</v>
      </c>
    </row>
    <row r="378" spans="1:28" s="1" customFormat="1">
      <c r="A378" s="3">
        <v>45541</v>
      </c>
      <c r="B378" s="2" t="s">
        <v>15</v>
      </c>
      <c r="C378" s="1">
        <f>SUM(PL!E378:H378)</f>
        <v>0</v>
      </c>
      <c r="D378" s="1">
        <f>SUM(PL!I378:L378)</f>
        <v>0</v>
      </c>
      <c r="E378" s="1">
        <f>SUM(C378:D378)</f>
        <v>0</v>
      </c>
      <c r="F378" s="1">
        <f>IF(C378 + F377 &lt; 0, C378 + F377, 0)</f>
        <v>0</v>
      </c>
      <c r="G378" s="1">
        <f>IF(D378 + G377 &lt; 0, D378 + G377, 0)</f>
        <v>0</v>
      </c>
      <c r="H378" s="1">
        <f>IF(E378 + H377 &lt; 0, E378 + H377, 0)</f>
        <v>0</v>
      </c>
      <c r="I378" s="1">
        <f>IF(H378 &lt; 0, 1 + I377, 0)</f>
        <v>0</v>
      </c>
      <c r="J378" s="1">
        <f>C378-((ABS(SUM(PL!E378:H378)))*0.125)</f>
        <v>0</v>
      </c>
      <c r="K378" s="1">
        <f>D378-((ABS(SUM(PL!I378:L378)))*0.125)</f>
        <v>0</v>
      </c>
      <c r="L378" s="1">
        <f>J378 + K378</f>
        <v>0</v>
      </c>
      <c r="M378" s="1">
        <f>IF(J378 + M377 &lt; 0, J378 + M377, 0)</f>
        <v>0</v>
      </c>
      <c r="N378" s="1">
        <f>IF(K378 + N377 &lt; 0, K378 + N377, 0)</f>
        <v>0</v>
      </c>
      <c r="O378" s="1">
        <f>IF(L378 + O377 &lt; 0, L378 + O377, 0)</f>
        <v>0</v>
      </c>
      <c r="P378" s="1">
        <f>IF(O378 &lt; 0, 1 + P377, 0)</f>
        <v>0</v>
      </c>
      <c r="Q378" s="1">
        <f>IF(E378&lt;0,1,0)</f>
        <v>0</v>
      </c>
      <c r="R378" s="1">
        <f>IF(Q378=1,E378,0)</f>
        <v>0</v>
      </c>
      <c r="S378" s="1">
        <f>IF(E378&gt;0,1,0)</f>
        <v>0</v>
      </c>
      <c r="T378" s="1">
        <f>IF(S378=1,E378,0)</f>
        <v>0</v>
      </c>
      <c r="U378" s="1">
        <f>IF(R378&lt;-100000000/100,1,0)</f>
        <v>0</v>
      </c>
      <c r="V378" s="1">
        <f>IF(T378&gt;100000000/100,1,0)</f>
        <v>0</v>
      </c>
      <c r="W378" s="1">
        <f>IF(L378&lt;0,1,0)</f>
        <v>0</v>
      </c>
      <c r="X378" s="1">
        <f>IF(W378=1,L378,0)</f>
        <v>0</v>
      </c>
      <c r="Y378" s="1">
        <f>IF(L378&gt;0,1,0)</f>
        <v>0</v>
      </c>
      <c r="Z378" s="1">
        <f>IF(Y378=1,L378,0)</f>
        <v>0</v>
      </c>
      <c r="AA378" s="1">
        <f>IF(X378&lt;-100000000/100,1,0)</f>
        <v>0</v>
      </c>
      <c r="AB378" s="1">
        <f>IF(Z378&gt;100000000/100,1,0)</f>
        <v>0</v>
      </c>
    </row>
    <row r="379" spans="1:28" s="1" customFormat="1">
      <c r="A379" s="3">
        <v>45544</v>
      </c>
      <c r="B379" s="2" t="s">
        <v>12</v>
      </c>
      <c r="C379" s="1">
        <f>SUM(PL!E379:H379)</f>
        <v>0</v>
      </c>
      <c r="D379" s="1">
        <f>SUM(PL!I379:L379)</f>
        <v>0</v>
      </c>
      <c r="E379" s="1">
        <f>SUM(C379:D379)</f>
        <v>0</v>
      </c>
      <c r="F379" s="1">
        <f>IF(C379 + F378 &lt; 0, C379 + F378, 0)</f>
        <v>0</v>
      </c>
      <c r="G379" s="1">
        <f>IF(D379 + G378 &lt; 0, D379 + G378, 0)</f>
        <v>0</v>
      </c>
      <c r="H379" s="1">
        <f>IF(E379 + H378 &lt; 0, E379 + H378, 0)</f>
        <v>0</v>
      </c>
      <c r="I379" s="1">
        <f>IF(H379 &lt; 0, 1 + I378, 0)</f>
        <v>0</v>
      </c>
      <c r="J379" s="1">
        <f>C379-((ABS(SUM(PL!E379:H379)))*0.125)</f>
        <v>0</v>
      </c>
      <c r="K379" s="1">
        <f>D379-((ABS(SUM(PL!I379:L379)))*0.125)</f>
        <v>0</v>
      </c>
      <c r="L379" s="1">
        <f>J379 + K379</f>
        <v>0</v>
      </c>
      <c r="M379" s="1">
        <f>IF(J379 + M378 &lt; 0, J379 + M378, 0)</f>
        <v>0</v>
      </c>
      <c r="N379" s="1">
        <f>IF(K379 + N378 &lt; 0, K379 + N378, 0)</f>
        <v>0</v>
      </c>
      <c r="O379" s="1">
        <f>IF(L379 + O378 &lt; 0, L379 + O378, 0)</f>
        <v>0</v>
      </c>
      <c r="P379" s="1">
        <f>IF(O379 &lt; 0, 1 + P378, 0)</f>
        <v>0</v>
      </c>
      <c r="Q379" s="1">
        <f>IF(E379&lt;0,1,0)</f>
        <v>0</v>
      </c>
      <c r="R379" s="1">
        <f>IF(Q379=1,E379,0)</f>
        <v>0</v>
      </c>
      <c r="S379" s="1">
        <f>IF(E379&gt;0,1,0)</f>
        <v>0</v>
      </c>
      <c r="T379" s="1">
        <f>IF(S379=1,E379,0)</f>
        <v>0</v>
      </c>
      <c r="U379" s="1">
        <f>IF(R379&lt;-100000000/100,1,0)</f>
        <v>0</v>
      </c>
      <c r="V379" s="1">
        <f>IF(T379&gt;100000000/100,1,0)</f>
        <v>0</v>
      </c>
      <c r="W379" s="1">
        <f>IF(L379&lt;0,1,0)</f>
        <v>0</v>
      </c>
      <c r="X379" s="1">
        <f>IF(W379=1,L379,0)</f>
        <v>0</v>
      </c>
      <c r="Y379" s="1">
        <f>IF(L379&gt;0,1,0)</f>
        <v>0</v>
      </c>
      <c r="Z379" s="1">
        <f>IF(Y379=1,L379,0)</f>
        <v>0</v>
      </c>
      <c r="AA379" s="1">
        <f>IF(X379&lt;-100000000/100,1,0)</f>
        <v>0</v>
      </c>
      <c r="AB379" s="1">
        <f>IF(Z379&gt;100000000/100,1,0)</f>
        <v>0</v>
      </c>
    </row>
    <row r="380" spans="1:28" s="1" customFormat="1">
      <c r="A380" s="3">
        <v>45545</v>
      </c>
      <c r="B380" s="2" t="s">
        <v>13</v>
      </c>
      <c r="C380" s="1">
        <f>SUM(PL!E380:H380)</f>
        <v>0</v>
      </c>
      <c r="D380" s="1">
        <f>SUM(PL!I380:L380)</f>
        <v>0</v>
      </c>
      <c r="E380" s="1">
        <f>SUM(C380:D380)</f>
        <v>0</v>
      </c>
      <c r="F380" s="1">
        <f>IF(C380 + F379 &lt; 0, C380 + F379, 0)</f>
        <v>0</v>
      </c>
      <c r="G380" s="1">
        <f>IF(D380 + G379 &lt; 0, D380 + G379, 0)</f>
        <v>0</v>
      </c>
      <c r="H380" s="1">
        <f>IF(E380 + H379 &lt; 0, E380 + H379, 0)</f>
        <v>0</v>
      </c>
      <c r="I380" s="1">
        <f>IF(H380 &lt; 0, 1 + I379, 0)</f>
        <v>0</v>
      </c>
      <c r="J380" s="1">
        <f>C380-((ABS(SUM(PL!E380:H380)))*0.125)</f>
        <v>0</v>
      </c>
      <c r="K380" s="1">
        <f>D380-((ABS(SUM(PL!I380:L380)))*0.125)</f>
        <v>0</v>
      </c>
      <c r="L380" s="1">
        <f>J380 + K380</f>
        <v>0</v>
      </c>
      <c r="M380" s="1">
        <f>IF(J380 + M379 &lt; 0, J380 + M379, 0)</f>
        <v>0</v>
      </c>
      <c r="N380" s="1">
        <f>IF(K380 + N379 &lt; 0, K380 + N379, 0)</f>
        <v>0</v>
      </c>
      <c r="O380" s="1">
        <f>IF(L380 + O379 &lt; 0, L380 + O379, 0)</f>
        <v>0</v>
      </c>
      <c r="P380" s="1">
        <f>IF(O380 &lt; 0, 1 + P379, 0)</f>
        <v>0</v>
      </c>
      <c r="Q380" s="1">
        <f>IF(E380&lt;0,1,0)</f>
        <v>0</v>
      </c>
      <c r="R380" s="1">
        <f>IF(Q380=1,E380,0)</f>
        <v>0</v>
      </c>
      <c r="S380" s="1">
        <f>IF(E380&gt;0,1,0)</f>
        <v>0</v>
      </c>
      <c r="T380" s="1">
        <f>IF(S380=1,E380,0)</f>
        <v>0</v>
      </c>
      <c r="U380" s="1">
        <f>IF(R380&lt;-100000000/100,1,0)</f>
        <v>0</v>
      </c>
      <c r="V380" s="1">
        <f>IF(T380&gt;100000000/100,1,0)</f>
        <v>0</v>
      </c>
      <c r="W380" s="1">
        <f>IF(L380&lt;0,1,0)</f>
        <v>0</v>
      </c>
      <c r="X380" s="1">
        <f>IF(W380=1,L380,0)</f>
        <v>0</v>
      </c>
      <c r="Y380" s="1">
        <f>IF(L380&gt;0,1,0)</f>
        <v>0</v>
      </c>
      <c r="Z380" s="1">
        <f>IF(Y380=1,L380,0)</f>
        <v>0</v>
      </c>
      <c r="AA380" s="1">
        <f>IF(X380&lt;-100000000/100,1,0)</f>
        <v>0</v>
      </c>
      <c r="AB380" s="1">
        <f>IF(Z380&gt;100000000/100,1,0)</f>
        <v>0</v>
      </c>
    </row>
    <row r="381" spans="1:28" s="1" customFormat="1">
      <c r="A381" s="3">
        <v>45546</v>
      </c>
      <c r="B381" s="2" t="s">
        <v>14</v>
      </c>
      <c r="C381" s="1">
        <f>SUM(PL!E381:H381)</f>
        <v>0</v>
      </c>
      <c r="D381" s="1">
        <f>SUM(PL!I381:L381)</f>
        <v>0</v>
      </c>
      <c r="E381" s="1">
        <f>SUM(C381:D381)</f>
        <v>0</v>
      </c>
      <c r="F381" s="1">
        <f>IF(C381 + F380 &lt; 0, C381 + F380, 0)</f>
        <v>0</v>
      </c>
      <c r="G381" s="1">
        <f>IF(D381 + G380 &lt; 0, D381 + G380, 0)</f>
        <v>0</v>
      </c>
      <c r="H381" s="1">
        <f>IF(E381 + H380 &lt; 0, E381 + H380, 0)</f>
        <v>0</v>
      </c>
      <c r="I381" s="1">
        <f>IF(H381 &lt; 0, 1 + I380, 0)</f>
        <v>0</v>
      </c>
      <c r="J381" s="1">
        <f>C381-((ABS(SUM(PL!E381:H381)))*0.125)</f>
        <v>0</v>
      </c>
      <c r="K381" s="1">
        <f>D381-((ABS(SUM(PL!I381:L381)))*0.125)</f>
        <v>0</v>
      </c>
      <c r="L381" s="1">
        <f>J381 + K381</f>
        <v>0</v>
      </c>
      <c r="M381" s="1">
        <f>IF(J381 + M380 &lt; 0, J381 + M380, 0)</f>
        <v>0</v>
      </c>
      <c r="N381" s="1">
        <f>IF(K381 + N380 &lt; 0, K381 + N380, 0)</f>
        <v>0</v>
      </c>
      <c r="O381" s="1">
        <f>IF(L381 + O380 &lt; 0, L381 + O380, 0)</f>
        <v>0</v>
      </c>
      <c r="P381" s="1">
        <f>IF(O381 &lt; 0, 1 + P380, 0)</f>
        <v>0</v>
      </c>
      <c r="Q381" s="1">
        <f>IF(E381&lt;0,1,0)</f>
        <v>0</v>
      </c>
      <c r="R381" s="1">
        <f>IF(Q381=1,E381,0)</f>
        <v>0</v>
      </c>
      <c r="S381" s="1">
        <f>IF(E381&gt;0,1,0)</f>
        <v>0</v>
      </c>
      <c r="T381" s="1">
        <f>IF(S381=1,E381,0)</f>
        <v>0</v>
      </c>
      <c r="U381" s="1">
        <f>IF(R381&lt;-100000000/100,1,0)</f>
        <v>0</v>
      </c>
      <c r="V381" s="1">
        <f>IF(T381&gt;100000000/100,1,0)</f>
        <v>0</v>
      </c>
      <c r="W381" s="1">
        <f>IF(L381&lt;0,1,0)</f>
        <v>0</v>
      </c>
      <c r="X381" s="1">
        <f>IF(W381=1,L381,0)</f>
        <v>0</v>
      </c>
      <c r="Y381" s="1">
        <f>IF(L381&gt;0,1,0)</f>
        <v>0</v>
      </c>
      <c r="Z381" s="1">
        <f>IF(Y381=1,L381,0)</f>
        <v>0</v>
      </c>
      <c r="AA381" s="1">
        <f>IF(X381&lt;-100000000/100,1,0)</f>
        <v>0</v>
      </c>
      <c r="AB381" s="1">
        <f>IF(Z381&gt;100000000/100,1,0)</f>
        <v>0</v>
      </c>
    </row>
    <row r="382" spans="1:28" s="1" customFormat="1">
      <c r="A382" s="3">
        <v>45547</v>
      </c>
      <c r="B382" s="2" t="s">
        <v>16</v>
      </c>
      <c r="C382" s="1">
        <f>SUM(PL!E382:H382)</f>
        <v>0</v>
      </c>
      <c r="D382" s="1">
        <f>SUM(PL!I382:L382)</f>
        <v>0</v>
      </c>
      <c r="E382" s="1">
        <f>SUM(C382:D382)</f>
        <v>0</v>
      </c>
      <c r="F382" s="1">
        <f>IF(C382 + F381 &lt; 0, C382 + F381, 0)</f>
        <v>0</v>
      </c>
      <c r="G382" s="1">
        <f>IF(D382 + G381 &lt; 0, D382 + G381, 0)</f>
        <v>0</v>
      </c>
      <c r="H382" s="1">
        <f>IF(E382 + H381 &lt; 0, E382 + H381, 0)</f>
        <v>0</v>
      </c>
      <c r="I382" s="1">
        <f>IF(H382 &lt; 0, 1 + I381, 0)</f>
        <v>0</v>
      </c>
      <c r="J382" s="1">
        <f>C382-((ABS(SUM(PL!E382:H382)))*0.125)</f>
        <v>0</v>
      </c>
      <c r="K382" s="1">
        <f>D382-((ABS(SUM(PL!I382:L382)))*0.125)</f>
        <v>0</v>
      </c>
      <c r="L382" s="1">
        <f>J382 + K382</f>
        <v>0</v>
      </c>
      <c r="M382" s="1">
        <f>IF(J382 + M381 &lt; 0, J382 + M381, 0)</f>
        <v>0</v>
      </c>
      <c r="N382" s="1">
        <f>IF(K382 + N381 &lt; 0, K382 + N381, 0)</f>
        <v>0</v>
      </c>
      <c r="O382" s="1">
        <f>IF(L382 + O381 &lt; 0, L382 + O381, 0)</f>
        <v>0</v>
      </c>
      <c r="P382" s="1">
        <f>IF(O382 &lt; 0, 1 + P381, 0)</f>
        <v>0</v>
      </c>
      <c r="Q382" s="1">
        <f>IF(E382&lt;0,1,0)</f>
        <v>0</v>
      </c>
      <c r="R382" s="1">
        <f>IF(Q382=1,E382,0)</f>
        <v>0</v>
      </c>
      <c r="S382" s="1">
        <f>IF(E382&gt;0,1,0)</f>
        <v>0</v>
      </c>
      <c r="T382" s="1">
        <f>IF(S382=1,E382,0)</f>
        <v>0</v>
      </c>
      <c r="U382" s="1">
        <f>IF(R382&lt;-100000000/100,1,0)</f>
        <v>0</v>
      </c>
      <c r="V382" s="1">
        <f>IF(T382&gt;100000000/100,1,0)</f>
        <v>0</v>
      </c>
      <c r="W382" s="1">
        <f>IF(L382&lt;0,1,0)</f>
        <v>0</v>
      </c>
      <c r="X382" s="1">
        <f>IF(W382=1,L382,0)</f>
        <v>0</v>
      </c>
      <c r="Y382" s="1">
        <f>IF(L382&gt;0,1,0)</f>
        <v>0</v>
      </c>
      <c r="Z382" s="1">
        <f>IF(Y382=1,L382,0)</f>
        <v>0</v>
      </c>
      <c r="AA382" s="1">
        <f>IF(X382&lt;-100000000/100,1,0)</f>
        <v>0</v>
      </c>
      <c r="AB382" s="1">
        <f>IF(Z382&gt;100000000/100,1,0)</f>
        <v>0</v>
      </c>
    </row>
    <row r="383" spans="1:28" s="1" customFormat="1">
      <c r="A383" s="3">
        <v>45548</v>
      </c>
      <c r="B383" s="2" t="s">
        <v>15</v>
      </c>
      <c r="C383" s="1">
        <f>SUM(PL!E383:H383)</f>
        <v>0</v>
      </c>
      <c r="D383" s="1">
        <f>SUM(PL!I383:L383)</f>
        <v>0</v>
      </c>
      <c r="E383" s="1">
        <f>SUM(C383:D383)</f>
        <v>0</v>
      </c>
      <c r="F383" s="1">
        <f>IF(C383 + F382 &lt; 0, C383 + F382, 0)</f>
        <v>0</v>
      </c>
      <c r="G383" s="1">
        <f>IF(D383 + G382 &lt; 0, D383 + G382, 0)</f>
        <v>0</v>
      </c>
      <c r="H383" s="1">
        <f>IF(E383 + H382 &lt; 0, E383 + H382, 0)</f>
        <v>0</v>
      </c>
      <c r="I383" s="1">
        <f>IF(H383 &lt; 0, 1 + I382, 0)</f>
        <v>0</v>
      </c>
      <c r="J383" s="1">
        <f>C383-((ABS(SUM(PL!E383:H383)))*0.125)</f>
        <v>0</v>
      </c>
      <c r="K383" s="1">
        <f>D383-((ABS(SUM(PL!I383:L383)))*0.125)</f>
        <v>0</v>
      </c>
      <c r="L383" s="1">
        <f>J383 + K383</f>
        <v>0</v>
      </c>
      <c r="M383" s="1">
        <f>IF(J383 + M382 &lt; 0, J383 + M382, 0)</f>
        <v>0</v>
      </c>
      <c r="N383" s="1">
        <f>IF(K383 + N382 &lt; 0, K383 + N382, 0)</f>
        <v>0</v>
      </c>
      <c r="O383" s="1">
        <f>IF(L383 + O382 &lt; 0, L383 + O382, 0)</f>
        <v>0</v>
      </c>
      <c r="P383" s="1">
        <f>IF(O383 &lt; 0, 1 + P382, 0)</f>
        <v>0</v>
      </c>
      <c r="Q383" s="1">
        <f>IF(E383&lt;0,1,0)</f>
        <v>0</v>
      </c>
      <c r="R383" s="1">
        <f>IF(Q383=1,E383,0)</f>
        <v>0</v>
      </c>
      <c r="S383" s="1">
        <f>IF(E383&gt;0,1,0)</f>
        <v>0</v>
      </c>
      <c r="T383" s="1">
        <f>IF(S383=1,E383,0)</f>
        <v>0</v>
      </c>
      <c r="U383" s="1">
        <f>IF(R383&lt;-100000000/100,1,0)</f>
        <v>0</v>
      </c>
      <c r="V383" s="1">
        <f>IF(T383&gt;100000000/100,1,0)</f>
        <v>0</v>
      </c>
      <c r="W383" s="1">
        <f>IF(L383&lt;0,1,0)</f>
        <v>0</v>
      </c>
      <c r="X383" s="1">
        <f>IF(W383=1,L383,0)</f>
        <v>0</v>
      </c>
      <c r="Y383" s="1">
        <f>IF(L383&gt;0,1,0)</f>
        <v>0</v>
      </c>
      <c r="Z383" s="1">
        <f>IF(Y383=1,L383,0)</f>
        <v>0</v>
      </c>
      <c r="AA383" s="1">
        <f>IF(X383&lt;-100000000/100,1,0)</f>
        <v>0</v>
      </c>
      <c r="AB383" s="1">
        <f>IF(Z383&gt;100000000/100,1,0)</f>
        <v>0</v>
      </c>
    </row>
    <row r="384" spans="1:28" s="1" customFormat="1">
      <c r="A384" s="3">
        <v>45551</v>
      </c>
      <c r="B384" s="2" t="s">
        <v>12</v>
      </c>
      <c r="C384" s="1">
        <f>SUM(PL!E384:H384)</f>
        <v>0</v>
      </c>
      <c r="D384" s="1">
        <f>SUM(PL!I384:L384)</f>
        <v>0</v>
      </c>
      <c r="E384" s="1">
        <f>SUM(C384:D384)</f>
        <v>0</v>
      </c>
      <c r="F384" s="1">
        <f>IF(C384 + F383 &lt; 0, C384 + F383, 0)</f>
        <v>0</v>
      </c>
      <c r="G384" s="1">
        <f>IF(D384 + G383 &lt; 0, D384 + G383, 0)</f>
        <v>0</v>
      </c>
      <c r="H384" s="1">
        <f>IF(E384 + H383 &lt; 0, E384 + H383, 0)</f>
        <v>0</v>
      </c>
      <c r="I384" s="1">
        <f>IF(H384 &lt; 0, 1 + I383, 0)</f>
        <v>0</v>
      </c>
      <c r="J384" s="1">
        <f>C384-((ABS(SUM(PL!E384:H384)))*0.125)</f>
        <v>0</v>
      </c>
      <c r="K384" s="1">
        <f>D384-((ABS(SUM(PL!I384:L384)))*0.125)</f>
        <v>0</v>
      </c>
      <c r="L384" s="1">
        <f>J384 + K384</f>
        <v>0</v>
      </c>
      <c r="M384" s="1">
        <f>IF(J384 + M383 &lt; 0, J384 + M383, 0)</f>
        <v>0</v>
      </c>
      <c r="N384" s="1">
        <f>IF(K384 + N383 &lt; 0, K384 + N383, 0)</f>
        <v>0</v>
      </c>
      <c r="O384" s="1">
        <f>IF(L384 + O383 &lt; 0, L384 + O383, 0)</f>
        <v>0</v>
      </c>
      <c r="P384" s="1">
        <f>IF(O384 &lt; 0, 1 + P383, 0)</f>
        <v>0</v>
      </c>
      <c r="Q384" s="1">
        <f>IF(E384&lt;0,1,0)</f>
        <v>0</v>
      </c>
      <c r="R384" s="1">
        <f>IF(Q384=1,E384,0)</f>
        <v>0</v>
      </c>
      <c r="S384" s="1">
        <f>IF(E384&gt;0,1,0)</f>
        <v>0</v>
      </c>
      <c r="T384" s="1">
        <f>IF(S384=1,E384,0)</f>
        <v>0</v>
      </c>
      <c r="U384" s="1">
        <f>IF(R384&lt;-100000000/100,1,0)</f>
        <v>0</v>
      </c>
      <c r="V384" s="1">
        <f>IF(T384&gt;100000000/100,1,0)</f>
        <v>0</v>
      </c>
      <c r="W384" s="1">
        <f>IF(L384&lt;0,1,0)</f>
        <v>0</v>
      </c>
      <c r="X384" s="1">
        <f>IF(W384=1,L384,0)</f>
        <v>0</v>
      </c>
      <c r="Y384" s="1">
        <f>IF(L384&gt;0,1,0)</f>
        <v>0</v>
      </c>
      <c r="Z384" s="1">
        <f>IF(Y384=1,L384,0)</f>
        <v>0</v>
      </c>
      <c r="AA384" s="1">
        <f>IF(X384&lt;-100000000/100,1,0)</f>
        <v>0</v>
      </c>
      <c r="AB384" s="1">
        <f>IF(Z384&gt;100000000/100,1,0)</f>
        <v>0</v>
      </c>
    </row>
    <row r="385" spans="1:28" s="1" customFormat="1">
      <c r="A385" s="3">
        <v>45552</v>
      </c>
      <c r="B385" s="2" t="s">
        <v>13</v>
      </c>
      <c r="C385" s="1">
        <f>SUM(PL!E385:H385)</f>
        <v>0</v>
      </c>
      <c r="D385" s="1">
        <f>SUM(PL!I385:L385)</f>
        <v>0</v>
      </c>
      <c r="E385" s="1">
        <f>SUM(C385:D385)</f>
        <v>0</v>
      </c>
      <c r="F385" s="1">
        <f>IF(C385 + F384 &lt; 0, C385 + F384, 0)</f>
        <v>0</v>
      </c>
      <c r="G385" s="1">
        <f>IF(D385 + G384 &lt; 0, D385 + G384, 0)</f>
        <v>0</v>
      </c>
      <c r="H385" s="1">
        <f>IF(E385 + H384 &lt; 0, E385 + H384, 0)</f>
        <v>0</v>
      </c>
      <c r="I385" s="1">
        <f>IF(H385 &lt; 0, 1 + I384, 0)</f>
        <v>0</v>
      </c>
      <c r="J385" s="1">
        <f>C385-((ABS(SUM(PL!E385:H385)))*0.125)</f>
        <v>0</v>
      </c>
      <c r="K385" s="1">
        <f>D385-((ABS(SUM(PL!I385:L385)))*0.125)</f>
        <v>0</v>
      </c>
      <c r="L385" s="1">
        <f>J385 + K385</f>
        <v>0</v>
      </c>
      <c r="M385" s="1">
        <f>IF(J385 + M384 &lt; 0, J385 + M384, 0)</f>
        <v>0</v>
      </c>
      <c r="N385" s="1">
        <f>IF(K385 + N384 &lt; 0, K385 + N384, 0)</f>
        <v>0</v>
      </c>
      <c r="O385" s="1">
        <f>IF(L385 + O384 &lt; 0, L385 + O384, 0)</f>
        <v>0</v>
      </c>
      <c r="P385" s="1">
        <f>IF(O385 &lt; 0, 1 + P384, 0)</f>
        <v>0</v>
      </c>
      <c r="Q385" s="1">
        <f>IF(E385&lt;0,1,0)</f>
        <v>0</v>
      </c>
      <c r="R385" s="1">
        <f>IF(Q385=1,E385,0)</f>
        <v>0</v>
      </c>
      <c r="S385" s="1">
        <f>IF(E385&gt;0,1,0)</f>
        <v>0</v>
      </c>
      <c r="T385" s="1">
        <f>IF(S385=1,E385,0)</f>
        <v>0</v>
      </c>
      <c r="U385" s="1">
        <f>IF(R385&lt;-100000000/100,1,0)</f>
        <v>0</v>
      </c>
      <c r="V385" s="1">
        <f>IF(T385&gt;100000000/100,1,0)</f>
        <v>0</v>
      </c>
      <c r="W385" s="1">
        <f>IF(L385&lt;0,1,0)</f>
        <v>0</v>
      </c>
      <c r="X385" s="1">
        <f>IF(W385=1,L385,0)</f>
        <v>0</v>
      </c>
      <c r="Y385" s="1">
        <f>IF(L385&gt;0,1,0)</f>
        <v>0</v>
      </c>
      <c r="Z385" s="1">
        <f>IF(Y385=1,L385,0)</f>
        <v>0</v>
      </c>
      <c r="AA385" s="1">
        <f>IF(X385&lt;-100000000/100,1,0)</f>
        <v>0</v>
      </c>
      <c r="AB385" s="1">
        <f>IF(Z385&gt;100000000/100,1,0)</f>
        <v>0</v>
      </c>
    </row>
    <row r="386" spans="1:28" s="1" customFormat="1">
      <c r="A386" s="3">
        <v>45553</v>
      </c>
      <c r="B386" s="2" t="s">
        <v>14</v>
      </c>
      <c r="C386" s="1">
        <f>SUM(PL!E386:H386)</f>
        <v>0</v>
      </c>
      <c r="D386" s="1">
        <f>SUM(PL!I386:L386)</f>
        <v>0</v>
      </c>
      <c r="E386" s="1">
        <f>SUM(C386:D386)</f>
        <v>0</v>
      </c>
      <c r="F386" s="1">
        <f>IF(C386 + F385 &lt; 0, C386 + F385, 0)</f>
        <v>0</v>
      </c>
      <c r="G386" s="1">
        <f>IF(D386 + G385 &lt; 0, D386 + G385, 0)</f>
        <v>0</v>
      </c>
      <c r="H386" s="1">
        <f>IF(E386 + H385 &lt; 0, E386 + H385, 0)</f>
        <v>0</v>
      </c>
      <c r="I386" s="1">
        <f>IF(H386 &lt; 0, 1 + I385, 0)</f>
        <v>0</v>
      </c>
      <c r="J386" s="1">
        <f>C386-((ABS(SUM(PL!E386:H386)))*0.125)</f>
        <v>0</v>
      </c>
      <c r="K386" s="1">
        <f>D386-((ABS(SUM(PL!I386:L386)))*0.125)</f>
        <v>0</v>
      </c>
      <c r="L386" s="1">
        <f>J386 + K386</f>
        <v>0</v>
      </c>
      <c r="M386" s="1">
        <f>IF(J386 + M385 &lt; 0, J386 + M385, 0)</f>
        <v>0</v>
      </c>
      <c r="N386" s="1">
        <f>IF(K386 + N385 &lt; 0, K386 + N385, 0)</f>
        <v>0</v>
      </c>
      <c r="O386" s="1">
        <f>IF(L386 + O385 &lt; 0, L386 + O385, 0)</f>
        <v>0</v>
      </c>
      <c r="P386" s="1">
        <f>IF(O386 &lt; 0, 1 + P385, 0)</f>
        <v>0</v>
      </c>
      <c r="Q386" s="1">
        <f>IF(E386&lt;0,1,0)</f>
        <v>0</v>
      </c>
      <c r="R386" s="1">
        <f>IF(Q386=1,E386,0)</f>
        <v>0</v>
      </c>
      <c r="S386" s="1">
        <f>IF(E386&gt;0,1,0)</f>
        <v>0</v>
      </c>
      <c r="T386" s="1">
        <f>IF(S386=1,E386,0)</f>
        <v>0</v>
      </c>
      <c r="U386" s="1">
        <f>IF(R386&lt;-100000000/100,1,0)</f>
        <v>0</v>
      </c>
      <c r="V386" s="1">
        <f>IF(T386&gt;100000000/100,1,0)</f>
        <v>0</v>
      </c>
      <c r="W386" s="1">
        <f>IF(L386&lt;0,1,0)</f>
        <v>0</v>
      </c>
      <c r="X386" s="1">
        <f>IF(W386=1,L386,0)</f>
        <v>0</v>
      </c>
      <c r="Y386" s="1">
        <f>IF(L386&gt;0,1,0)</f>
        <v>0</v>
      </c>
      <c r="Z386" s="1">
        <f>IF(Y386=1,L386,0)</f>
        <v>0</v>
      </c>
      <c r="AA386" s="1">
        <f>IF(X386&lt;-100000000/100,1,0)</f>
        <v>0</v>
      </c>
      <c r="AB386" s="1">
        <f>IF(Z386&gt;100000000/100,1,0)</f>
        <v>0</v>
      </c>
    </row>
    <row r="387" spans="1:28" s="1" customFormat="1">
      <c r="A387" s="3">
        <v>45554</v>
      </c>
      <c r="B387" s="2" t="s">
        <v>16</v>
      </c>
      <c r="C387" s="1">
        <f>SUM(PL!E387:H387)</f>
        <v>0</v>
      </c>
      <c r="D387" s="1">
        <f>SUM(PL!I387:L387)</f>
        <v>0</v>
      </c>
      <c r="E387" s="1">
        <f>SUM(C387:D387)</f>
        <v>0</v>
      </c>
      <c r="F387" s="1">
        <f>IF(C387 + F386 &lt; 0, C387 + F386, 0)</f>
        <v>0</v>
      </c>
      <c r="G387" s="1">
        <f>IF(D387 + G386 &lt; 0, D387 + G386, 0)</f>
        <v>0</v>
      </c>
      <c r="H387" s="1">
        <f>IF(E387 + H386 &lt; 0, E387 + H386, 0)</f>
        <v>0</v>
      </c>
      <c r="I387" s="1">
        <f>IF(H387 &lt; 0, 1 + I386, 0)</f>
        <v>0</v>
      </c>
      <c r="J387" s="1">
        <f>C387-((ABS(SUM(PL!E387:H387)))*0.125)</f>
        <v>0</v>
      </c>
      <c r="K387" s="1">
        <f>D387-((ABS(SUM(PL!I387:L387)))*0.125)</f>
        <v>0</v>
      </c>
      <c r="L387" s="1">
        <f>J387 + K387</f>
        <v>0</v>
      </c>
      <c r="M387" s="1">
        <f>IF(J387 + M386 &lt; 0, J387 + M386, 0)</f>
        <v>0</v>
      </c>
      <c r="N387" s="1">
        <f>IF(K387 + N386 &lt; 0, K387 + N386, 0)</f>
        <v>0</v>
      </c>
      <c r="O387" s="1">
        <f>IF(L387 + O386 &lt; 0, L387 + O386, 0)</f>
        <v>0</v>
      </c>
      <c r="P387" s="1">
        <f>IF(O387 &lt; 0, 1 + P386, 0)</f>
        <v>0</v>
      </c>
      <c r="Q387" s="1">
        <f>IF(E387&lt;0,1,0)</f>
        <v>0</v>
      </c>
      <c r="R387" s="1">
        <f>IF(Q387=1,E387,0)</f>
        <v>0</v>
      </c>
      <c r="S387" s="1">
        <f>IF(E387&gt;0,1,0)</f>
        <v>0</v>
      </c>
      <c r="T387" s="1">
        <f>IF(S387=1,E387,0)</f>
        <v>0</v>
      </c>
      <c r="U387" s="1">
        <f>IF(R387&lt;-100000000/100,1,0)</f>
        <v>0</v>
      </c>
      <c r="V387" s="1">
        <f>IF(T387&gt;100000000/100,1,0)</f>
        <v>0</v>
      </c>
      <c r="W387" s="1">
        <f>IF(L387&lt;0,1,0)</f>
        <v>0</v>
      </c>
      <c r="X387" s="1">
        <f>IF(W387=1,L387,0)</f>
        <v>0</v>
      </c>
      <c r="Y387" s="1">
        <f>IF(L387&gt;0,1,0)</f>
        <v>0</v>
      </c>
      <c r="Z387" s="1">
        <f>IF(Y387=1,L387,0)</f>
        <v>0</v>
      </c>
      <c r="AA387" s="1">
        <f>IF(X387&lt;-100000000/100,1,0)</f>
        <v>0</v>
      </c>
      <c r="AB387" s="1">
        <f>IF(Z387&gt;100000000/100,1,0)</f>
        <v>0</v>
      </c>
    </row>
    <row r="388" spans="1:28" s="1" customFormat="1">
      <c r="A388" s="3">
        <v>45555</v>
      </c>
      <c r="B388" s="2" t="s">
        <v>15</v>
      </c>
      <c r="C388" s="1">
        <f>SUM(PL!E388:H388)</f>
        <v>0</v>
      </c>
      <c r="D388" s="1">
        <f>SUM(PL!I388:L388)</f>
        <v>0</v>
      </c>
      <c r="E388" s="1">
        <f>SUM(C388:D388)</f>
        <v>0</v>
      </c>
      <c r="F388" s="1">
        <f>IF(C388 + F387 &lt; 0, C388 + F387, 0)</f>
        <v>0</v>
      </c>
      <c r="G388" s="1">
        <f>IF(D388 + G387 &lt; 0, D388 + G387, 0)</f>
        <v>0</v>
      </c>
      <c r="H388" s="1">
        <f>IF(E388 + H387 &lt; 0, E388 + H387, 0)</f>
        <v>0</v>
      </c>
      <c r="I388" s="1">
        <f>IF(H388 &lt; 0, 1 + I387, 0)</f>
        <v>0</v>
      </c>
      <c r="J388" s="1">
        <f>C388-((ABS(SUM(PL!E388:H388)))*0.125)</f>
        <v>0</v>
      </c>
      <c r="K388" s="1">
        <f>D388-((ABS(SUM(PL!I388:L388)))*0.125)</f>
        <v>0</v>
      </c>
      <c r="L388" s="1">
        <f>J388 + K388</f>
        <v>0</v>
      </c>
      <c r="M388" s="1">
        <f>IF(J388 + M387 &lt; 0, J388 + M387, 0)</f>
        <v>0</v>
      </c>
      <c r="N388" s="1">
        <f>IF(K388 + N387 &lt; 0, K388 + N387, 0)</f>
        <v>0</v>
      </c>
      <c r="O388" s="1">
        <f>IF(L388 + O387 &lt; 0, L388 + O387, 0)</f>
        <v>0</v>
      </c>
      <c r="P388" s="1">
        <f>IF(O388 &lt; 0, 1 + P387, 0)</f>
        <v>0</v>
      </c>
      <c r="Q388" s="1">
        <f>IF(E388&lt;0,1,0)</f>
        <v>0</v>
      </c>
      <c r="R388" s="1">
        <f>IF(Q388=1,E388,0)</f>
        <v>0</v>
      </c>
      <c r="S388" s="1">
        <f>IF(E388&gt;0,1,0)</f>
        <v>0</v>
      </c>
      <c r="T388" s="1">
        <f>IF(S388=1,E388,0)</f>
        <v>0</v>
      </c>
      <c r="U388" s="1">
        <f>IF(R388&lt;-100000000/100,1,0)</f>
        <v>0</v>
      </c>
      <c r="V388" s="1">
        <f>IF(T388&gt;100000000/100,1,0)</f>
        <v>0</v>
      </c>
      <c r="W388" s="1">
        <f>IF(L388&lt;0,1,0)</f>
        <v>0</v>
      </c>
      <c r="X388" s="1">
        <f>IF(W388=1,L388,0)</f>
        <v>0</v>
      </c>
      <c r="Y388" s="1">
        <f>IF(L388&gt;0,1,0)</f>
        <v>0</v>
      </c>
      <c r="Z388" s="1">
        <f>IF(Y388=1,L388,0)</f>
        <v>0</v>
      </c>
      <c r="AA388" s="1">
        <f>IF(X388&lt;-100000000/100,1,0)</f>
        <v>0</v>
      </c>
      <c r="AB388" s="1">
        <f>IF(Z388&gt;100000000/100,1,0)</f>
        <v>0</v>
      </c>
    </row>
    <row r="389" spans="1:28" s="1" customFormat="1">
      <c r="A389" s="3">
        <v>45558</v>
      </c>
      <c r="B389" s="2" t="s">
        <v>12</v>
      </c>
      <c r="C389" s="1">
        <f>SUM(PL!E389:H389)</f>
        <v>0</v>
      </c>
      <c r="D389" s="1">
        <f>SUM(PL!I389:L389)</f>
        <v>0</v>
      </c>
      <c r="E389" s="1">
        <f>SUM(C389:D389)</f>
        <v>0</v>
      </c>
      <c r="F389" s="1">
        <f>IF(C389 + F388 &lt; 0, C389 + F388, 0)</f>
        <v>0</v>
      </c>
      <c r="G389" s="1">
        <f>IF(D389 + G388 &lt; 0, D389 + G388, 0)</f>
        <v>0</v>
      </c>
      <c r="H389" s="1">
        <f>IF(E389 + H388 &lt; 0, E389 + H388, 0)</f>
        <v>0</v>
      </c>
      <c r="I389" s="1">
        <f>IF(H389 &lt; 0, 1 + I388, 0)</f>
        <v>0</v>
      </c>
      <c r="J389" s="1">
        <f>C389-((ABS(SUM(PL!E389:H389)))*0.125)</f>
        <v>0</v>
      </c>
      <c r="K389" s="1">
        <f>D389-((ABS(SUM(PL!I389:L389)))*0.125)</f>
        <v>0</v>
      </c>
      <c r="L389" s="1">
        <f>J389 + K389</f>
        <v>0</v>
      </c>
      <c r="M389" s="1">
        <f>IF(J389 + M388 &lt; 0, J389 + M388, 0)</f>
        <v>0</v>
      </c>
      <c r="N389" s="1">
        <f>IF(K389 + N388 &lt; 0, K389 + N388, 0)</f>
        <v>0</v>
      </c>
      <c r="O389" s="1">
        <f>IF(L389 + O388 &lt; 0, L389 + O388, 0)</f>
        <v>0</v>
      </c>
      <c r="P389" s="1">
        <f>IF(O389 &lt; 0, 1 + P388, 0)</f>
        <v>0</v>
      </c>
      <c r="Q389" s="1">
        <f>IF(E389&lt;0,1,0)</f>
        <v>0</v>
      </c>
      <c r="R389" s="1">
        <f>IF(Q389=1,E389,0)</f>
        <v>0</v>
      </c>
      <c r="S389" s="1">
        <f>IF(E389&gt;0,1,0)</f>
        <v>0</v>
      </c>
      <c r="T389" s="1">
        <f>IF(S389=1,E389,0)</f>
        <v>0</v>
      </c>
      <c r="U389" s="1">
        <f>IF(R389&lt;-100000000/100,1,0)</f>
        <v>0</v>
      </c>
      <c r="V389" s="1">
        <f>IF(T389&gt;100000000/100,1,0)</f>
        <v>0</v>
      </c>
      <c r="W389" s="1">
        <f>IF(L389&lt;0,1,0)</f>
        <v>0</v>
      </c>
      <c r="X389" s="1">
        <f>IF(W389=1,L389,0)</f>
        <v>0</v>
      </c>
      <c r="Y389" s="1">
        <f>IF(L389&gt;0,1,0)</f>
        <v>0</v>
      </c>
      <c r="Z389" s="1">
        <f>IF(Y389=1,L389,0)</f>
        <v>0</v>
      </c>
      <c r="AA389" s="1">
        <f>IF(X389&lt;-100000000/100,1,0)</f>
        <v>0</v>
      </c>
      <c r="AB389" s="1">
        <f>IF(Z389&gt;100000000/100,1,0)</f>
        <v>0</v>
      </c>
    </row>
    <row r="390" spans="1:28" s="1" customFormat="1">
      <c r="A390" s="3">
        <v>45559</v>
      </c>
      <c r="B390" s="2" t="s">
        <v>13</v>
      </c>
      <c r="C390" s="1">
        <f>SUM(PL!E390:H390)</f>
        <v>0</v>
      </c>
      <c r="D390" s="1">
        <f>SUM(PL!I390:L390)</f>
        <v>0</v>
      </c>
      <c r="E390" s="1">
        <f>SUM(C390:D390)</f>
        <v>0</v>
      </c>
      <c r="F390" s="1">
        <f>IF(C390 + F389 &lt; 0, C390 + F389, 0)</f>
        <v>0</v>
      </c>
      <c r="G390" s="1">
        <f>IF(D390 + G389 &lt; 0, D390 + G389, 0)</f>
        <v>0</v>
      </c>
      <c r="H390" s="1">
        <f>IF(E390 + H389 &lt; 0, E390 + H389, 0)</f>
        <v>0</v>
      </c>
      <c r="I390" s="1">
        <f>IF(H390 &lt; 0, 1 + I389, 0)</f>
        <v>0</v>
      </c>
      <c r="J390" s="1">
        <f>C390-((ABS(SUM(PL!E390:H390)))*0.125)</f>
        <v>0</v>
      </c>
      <c r="K390" s="1">
        <f>D390-((ABS(SUM(PL!I390:L390)))*0.125)</f>
        <v>0</v>
      </c>
      <c r="L390" s="1">
        <f>J390 + K390</f>
        <v>0</v>
      </c>
      <c r="M390" s="1">
        <f>IF(J390 + M389 &lt; 0, J390 + M389, 0)</f>
        <v>0</v>
      </c>
      <c r="N390" s="1">
        <f>IF(K390 + N389 &lt; 0, K390 + N389, 0)</f>
        <v>0</v>
      </c>
      <c r="O390" s="1">
        <f>IF(L390 + O389 &lt; 0, L390 + O389, 0)</f>
        <v>0</v>
      </c>
      <c r="P390" s="1">
        <f>IF(O390 &lt; 0, 1 + P389, 0)</f>
        <v>0</v>
      </c>
      <c r="Q390" s="1">
        <f>IF(E390&lt;0,1,0)</f>
        <v>0</v>
      </c>
      <c r="R390" s="1">
        <f>IF(Q390=1,E390,0)</f>
        <v>0</v>
      </c>
      <c r="S390" s="1">
        <f>IF(E390&gt;0,1,0)</f>
        <v>0</v>
      </c>
      <c r="T390" s="1">
        <f>IF(S390=1,E390,0)</f>
        <v>0</v>
      </c>
      <c r="U390" s="1">
        <f>IF(R390&lt;-100000000/100,1,0)</f>
        <v>0</v>
      </c>
      <c r="V390" s="1">
        <f>IF(T390&gt;100000000/100,1,0)</f>
        <v>0</v>
      </c>
      <c r="W390" s="1">
        <f>IF(L390&lt;0,1,0)</f>
        <v>0</v>
      </c>
      <c r="X390" s="1">
        <f>IF(W390=1,L390,0)</f>
        <v>0</v>
      </c>
      <c r="Y390" s="1">
        <f>IF(L390&gt;0,1,0)</f>
        <v>0</v>
      </c>
      <c r="Z390" s="1">
        <f>IF(Y390=1,L390,0)</f>
        <v>0</v>
      </c>
      <c r="AA390" s="1">
        <f>IF(X390&lt;-100000000/100,1,0)</f>
        <v>0</v>
      </c>
      <c r="AB390" s="1">
        <f>IF(Z390&gt;100000000/100,1,0)</f>
        <v>0</v>
      </c>
    </row>
    <row r="391" spans="1:28" s="1" customFormat="1">
      <c r="A391" s="3">
        <v>45560</v>
      </c>
      <c r="B391" s="2" t="s">
        <v>14</v>
      </c>
      <c r="C391" s="1">
        <f>SUM(PL!E391:H391)</f>
        <v>0</v>
      </c>
      <c r="D391" s="1">
        <f>SUM(PL!I391:L391)</f>
        <v>0</v>
      </c>
      <c r="E391" s="1">
        <f>SUM(C391:D391)</f>
        <v>0</v>
      </c>
      <c r="F391" s="1">
        <f>IF(C391 + F390 &lt; 0, C391 + F390, 0)</f>
        <v>0</v>
      </c>
      <c r="G391" s="1">
        <f>IF(D391 + G390 &lt; 0, D391 + G390, 0)</f>
        <v>0</v>
      </c>
      <c r="H391" s="1">
        <f>IF(E391 + H390 &lt; 0, E391 + H390, 0)</f>
        <v>0</v>
      </c>
      <c r="I391" s="1">
        <f>IF(H391 &lt; 0, 1 + I390, 0)</f>
        <v>0</v>
      </c>
      <c r="J391" s="1">
        <f>C391-((ABS(SUM(PL!E391:H391)))*0.125)</f>
        <v>0</v>
      </c>
      <c r="K391" s="1">
        <f>D391-((ABS(SUM(PL!I391:L391)))*0.125)</f>
        <v>0</v>
      </c>
      <c r="L391" s="1">
        <f>J391 + K391</f>
        <v>0</v>
      </c>
      <c r="M391" s="1">
        <f>IF(J391 + M390 &lt; 0, J391 + M390, 0)</f>
        <v>0</v>
      </c>
      <c r="N391" s="1">
        <f>IF(K391 + N390 &lt; 0, K391 + N390, 0)</f>
        <v>0</v>
      </c>
      <c r="O391" s="1">
        <f>IF(L391 + O390 &lt; 0, L391 + O390, 0)</f>
        <v>0</v>
      </c>
      <c r="P391" s="1">
        <f>IF(O391 &lt; 0, 1 + P390, 0)</f>
        <v>0</v>
      </c>
      <c r="Q391" s="1">
        <f>IF(E391&lt;0,1,0)</f>
        <v>0</v>
      </c>
      <c r="R391" s="1">
        <f>IF(Q391=1,E391,0)</f>
        <v>0</v>
      </c>
      <c r="S391" s="1">
        <f>IF(E391&gt;0,1,0)</f>
        <v>0</v>
      </c>
      <c r="T391" s="1">
        <f>IF(S391=1,E391,0)</f>
        <v>0</v>
      </c>
      <c r="U391" s="1">
        <f>IF(R391&lt;-100000000/100,1,0)</f>
        <v>0</v>
      </c>
      <c r="V391" s="1">
        <f>IF(T391&gt;100000000/100,1,0)</f>
        <v>0</v>
      </c>
      <c r="W391" s="1">
        <f>IF(L391&lt;0,1,0)</f>
        <v>0</v>
      </c>
      <c r="X391" s="1">
        <f>IF(W391=1,L391,0)</f>
        <v>0</v>
      </c>
      <c r="Y391" s="1">
        <f>IF(L391&gt;0,1,0)</f>
        <v>0</v>
      </c>
      <c r="Z391" s="1">
        <f>IF(Y391=1,L391,0)</f>
        <v>0</v>
      </c>
      <c r="AA391" s="1">
        <f>IF(X391&lt;-100000000/100,1,0)</f>
        <v>0</v>
      </c>
      <c r="AB391" s="1">
        <f>IF(Z391&gt;100000000/100,1,0)</f>
        <v>0</v>
      </c>
    </row>
    <row r="392" spans="1:28" s="1" customFormat="1">
      <c r="A392" s="3">
        <v>45561</v>
      </c>
      <c r="B392" s="2" t="s">
        <v>16</v>
      </c>
      <c r="C392" s="1">
        <f>SUM(PL!E392:H392)</f>
        <v>0</v>
      </c>
      <c r="D392" s="1">
        <f>SUM(PL!I392:L392)</f>
        <v>0</v>
      </c>
      <c r="E392" s="1">
        <f>SUM(C392:D392)</f>
        <v>0</v>
      </c>
      <c r="F392" s="1">
        <f>IF(C392 + F391 &lt; 0, C392 + F391, 0)</f>
        <v>0</v>
      </c>
      <c r="G392" s="1">
        <f>IF(D392 + G391 &lt; 0, D392 + G391, 0)</f>
        <v>0</v>
      </c>
      <c r="H392" s="1">
        <f>IF(E392 + H391 &lt; 0, E392 + H391, 0)</f>
        <v>0</v>
      </c>
      <c r="I392" s="1">
        <f>IF(H392 &lt; 0, 1 + I391, 0)</f>
        <v>0</v>
      </c>
      <c r="J392" s="1">
        <f>C392-((ABS(SUM(PL!E392:H392)))*0.125)</f>
        <v>0</v>
      </c>
      <c r="K392" s="1">
        <f>D392-((ABS(SUM(PL!I392:L392)))*0.125)</f>
        <v>0</v>
      </c>
      <c r="L392" s="1">
        <f>J392 + K392</f>
        <v>0</v>
      </c>
      <c r="M392" s="1">
        <f>IF(J392 + M391 &lt; 0, J392 + M391, 0)</f>
        <v>0</v>
      </c>
      <c r="N392" s="1">
        <f>IF(K392 + N391 &lt; 0, K392 + N391, 0)</f>
        <v>0</v>
      </c>
      <c r="O392" s="1">
        <f>IF(L392 + O391 &lt; 0, L392 + O391, 0)</f>
        <v>0</v>
      </c>
      <c r="P392" s="1">
        <f>IF(O392 &lt; 0, 1 + P391, 0)</f>
        <v>0</v>
      </c>
      <c r="Q392" s="1">
        <f>IF(E392&lt;0,1,0)</f>
        <v>0</v>
      </c>
      <c r="R392" s="1">
        <f>IF(Q392=1,E392,0)</f>
        <v>0</v>
      </c>
      <c r="S392" s="1">
        <f>IF(E392&gt;0,1,0)</f>
        <v>0</v>
      </c>
      <c r="T392" s="1">
        <f>IF(S392=1,E392,0)</f>
        <v>0</v>
      </c>
      <c r="U392" s="1">
        <f>IF(R392&lt;-100000000/100,1,0)</f>
        <v>0</v>
      </c>
      <c r="V392" s="1">
        <f>IF(T392&gt;100000000/100,1,0)</f>
        <v>0</v>
      </c>
      <c r="W392" s="1">
        <f>IF(L392&lt;0,1,0)</f>
        <v>0</v>
      </c>
      <c r="X392" s="1">
        <f>IF(W392=1,L392,0)</f>
        <v>0</v>
      </c>
      <c r="Y392" s="1">
        <f>IF(L392&gt;0,1,0)</f>
        <v>0</v>
      </c>
      <c r="Z392" s="1">
        <f>IF(Y392=1,L392,0)</f>
        <v>0</v>
      </c>
      <c r="AA392" s="1">
        <f>IF(X392&lt;-100000000/100,1,0)</f>
        <v>0</v>
      </c>
      <c r="AB392" s="1">
        <f>IF(Z392&gt;100000000/100,1,0)</f>
        <v>0</v>
      </c>
    </row>
    <row r="393" spans="1:28" s="1" customFormat="1">
      <c r="A393" s="3">
        <v>45562</v>
      </c>
      <c r="B393" s="2" t="s">
        <v>15</v>
      </c>
      <c r="C393" s="1">
        <f>SUM(PL!E393:H393)</f>
        <v>0</v>
      </c>
      <c r="D393" s="1">
        <f>SUM(PL!I393:L393)</f>
        <v>0</v>
      </c>
      <c r="E393" s="1">
        <f>SUM(C393:D393)</f>
        <v>0</v>
      </c>
      <c r="F393" s="1">
        <f>IF(C393 + F392 &lt; 0, C393 + F392, 0)</f>
        <v>0</v>
      </c>
      <c r="G393" s="1">
        <f>IF(D393 + G392 &lt; 0, D393 + G392, 0)</f>
        <v>0</v>
      </c>
      <c r="H393" s="1">
        <f>IF(E393 + H392 &lt; 0, E393 + H392, 0)</f>
        <v>0</v>
      </c>
      <c r="I393" s="1">
        <f>IF(H393 &lt; 0, 1 + I392, 0)</f>
        <v>0</v>
      </c>
      <c r="J393" s="1">
        <f>C393-((ABS(SUM(PL!E393:H393)))*0.125)</f>
        <v>0</v>
      </c>
      <c r="K393" s="1">
        <f>D393-((ABS(SUM(PL!I393:L393)))*0.125)</f>
        <v>0</v>
      </c>
      <c r="L393" s="1">
        <f>J393 + K393</f>
        <v>0</v>
      </c>
      <c r="M393" s="1">
        <f>IF(J393 + M392 &lt; 0, J393 + M392, 0)</f>
        <v>0</v>
      </c>
      <c r="N393" s="1">
        <f>IF(K393 + N392 &lt; 0, K393 + N392, 0)</f>
        <v>0</v>
      </c>
      <c r="O393" s="1">
        <f>IF(L393 + O392 &lt; 0, L393 + O392, 0)</f>
        <v>0</v>
      </c>
      <c r="P393" s="1">
        <f>IF(O393 &lt; 0, 1 + P392, 0)</f>
        <v>0</v>
      </c>
      <c r="Q393" s="1">
        <f>IF(E393&lt;0,1,0)</f>
        <v>0</v>
      </c>
      <c r="R393" s="1">
        <f>IF(Q393=1,E393,0)</f>
        <v>0</v>
      </c>
      <c r="S393" s="1">
        <f>IF(E393&gt;0,1,0)</f>
        <v>0</v>
      </c>
      <c r="T393" s="1">
        <f>IF(S393=1,E393,0)</f>
        <v>0</v>
      </c>
      <c r="U393" s="1">
        <f>IF(R393&lt;-100000000/100,1,0)</f>
        <v>0</v>
      </c>
      <c r="V393" s="1">
        <f>IF(T393&gt;100000000/100,1,0)</f>
        <v>0</v>
      </c>
      <c r="W393" s="1">
        <f>IF(L393&lt;0,1,0)</f>
        <v>0</v>
      </c>
      <c r="X393" s="1">
        <f>IF(W393=1,L393,0)</f>
        <v>0</v>
      </c>
      <c r="Y393" s="1">
        <f>IF(L393&gt;0,1,0)</f>
        <v>0</v>
      </c>
      <c r="Z393" s="1">
        <f>IF(Y393=1,L393,0)</f>
        <v>0</v>
      </c>
      <c r="AA393" s="1">
        <f>IF(X393&lt;-100000000/100,1,0)</f>
        <v>0</v>
      </c>
      <c r="AB393" s="1">
        <f>IF(Z393&gt;100000000/100,1,0)</f>
        <v>0</v>
      </c>
    </row>
    <row r="394" spans="1:28" s="1" customFormat="1">
      <c r="A394" s="3">
        <v>45565</v>
      </c>
      <c r="B394" s="2" t="s">
        <v>12</v>
      </c>
      <c r="C394" s="1">
        <f>SUM(PL!E394:H394)</f>
        <v>0</v>
      </c>
      <c r="D394" s="1">
        <f>SUM(PL!I394:L394)</f>
        <v>0</v>
      </c>
      <c r="E394" s="1">
        <f>SUM(C394:D394)</f>
        <v>0</v>
      </c>
      <c r="F394" s="1">
        <f>IF(C394 + F393 &lt; 0, C394 + F393, 0)</f>
        <v>0</v>
      </c>
      <c r="G394" s="1">
        <f>IF(D394 + G393 &lt; 0, D394 + G393, 0)</f>
        <v>0</v>
      </c>
      <c r="H394" s="1">
        <f>IF(E394 + H393 &lt; 0, E394 + H393, 0)</f>
        <v>0</v>
      </c>
      <c r="I394" s="1">
        <f>IF(H394 &lt; 0, 1 + I393, 0)</f>
        <v>0</v>
      </c>
      <c r="J394" s="1">
        <f>C394-((ABS(SUM(PL!E394:H394)))*0.125)</f>
        <v>0</v>
      </c>
      <c r="K394" s="1">
        <f>D394-((ABS(SUM(PL!I394:L394)))*0.125)</f>
        <v>0</v>
      </c>
      <c r="L394" s="1">
        <f>J394 + K394</f>
        <v>0</v>
      </c>
      <c r="M394" s="1">
        <f>IF(J394 + M393 &lt; 0, J394 + M393, 0)</f>
        <v>0</v>
      </c>
      <c r="N394" s="1">
        <f>IF(K394 + N393 &lt; 0, K394 + N393, 0)</f>
        <v>0</v>
      </c>
      <c r="O394" s="1">
        <f>IF(L394 + O393 &lt; 0, L394 + O393, 0)</f>
        <v>0</v>
      </c>
      <c r="P394" s="1">
        <f>IF(O394 &lt; 0, 1 + P393, 0)</f>
        <v>0</v>
      </c>
      <c r="Q394" s="1">
        <f>IF(E394&lt;0,1,0)</f>
        <v>0</v>
      </c>
      <c r="R394" s="1">
        <f>IF(Q394=1,E394,0)</f>
        <v>0</v>
      </c>
      <c r="S394" s="1">
        <f>IF(E394&gt;0,1,0)</f>
        <v>0</v>
      </c>
      <c r="T394" s="1">
        <f>IF(S394=1,E394,0)</f>
        <v>0</v>
      </c>
      <c r="U394" s="1">
        <f>IF(R394&lt;-100000000/100,1,0)</f>
        <v>0</v>
      </c>
      <c r="V394" s="1">
        <f>IF(T394&gt;100000000/100,1,0)</f>
        <v>0</v>
      </c>
      <c r="W394" s="1">
        <f>IF(L394&lt;0,1,0)</f>
        <v>0</v>
      </c>
      <c r="X394" s="1">
        <f>IF(W394=1,L394,0)</f>
        <v>0</v>
      </c>
      <c r="Y394" s="1">
        <f>IF(L394&gt;0,1,0)</f>
        <v>0</v>
      </c>
      <c r="Z394" s="1">
        <f>IF(Y394=1,L394,0)</f>
        <v>0</v>
      </c>
      <c r="AA394" s="1">
        <f>IF(X394&lt;-100000000/100,1,0)</f>
        <v>0</v>
      </c>
      <c r="AB394" s="1">
        <f>IF(Z394&gt;100000000/100,1,0)</f>
        <v>0</v>
      </c>
    </row>
    <row r="395" spans="1:28" s="1" customFormat="1">
      <c r="A395" s="3">
        <v>45566</v>
      </c>
      <c r="B395" s="2" t="s">
        <v>13</v>
      </c>
      <c r="C395" s="1">
        <f>SUM(PL!E395:H395)</f>
        <v>0</v>
      </c>
      <c r="D395" s="1">
        <f>SUM(PL!I395:L395)</f>
        <v>0</v>
      </c>
      <c r="E395" s="1">
        <f>SUM(C395:D395)</f>
        <v>0</v>
      </c>
      <c r="F395" s="1">
        <f>IF(C395 + F394 &lt; 0, C395 + F394, 0)</f>
        <v>0</v>
      </c>
      <c r="G395" s="1">
        <f>IF(D395 + G394 &lt; 0, D395 + G394, 0)</f>
        <v>0</v>
      </c>
      <c r="H395" s="1">
        <f>IF(E395 + H394 &lt; 0, E395 + H394, 0)</f>
        <v>0</v>
      </c>
      <c r="I395" s="1">
        <f>IF(H395 &lt; 0, 1 + I394, 0)</f>
        <v>0</v>
      </c>
      <c r="J395" s="1">
        <f>C395-((ABS(SUM(PL!E395:H395)))*0.125)</f>
        <v>0</v>
      </c>
      <c r="K395" s="1">
        <f>D395-((ABS(SUM(PL!I395:L395)))*0.125)</f>
        <v>0</v>
      </c>
      <c r="L395" s="1">
        <f>J395 + K395</f>
        <v>0</v>
      </c>
      <c r="M395" s="1">
        <f>IF(J395 + M394 &lt; 0, J395 + M394, 0)</f>
        <v>0</v>
      </c>
      <c r="N395" s="1">
        <f>IF(K395 + N394 &lt; 0, K395 + N394, 0)</f>
        <v>0</v>
      </c>
      <c r="O395" s="1">
        <f>IF(L395 + O394 &lt; 0, L395 + O394, 0)</f>
        <v>0</v>
      </c>
      <c r="P395" s="1">
        <f>IF(O395 &lt; 0, 1 + P394, 0)</f>
        <v>0</v>
      </c>
      <c r="Q395" s="1">
        <f>IF(E395&lt;0,1,0)</f>
        <v>0</v>
      </c>
      <c r="R395" s="1">
        <f>IF(Q395=1,E395,0)</f>
        <v>0</v>
      </c>
      <c r="S395" s="1">
        <f>IF(E395&gt;0,1,0)</f>
        <v>0</v>
      </c>
      <c r="T395" s="1">
        <f>IF(S395=1,E395,0)</f>
        <v>0</v>
      </c>
      <c r="U395" s="1">
        <f>IF(R395&lt;-100000000/100,1,0)</f>
        <v>0</v>
      </c>
      <c r="V395" s="1">
        <f>IF(T395&gt;100000000/100,1,0)</f>
        <v>0</v>
      </c>
      <c r="W395" s="1">
        <f>IF(L395&lt;0,1,0)</f>
        <v>0</v>
      </c>
      <c r="X395" s="1">
        <f>IF(W395=1,L395,0)</f>
        <v>0</v>
      </c>
      <c r="Y395" s="1">
        <f>IF(L395&gt;0,1,0)</f>
        <v>0</v>
      </c>
      <c r="Z395" s="1">
        <f>IF(Y395=1,L395,0)</f>
        <v>0</v>
      </c>
      <c r="AA395" s="1">
        <f>IF(X395&lt;-100000000/100,1,0)</f>
        <v>0</v>
      </c>
      <c r="AB395" s="1">
        <f>IF(Z395&gt;100000000/100,1,0)</f>
        <v>0</v>
      </c>
    </row>
    <row r="396" spans="1:28" s="1" customFormat="1">
      <c r="A396" s="3">
        <v>45568</v>
      </c>
      <c r="B396" s="2" t="s">
        <v>16</v>
      </c>
      <c r="C396" s="1">
        <f>SUM(PL!E396:H396)</f>
        <v>0</v>
      </c>
      <c r="D396" s="1">
        <f>SUM(PL!I396:L396)</f>
        <v>0</v>
      </c>
      <c r="E396" s="1">
        <f>SUM(C396:D396)</f>
        <v>0</v>
      </c>
      <c r="F396" s="1">
        <f>IF(C396 + F395 &lt; 0, C396 + F395, 0)</f>
        <v>0</v>
      </c>
      <c r="G396" s="1">
        <f>IF(D396 + G395 &lt; 0, D396 + G395, 0)</f>
        <v>0</v>
      </c>
      <c r="H396" s="1">
        <f>IF(E396 + H395 &lt; 0, E396 + H395, 0)</f>
        <v>0</v>
      </c>
      <c r="I396" s="1">
        <f>IF(H396 &lt; 0, 1 + I395, 0)</f>
        <v>0</v>
      </c>
      <c r="J396" s="1">
        <f>C396-((ABS(SUM(PL!E396:H396)))*0.125)</f>
        <v>0</v>
      </c>
      <c r="K396" s="1">
        <f>D396-((ABS(SUM(PL!I396:L396)))*0.125)</f>
        <v>0</v>
      </c>
      <c r="L396" s="1">
        <f>J396 + K396</f>
        <v>0</v>
      </c>
      <c r="M396" s="1">
        <f>IF(J396 + M395 &lt; 0, J396 + M395, 0)</f>
        <v>0</v>
      </c>
      <c r="N396" s="1">
        <f>IF(K396 + N395 &lt; 0, K396 + N395, 0)</f>
        <v>0</v>
      </c>
      <c r="O396" s="1">
        <f>IF(L396 + O395 &lt; 0, L396 + O395, 0)</f>
        <v>0</v>
      </c>
      <c r="P396" s="1">
        <f>IF(O396 &lt; 0, 1 + P395, 0)</f>
        <v>0</v>
      </c>
      <c r="Q396" s="1">
        <f>IF(E396&lt;0,1,0)</f>
        <v>0</v>
      </c>
      <c r="R396" s="1">
        <f>IF(Q396=1,E396,0)</f>
        <v>0</v>
      </c>
      <c r="S396" s="1">
        <f>IF(E396&gt;0,1,0)</f>
        <v>0</v>
      </c>
      <c r="T396" s="1">
        <f>IF(S396=1,E396,0)</f>
        <v>0</v>
      </c>
      <c r="U396" s="1">
        <f>IF(R396&lt;-100000000/100,1,0)</f>
        <v>0</v>
      </c>
      <c r="V396" s="1">
        <f>IF(T396&gt;100000000/100,1,0)</f>
        <v>0</v>
      </c>
      <c r="W396" s="1">
        <f>IF(L396&lt;0,1,0)</f>
        <v>0</v>
      </c>
      <c r="X396" s="1">
        <f>IF(W396=1,L396,0)</f>
        <v>0</v>
      </c>
      <c r="Y396" s="1">
        <f>IF(L396&gt;0,1,0)</f>
        <v>0</v>
      </c>
      <c r="Z396" s="1">
        <f>IF(Y396=1,L396,0)</f>
        <v>0</v>
      </c>
      <c r="AA396" s="1">
        <f>IF(X396&lt;-100000000/100,1,0)</f>
        <v>0</v>
      </c>
      <c r="AB396" s="1">
        <f>IF(Z396&gt;100000000/100,1,0)</f>
        <v>0</v>
      </c>
    </row>
    <row r="397" spans="1:28" s="1" customFormat="1">
      <c r="A397" s="3">
        <v>45569</v>
      </c>
      <c r="B397" s="2" t="s">
        <v>15</v>
      </c>
      <c r="C397" s="1">
        <f>SUM(PL!E397:H397)</f>
        <v>0</v>
      </c>
      <c r="D397" s="1">
        <f>SUM(PL!I397:L397)</f>
        <v>0</v>
      </c>
      <c r="E397" s="1">
        <f>SUM(C397:D397)</f>
        <v>0</v>
      </c>
      <c r="F397" s="1">
        <f>IF(C397 + F396 &lt; 0, C397 + F396, 0)</f>
        <v>0</v>
      </c>
      <c r="G397" s="1">
        <f>IF(D397 + G396 &lt; 0, D397 + G396, 0)</f>
        <v>0</v>
      </c>
      <c r="H397" s="1">
        <f>IF(E397 + H396 &lt; 0, E397 + H396, 0)</f>
        <v>0</v>
      </c>
      <c r="I397" s="1">
        <f>IF(H397 &lt; 0, 1 + I396, 0)</f>
        <v>0</v>
      </c>
      <c r="J397" s="1">
        <f>C397-((ABS(SUM(PL!E397:H397)))*0.125)</f>
        <v>0</v>
      </c>
      <c r="K397" s="1">
        <f>D397-((ABS(SUM(PL!I397:L397)))*0.125)</f>
        <v>0</v>
      </c>
      <c r="L397" s="1">
        <f>J397 + K397</f>
        <v>0</v>
      </c>
      <c r="M397" s="1">
        <f>IF(J397 + M396 &lt; 0, J397 + M396, 0)</f>
        <v>0</v>
      </c>
      <c r="N397" s="1">
        <f>IF(K397 + N396 &lt; 0, K397 + N396, 0)</f>
        <v>0</v>
      </c>
      <c r="O397" s="1">
        <f>IF(L397 + O396 &lt; 0, L397 + O396, 0)</f>
        <v>0</v>
      </c>
      <c r="P397" s="1">
        <f>IF(O397 &lt; 0, 1 + P396, 0)</f>
        <v>0</v>
      </c>
      <c r="Q397" s="1">
        <f>IF(E397&lt;0,1,0)</f>
        <v>0</v>
      </c>
      <c r="R397" s="1">
        <f>IF(Q397=1,E397,0)</f>
        <v>0</v>
      </c>
      <c r="S397" s="1">
        <f>IF(E397&gt;0,1,0)</f>
        <v>0</v>
      </c>
      <c r="T397" s="1">
        <f>IF(S397=1,E397,0)</f>
        <v>0</v>
      </c>
      <c r="U397" s="1">
        <f>IF(R397&lt;-100000000/100,1,0)</f>
        <v>0</v>
      </c>
      <c r="V397" s="1">
        <f>IF(T397&gt;100000000/100,1,0)</f>
        <v>0</v>
      </c>
      <c r="W397" s="1">
        <f>IF(L397&lt;0,1,0)</f>
        <v>0</v>
      </c>
      <c r="X397" s="1">
        <f>IF(W397=1,L397,0)</f>
        <v>0</v>
      </c>
      <c r="Y397" s="1">
        <f>IF(L397&gt;0,1,0)</f>
        <v>0</v>
      </c>
      <c r="Z397" s="1">
        <f>IF(Y397=1,L397,0)</f>
        <v>0</v>
      </c>
      <c r="AA397" s="1">
        <f>IF(X397&lt;-100000000/100,1,0)</f>
        <v>0</v>
      </c>
      <c r="AB397" s="1">
        <f>IF(Z397&gt;100000000/100,1,0)</f>
        <v>0</v>
      </c>
    </row>
    <row r="398" spans="1:28" s="1" customFormat="1">
      <c r="A398" s="3">
        <v>45572</v>
      </c>
      <c r="B398" s="2" t="s">
        <v>12</v>
      </c>
      <c r="C398" s="1">
        <f>SUM(PL!E398:H398)</f>
        <v>0</v>
      </c>
      <c r="D398" s="1">
        <f>SUM(PL!I398:L398)</f>
        <v>0</v>
      </c>
      <c r="E398" s="1">
        <f>SUM(C398:D398)</f>
        <v>0</v>
      </c>
      <c r="F398" s="1">
        <f>IF(C398 + F397 &lt; 0, C398 + F397, 0)</f>
        <v>0</v>
      </c>
      <c r="G398" s="1">
        <f>IF(D398 + G397 &lt; 0, D398 + G397, 0)</f>
        <v>0</v>
      </c>
      <c r="H398" s="1">
        <f>IF(E398 + H397 &lt; 0, E398 + H397, 0)</f>
        <v>0</v>
      </c>
      <c r="I398" s="1">
        <f>IF(H398 &lt; 0, 1 + I397, 0)</f>
        <v>0</v>
      </c>
      <c r="J398" s="1">
        <f>C398-((ABS(SUM(PL!E398:H398)))*0.125)</f>
        <v>0</v>
      </c>
      <c r="K398" s="1">
        <f>D398-((ABS(SUM(PL!I398:L398)))*0.125)</f>
        <v>0</v>
      </c>
      <c r="L398" s="1">
        <f>J398 + K398</f>
        <v>0</v>
      </c>
      <c r="M398" s="1">
        <f>IF(J398 + M397 &lt; 0, J398 + M397, 0)</f>
        <v>0</v>
      </c>
      <c r="N398" s="1">
        <f>IF(K398 + N397 &lt; 0, K398 + N397, 0)</f>
        <v>0</v>
      </c>
      <c r="O398" s="1">
        <f>IF(L398 + O397 &lt; 0, L398 + O397, 0)</f>
        <v>0</v>
      </c>
      <c r="P398" s="1">
        <f>IF(O398 &lt; 0, 1 + P397, 0)</f>
        <v>0</v>
      </c>
      <c r="Q398" s="1">
        <f>IF(E398&lt;0,1,0)</f>
        <v>0</v>
      </c>
      <c r="R398" s="1">
        <f>IF(Q398=1,E398,0)</f>
        <v>0</v>
      </c>
      <c r="S398" s="1">
        <f>IF(E398&gt;0,1,0)</f>
        <v>0</v>
      </c>
      <c r="T398" s="1">
        <f>IF(S398=1,E398,0)</f>
        <v>0</v>
      </c>
      <c r="U398" s="1">
        <f>IF(R398&lt;-100000000/100,1,0)</f>
        <v>0</v>
      </c>
      <c r="V398" s="1">
        <f>IF(T398&gt;100000000/100,1,0)</f>
        <v>0</v>
      </c>
      <c r="W398" s="1">
        <f>IF(L398&lt;0,1,0)</f>
        <v>0</v>
      </c>
      <c r="X398" s="1">
        <f>IF(W398=1,L398,0)</f>
        <v>0</v>
      </c>
      <c r="Y398" s="1">
        <f>IF(L398&gt;0,1,0)</f>
        <v>0</v>
      </c>
      <c r="Z398" s="1">
        <f>IF(Y398=1,L398,0)</f>
        <v>0</v>
      </c>
      <c r="AA398" s="1">
        <f>IF(X398&lt;-100000000/100,1,0)</f>
        <v>0</v>
      </c>
      <c r="AB398" s="1">
        <f>IF(Z398&gt;100000000/100,1,0)</f>
        <v>0</v>
      </c>
    </row>
    <row r="399" spans="1:28" s="1" customFormat="1">
      <c r="A399" s="3">
        <v>45573</v>
      </c>
      <c r="B399" s="2" t="s">
        <v>13</v>
      </c>
      <c r="C399" s="1">
        <f>SUM(PL!E399:H399)</f>
        <v>0</v>
      </c>
      <c r="D399" s="1">
        <f>SUM(PL!I399:L399)</f>
        <v>0</v>
      </c>
      <c r="E399" s="1">
        <f>SUM(C399:D399)</f>
        <v>0</v>
      </c>
      <c r="F399" s="1">
        <f>IF(C399 + F398 &lt; 0, C399 + F398, 0)</f>
        <v>0</v>
      </c>
      <c r="G399" s="1">
        <f>IF(D399 + G398 &lt; 0, D399 + G398, 0)</f>
        <v>0</v>
      </c>
      <c r="H399" s="1">
        <f>IF(E399 + H398 &lt; 0, E399 + H398, 0)</f>
        <v>0</v>
      </c>
      <c r="I399" s="1">
        <f>IF(H399 &lt; 0, 1 + I398, 0)</f>
        <v>0</v>
      </c>
      <c r="J399" s="1">
        <f>C399-((ABS(SUM(PL!E399:H399)))*0.125)</f>
        <v>0</v>
      </c>
      <c r="K399" s="1">
        <f>D399-((ABS(SUM(PL!I399:L399)))*0.125)</f>
        <v>0</v>
      </c>
      <c r="L399" s="1">
        <f>J399 + K399</f>
        <v>0</v>
      </c>
      <c r="M399" s="1">
        <f>IF(J399 + M398 &lt; 0, J399 + M398, 0)</f>
        <v>0</v>
      </c>
      <c r="N399" s="1">
        <f>IF(K399 + N398 &lt; 0, K399 + N398, 0)</f>
        <v>0</v>
      </c>
      <c r="O399" s="1">
        <f>IF(L399 + O398 &lt; 0, L399 + O398, 0)</f>
        <v>0</v>
      </c>
      <c r="P399" s="1">
        <f>IF(O399 &lt; 0, 1 + P398, 0)</f>
        <v>0</v>
      </c>
      <c r="Q399" s="1">
        <f>IF(E399&lt;0,1,0)</f>
        <v>0</v>
      </c>
      <c r="R399" s="1">
        <f>IF(Q399=1,E399,0)</f>
        <v>0</v>
      </c>
      <c r="S399" s="1">
        <f>IF(E399&gt;0,1,0)</f>
        <v>0</v>
      </c>
      <c r="T399" s="1">
        <f>IF(S399=1,E399,0)</f>
        <v>0</v>
      </c>
      <c r="U399" s="1">
        <f>IF(R399&lt;-100000000/100,1,0)</f>
        <v>0</v>
      </c>
      <c r="V399" s="1">
        <f>IF(T399&gt;100000000/100,1,0)</f>
        <v>0</v>
      </c>
      <c r="W399" s="1">
        <f>IF(L399&lt;0,1,0)</f>
        <v>0</v>
      </c>
      <c r="X399" s="1">
        <f>IF(W399=1,L399,0)</f>
        <v>0</v>
      </c>
      <c r="Y399" s="1">
        <f>IF(L399&gt;0,1,0)</f>
        <v>0</v>
      </c>
      <c r="Z399" s="1">
        <f>IF(Y399=1,L399,0)</f>
        <v>0</v>
      </c>
      <c r="AA399" s="1">
        <f>IF(X399&lt;-100000000/100,1,0)</f>
        <v>0</v>
      </c>
      <c r="AB399" s="1">
        <f>IF(Z399&gt;100000000/100,1,0)</f>
        <v>0</v>
      </c>
    </row>
    <row r="400" spans="1:28" s="1" customFormat="1">
      <c r="A400" s="3">
        <v>45574</v>
      </c>
      <c r="B400" s="2" t="s">
        <v>14</v>
      </c>
      <c r="C400" s="1">
        <f>SUM(PL!E400:H400)</f>
        <v>0</v>
      </c>
      <c r="D400" s="1">
        <f>SUM(PL!I400:L400)</f>
        <v>0</v>
      </c>
      <c r="E400" s="1">
        <f>SUM(C400:D400)</f>
        <v>0</v>
      </c>
      <c r="F400" s="1">
        <f>IF(C400 + F399 &lt; 0, C400 + F399, 0)</f>
        <v>0</v>
      </c>
      <c r="G400" s="1">
        <f>IF(D400 + G399 &lt; 0, D400 + G399, 0)</f>
        <v>0</v>
      </c>
      <c r="H400" s="1">
        <f>IF(E400 + H399 &lt; 0, E400 + H399, 0)</f>
        <v>0</v>
      </c>
      <c r="I400" s="1">
        <f>IF(H400 &lt; 0, 1 + I399, 0)</f>
        <v>0</v>
      </c>
      <c r="J400" s="1">
        <f>C400-((ABS(SUM(PL!E400:H400)))*0.125)</f>
        <v>0</v>
      </c>
      <c r="K400" s="1">
        <f>D400-((ABS(SUM(PL!I400:L400)))*0.125)</f>
        <v>0</v>
      </c>
      <c r="L400" s="1">
        <f>J400 + K400</f>
        <v>0</v>
      </c>
      <c r="M400" s="1">
        <f>IF(J400 + M399 &lt; 0, J400 + M399, 0)</f>
        <v>0</v>
      </c>
      <c r="N400" s="1">
        <f>IF(K400 + N399 &lt; 0, K400 + N399, 0)</f>
        <v>0</v>
      </c>
      <c r="O400" s="1">
        <f>IF(L400 + O399 &lt; 0, L400 + O399, 0)</f>
        <v>0</v>
      </c>
      <c r="P400" s="1">
        <f>IF(O400 &lt; 0, 1 + P399, 0)</f>
        <v>0</v>
      </c>
      <c r="Q400" s="1">
        <f>IF(E400&lt;0,1,0)</f>
        <v>0</v>
      </c>
      <c r="R400" s="1">
        <f>IF(Q400=1,E400,0)</f>
        <v>0</v>
      </c>
      <c r="S400" s="1">
        <f>IF(E400&gt;0,1,0)</f>
        <v>0</v>
      </c>
      <c r="T400" s="1">
        <f>IF(S400=1,E400,0)</f>
        <v>0</v>
      </c>
      <c r="U400" s="1">
        <f>IF(R400&lt;-100000000/100,1,0)</f>
        <v>0</v>
      </c>
      <c r="V400" s="1">
        <f>IF(T400&gt;100000000/100,1,0)</f>
        <v>0</v>
      </c>
      <c r="W400" s="1">
        <f>IF(L400&lt;0,1,0)</f>
        <v>0</v>
      </c>
      <c r="X400" s="1">
        <f>IF(W400=1,L400,0)</f>
        <v>0</v>
      </c>
      <c r="Y400" s="1">
        <f>IF(L400&gt;0,1,0)</f>
        <v>0</v>
      </c>
      <c r="Z400" s="1">
        <f>IF(Y400=1,L400,0)</f>
        <v>0</v>
      </c>
      <c r="AA400" s="1">
        <f>IF(X400&lt;-100000000/100,1,0)</f>
        <v>0</v>
      </c>
      <c r="AB400" s="1">
        <f>IF(Z400&gt;100000000/100,1,0)</f>
        <v>0</v>
      </c>
    </row>
    <row r="401" spans="1:28" s="1" customFormat="1">
      <c r="A401" s="3">
        <v>45575</v>
      </c>
      <c r="B401" s="2" t="s">
        <v>16</v>
      </c>
      <c r="C401" s="1">
        <f>SUM(PL!E401:H401)</f>
        <v>0</v>
      </c>
      <c r="D401" s="1">
        <f>SUM(PL!I401:L401)</f>
        <v>0</v>
      </c>
      <c r="E401" s="1">
        <f>SUM(C401:D401)</f>
        <v>0</v>
      </c>
      <c r="F401" s="1">
        <f>IF(C401 + F400 &lt; 0, C401 + F400, 0)</f>
        <v>0</v>
      </c>
      <c r="G401" s="1">
        <f>IF(D401 + G400 &lt; 0, D401 + G400, 0)</f>
        <v>0</v>
      </c>
      <c r="H401" s="1">
        <f>IF(E401 + H400 &lt; 0, E401 + H400, 0)</f>
        <v>0</v>
      </c>
      <c r="I401" s="1">
        <f>IF(H401 &lt; 0, 1 + I400, 0)</f>
        <v>0</v>
      </c>
      <c r="J401" s="1">
        <f>C401-((ABS(SUM(PL!E401:H401)))*0.125)</f>
        <v>0</v>
      </c>
      <c r="K401" s="1">
        <f>D401-((ABS(SUM(PL!I401:L401)))*0.125)</f>
        <v>0</v>
      </c>
      <c r="L401" s="1">
        <f>J401 + K401</f>
        <v>0</v>
      </c>
      <c r="M401" s="1">
        <f>IF(J401 + M400 &lt; 0, J401 + M400, 0)</f>
        <v>0</v>
      </c>
      <c r="N401" s="1">
        <f>IF(K401 + N400 &lt; 0, K401 + N400, 0)</f>
        <v>0</v>
      </c>
      <c r="O401" s="1">
        <f>IF(L401 + O400 &lt; 0, L401 + O400, 0)</f>
        <v>0</v>
      </c>
      <c r="P401" s="1">
        <f>IF(O401 &lt; 0, 1 + P400, 0)</f>
        <v>0</v>
      </c>
      <c r="Q401" s="1">
        <f>IF(E401&lt;0,1,0)</f>
        <v>0</v>
      </c>
      <c r="R401" s="1">
        <f>IF(Q401=1,E401,0)</f>
        <v>0</v>
      </c>
      <c r="S401" s="1">
        <f>IF(E401&gt;0,1,0)</f>
        <v>0</v>
      </c>
      <c r="T401" s="1">
        <f>IF(S401=1,E401,0)</f>
        <v>0</v>
      </c>
      <c r="U401" s="1">
        <f>IF(R401&lt;-100000000/100,1,0)</f>
        <v>0</v>
      </c>
      <c r="V401" s="1">
        <f>IF(T401&gt;100000000/100,1,0)</f>
        <v>0</v>
      </c>
      <c r="W401" s="1">
        <f>IF(L401&lt;0,1,0)</f>
        <v>0</v>
      </c>
      <c r="X401" s="1">
        <f>IF(W401=1,L401,0)</f>
        <v>0</v>
      </c>
      <c r="Y401" s="1">
        <f>IF(L401&gt;0,1,0)</f>
        <v>0</v>
      </c>
      <c r="Z401" s="1">
        <f>IF(Y401=1,L401,0)</f>
        <v>0</v>
      </c>
      <c r="AA401" s="1">
        <f>IF(X401&lt;-100000000/100,1,0)</f>
        <v>0</v>
      </c>
      <c r="AB401" s="1">
        <f>IF(Z401&gt;100000000/100,1,0)</f>
        <v>0</v>
      </c>
    </row>
    <row r="402" spans="1:28" s="1" customFormat="1">
      <c r="A402" s="3">
        <v>45576</v>
      </c>
      <c r="B402" s="2" t="s">
        <v>15</v>
      </c>
      <c r="C402" s="1">
        <f>SUM(PL!E402:H402)</f>
        <v>0</v>
      </c>
      <c r="D402" s="1">
        <f>SUM(PL!I402:L402)</f>
        <v>0</v>
      </c>
      <c r="E402" s="1">
        <f>SUM(C402:D402)</f>
        <v>0</v>
      </c>
      <c r="F402" s="1">
        <f>IF(C402 + F401 &lt; 0, C402 + F401, 0)</f>
        <v>0</v>
      </c>
      <c r="G402" s="1">
        <f>IF(D402 + G401 &lt; 0, D402 + G401, 0)</f>
        <v>0</v>
      </c>
      <c r="H402" s="1">
        <f>IF(E402 + H401 &lt; 0, E402 + H401, 0)</f>
        <v>0</v>
      </c>
      <c r="I402" s="1">
        <f>IF(H402 &lt; 0, 1 + I401, 0)</f>
        <v>0</v>
      </c>
      <c r="J402" s="1">
        <f>C402-((ABS(SUM(PL!E402:H402)))*0.125)</f>
        <v>0</v>
      </c>
      <c r="K402" s="1">
        <f>D402-((ABS(SUM(PL!I402:L402)))*0.125)</f>
        <v>0</v>
      </c>
      <c r="L402" s="1">
        <f>J402 + K402</f>
        <v>0</v>
      </c>
      <c r="M402" s="1">
        <f>IF(J402 + M401 &lt; 0, J402 + M401, 0)</f>
        <v>0</v>
      </c>
      <c r="N402" s="1">
        <f>IF(K402 + N401 &lt; 0, K402 + N401, 0)</f>
        <v>0</v>
      </c>
      <c r="O402" s="1">
        <f>IF(L402 + O401 &lt; 0, L402 + O401, 0)</f>
        <v>0</v>
      </c>
      <c r="P402" s="1">
        <f>IF(O402 &lt; 0, 1 + P401, 0)</f>
        <v>0</v>
      </c>
      <c r="Q402" s="1">
        <f>IF(E402&lt;0,1,0)</f>
        <v>0</v>
      </c>
      <c r="R402" s="1">
        <f>IF(Q402=1,E402,0)</f>
        <v>0</v>
      </c>
      <c r="S402" s="1">
        <f>IF(E402&gt;0,1,0)</f>
        <v>0</v>
      </c>
      <c r="T402" s="1">
        <f>IF(S402=1,E402,0)</f>
        <v>0</v>
      </c>
      <c r="U402" s="1">
        <f>IF(R402&lt;-100000000/100,1,0)</f>
        <v>0</v>
      </c>
      <c r="V402" s="1">
        <f>IF(T402&gt;100000000/100,1,0)</f>
        <v>0</v>
      </c>
      <c r="W402" s="1">
        <f>IF(L402&lt;0,1,0)</f>
        <v>0</v>
      </c>
      <c r="X402" s="1">
        <f>IF(W402=1,L402,0)</f>
        <v>0</v>
      </c>
      <c r="Y402" s="1">
        <f>IF(L402&gt;0,1,0)</f>
        <v>0</v>
      </c>
      <c r="Z402" s="1">
        <f>IF(Y402=1,L402,0)</f>
        <v>0</v>
      </c>
      <c r="AA402" s="1">
        <f>IF(X402&lt;-100000000/100,1,0)</f>
        <v>0</v>
      </c>
      <c r="AB402" s="1">
        <f>IF(Z402&gt;100000000/100,1,0)</f>
        <v>0</v>
      </c>
    </row>
    <row r="403" spans="1:28" s="1" customFormat="1">
      <c r="A403" s="3">
        <v>45579</v>
      </c>
      <c r="B403" s="2" t="s">
        <v>12</v>
      </c>
      <c r="C403" s="1">
        <f>SUM(PL!E403:H403)</f>
        <v>0</v>
      </c>
      <c r="D403" s="1">
        <f>SUM(PL!I403:L403)</f>
        <v>0</v>
      </c>
      <c r="E403" s="1">
        <f>SUM(C403:D403)</f>
        <v>0</v>
      </c>
      <c r="F403" s="1">
        <f>IF(C403 + F402 &lt; 0, C403 + F402, 0)</f>
        <v>0</v>
      </c>
      <c r="G403" s="1">
        <f>IF(D403 + G402 &lt; 0, D403 + G402, 0)</f>
        <v>0</v>
      </c>
      <c r="H403" s="1">
        <f>IF(E403 + H402 &lt; 0, E403 + H402, 0)</f>
        <v>0</v>
      </c>
      <c r="I403" s="1">
        <f>IF(H403 &lt; 0, 1 + I402, 0)</f>
        <v>0</v>
      </c>
      <c r="J403" s="1">
        <f>C403-((ABS(SUM(PL!E403:H403)))*0.125)</f>
        <v>0</v>
      </c>
      <c r="K403" s="1">
        <f>D403-((ABS(SUM(PL!I403:L403)))*0.125)</f>
        <v>0</v>
      </c>
      <c r="L403" s="1">
        <f>J403 + K403</f>
        <v>0</v>
      </c>
      <c r="M403" s="1">
        <f>IF(J403 + M402 &lt; 0, J403 + M402, 0)</f>
        <v>0</v>
      </c>
      <c r="N403" s="1">
        <f>IF(K403 + N402 &lt; 0, K403 + N402, 0)</f>
        <v>0</v>
      </c>
      <c r="O403" s="1">
        <f>IF(L403 + O402 &lt; 0, L403 + O402, 0)</f>
        <v>0</v>
      </c>
      <c r="P403" s="1">
        <f>IF(O403 &lt; 0, 1 + P402, 0)</f>
        <v>0</v>
      </c>
      <c r="Q403" s="1">
        <f>IF(E403&lt;0,1,0)</f>
        <v>0</v>
      </c>
      <c r="R403" s="1">
        <f>IF(Q403=1,E403,0)</f>
        <v>0</v>
      </c>
      <c r="S403" s="1">
        <f>IF(E403&gt;0,1,0)</f>
        <v>0</v>
      </c>
      <c r="T403" s="1">
        <f>IF(S403=1,E403,0)</f>
        <v>0</v>
      </c>
      <c r="U403" s="1">
        <f>IF(R403&lt;-100000000/100,1,0)</f>
        <v>0</v>
      </c>
      <c r="V403" s="1">
        <f>IF(T403&gt;100000000/100,1,0)</f>
        <v>0</v>
      </c>
      <c r="W403" s="1">
        <f>IF(L403&lt;0,1,0)</f>
        <v>0</v>
      </c>
      <c r="X403" s="1">
        <f>IF(W403=1,L403,0)</f>
        <v>0</v>
      </c>
      <c r="Y403" s="1">
        <f>IF(L403&gt;0,1,0)</f>
        <v>0</v>
      </c>
      <c r="Z403" s="1">
        <f>IF(Y403=1,L403,0)</f>
        <v>0</v>
      </c>
      <c r="AA403" s="1">
        <f>IF(X403&lt;-100000000/100,1,0)</f>
        <v>0</v>
      </c>
      <c r="AB403" s="1">
        <f>IF(Z403&gt;100000000/100,1,0)</f>
        <v>0</v>
      </c>
    </row>
    <row r="404" spans="1:28" s="1" customFormat="1">
      <c r="A404" s="3">
        <v>45580</v>
      </c>
      <c r="B404" s="2" t="s">
        <v>13</v>
      </c>
      <c r="C404" s="1">
        <f>SUM(PL!E404:H404)</f>
        <v>0</v>
      </c>
      <c r="D404" s="1">
        <f>SUM(PL!I404:L404)</f>
        <v>0</v>
      </c>
      <c r="E404" s="1">
        <f>SUM(C404:D404)</f>
        <v>0</v>
      </c>
      <c r="F404" s="1">
        <f>IF(C404 + F403 &lt; 0, C404 + F403, 0)</f>
        <v>0</v>
      </c>
      <c r="G404" s="1">
        <f>IF(D404 + G403 &lt; 0, D404 + G403, 0)</f>
        <v>0</v>
      </c>
      <c r="H404" s="1">
        <f>IF(E404 + H403 &lt; 0, E404 + H403, 0)</f>
        <v>0</v>
      </c>
      <c r="I404" s="1">
        <f>IF(H404 &lt; 0, 1 + I403, 0)</f>
        <v>0</v>
      </c>
      <c r="J404" s="1">
        <f>C404-((ABS(SUM(PL!E404:H404)))*0.125)</f>
        <v>0</v>
      </c>
      <c r="K404" s="1">
        <f>D404-((ABS(SUM(PL!I404:L404)))*0.125)</f>
        <v>0</v>
      </c>
      <c r="L404" s="1">
        <f>J404 + K404</f>
        <v>0</v>
      </c>
      <c r="M404" s="1">
        <f>IF(J404 + M403 &lt; 0, J404 + M403, 0)</f>
        <v>0</v>
      </c>
      <c r="N404" s="1">
        <f>IF(K404 + N403 &lt; 0, K404 + N403, 0)</f>
        <v>0</v>
      </c>
      <c r="O404" s="1">
        <f>IF(L404 + O403 &lt; 0, L404 + O403, 0)</f>
        <v>0</v>
      </c>
      <c r="P404" s="1">
        <f>IF(O404 &lt; 0, 1 + P403, 0)</f>
        <v>0</v>
      </c>
      <c r="Q404" s="1">
        <f>IF(E404&lt;0,1,0)</f>
        <v>0</v>
      </c>
      <c r="R404" s="1">
        <f>IF(Q404=1,E404,0)</f>
        <v>0</v>
      </c>
      <c r="S404" s="1">
        <f>IF(E404&gt;0,1,0)</f>
        <v>0</v>
      </c>
      <c r="T404" s="1">
        <f>IF(S404=1,E404,0)</f>
        <v>0</v>
      </c>
      <c r="U404" s="1">
        <f>IF(R404&lt;-100000000/100,1,0)</f>
        <v>0</v>
      </c>
      <c r="V404" s="1">
        <f>IF(T404&gt;100000000/100,1,0)</f>
        <v>0</v>
      </c>
      <c r="W404" s="1">
        <f>IF(L404&lt;0,1,0)</f>
        <v>0</v>
      </c>
      <c r="X404" s="1">
        <f>IF(W404=1,L404,0)</f>
        <v>0</v>
      </c>
      <c r="Y404" s="1">
        <f>IF(L404&gt;0,1,0)</f>
        <v>0</v>
      </c>
      <c r="Z404" s="1">
        <f>IF(Y404=1,L404,0)</f>
        <v>0</v>
      </c>
      <c r="AA404" s="1">
        <f>IF(X404&lt;-100000000/100,1,0)</f>
        <v>0</v>
      </c>
      <c r="AB404" s="1">
        <f>IF(Z404&gt;100000000/100,1,0)</f>
        <v>0</v>
      </c>
    </row>
    <row r="405" spans="1:28" s="1" customFormat="1">
      <c r="A405" s="3">
        <v>45581</v>
      </c>
      <c r="B405" s="2" t="s">
        <v>14</v>
      </c>
      <c r="C405" s="1">
        <f>SUM(PL!E405:H405)</f>
        <v>0</v>
      </c>
      <c r="D405" s="1">
        <f>SUM(PL!I405:L405)</f>
        <v>0</v>
      </c>
      <c r="E405" s="1">
        <f>SUM(C405:D405)</f>
        <v>0</v>
      </c>
      <c r="F405" s="1">
        <f>IF(C405 + F404 &lt; 0, C405 + F404, 0)</f>
        <v>0</v>
      </c>
      <c r="G405" s="1">
        <f>IF(D405 + G404 &lt; 0, D405 + G404, 0)</f>
        <v>0</v>
      </c>
      <c r="H405" s="1">
        <f>IF(E405 + H404 &lt; 0, E405 + H404, 0)</f>
        <v>0</v>
      </c>
      <c r="I405" s="1">
        <f>IF(H405 &lt; 0, 1 + I404, 0)</f>
        <v>0</v>
      </c>
      <c r="J405" s="1">
        <f>C405-((ABS(SUM(PL!E405:H405)))*0.125)</f>
        <v>0</v>
      </c>
      <c r="K405" s="1">
        <f>D405-((ABS(SUM(PL!I405:L405)))*0.125)</f>
        <v>0</v>
      </c>
      <c r="L405" s="1">
        <f>J405 + K405</f>
        <v>0</v>
      </c>
      <c r="M405" s="1">
        <f>IF(J405 + M404 &lt; 0, J405 + M404, 0)</f>
        <v>0</v>
      </c>
      <c r="N405" s="1">
        <f>IF(K405 + N404 &lt; 0, K405 + N404, 0)</f>
        <v>0</v>
      </c>
      <c r="O405" s="1">
        <f>IF(L405 + O404 &lt; 0, L405 + O404, 0)</f>
        <v>0</v>
      </c>
      <c r="P405" s="1">
        <f>IF(O405 &lt; 0, 1 + P404, 0)</f>
        <v>0</v>
      </c>
      <c r="Q405" s="1">
        <f>IF(E405&lt;0,1,0)</f>
        <v>0</v>
      </c>
      <c r="R405" s="1">
        <f>IF(Q405=1,E405,0)</f>
        <v>0</v>
      </c>
      <c r="S405" s="1">
        <f>IF(E405&gt;0,1,0)</f>
        <v>0</v>
      </c>
      <c r="T405" s="1">
        <f>IF(S405=1,E405,0)</f>
        <v>0</v>
      </c>
      <c r="U405" s="1">
        <f>IF(R405&lt;-100000000/100,1,0)</f>
        <v>0</v>
      </c>
      <c r="V405" s="1">
        <f>IF(T405&gt;100000000/100,1,0)</f>
        <v>0</v>
      </c>
      <c r="W405" s="1">
        <f>IF(L405&lt;0,1,0)</f>
        <v>0</v>
      </c>
      <c r="X405" s="1">
        <f>IF(W405=1,L405,0)</f>
        <v>0</v>
      </c>
      <c r="Y405" s="1">
        <f>IF(L405&gt;0,1,0)</f>
        <v>0</v>
      </c>
      <c r="Z405" s="1">
        <f>IF(Y405=1,L405,0)</f>
        <v>0</v>
      </c>
      <c r="AA405" s="1">
        <f>IF(X405&lt;-100000000/100,1,0)</f>
        <v>0</v>
      </c>
      <c r="AB405" s="1">
        <f>IF(Z405&gt;100000000/100,1,0)</f>
        <v>0</v>
      </c>
    </row>
    <row r="406" spans="1:28" s="1" customFormat="1">
      <c r="A406" s="3">
        <v>45582</v>
      </c>
      <c r="B406" s="2" t="s">
        <v>16</v>
      </c>
      <c r="C406" s="1">
        <f>SUM(PL!E406:H406)</f>
        <v>0</v>
      </c>
      <c r="D406" s="1">
        <f>SUM(PL!I406:L406)</f>
        <v>0</v>
      </c>
      <c r="E406" s="1">
        <f>SUM(C406:D406)</f>
        <v>0</v>
      </c>
      <c r="F406" s="1">
        <f>IF(C406 + F405 &lt; 0, C406 + F405, 0)</f>
        <v>0</v>
      </c>
      <c r="G406" s="1">
        <f>IF(D406 + G405 &lt; 0, D406 + G405, 0)</f>
        <v>0</v>
      </c>
      <c r="H406" s="1">
        <f>IF(E406 + H405 &lt; 0, E406 + H405, 0)</f>
        <v>0</v>
      </c>
      <c r="I406" s="1">
        <f>IF(H406 &lt; 0, 1 + I405, 0)</f>
        <v>0</v>
      </c>
      <c r="J406" s="1">
        <f>C406-((ABS(SUM(PL!E406:H406)))*0.125)</f>
        <v>0</v>
      </c>
      <c r="K406" s="1">
        <f>D406-((ABS(SUM(PL!I406:L406)))*0.125)</f>
        <v>0</v>
      </c>
      <c r="L406" s="1">
        <f>J406 + K406</f>
        <v>0</v>
      </c>
      <c r="M406" s="1">
        <f>IF(J406 + M405 &lt; 0, J406 + M405, 0)</f>
        <v>0</v>
      </c>
      <c r="N406" s="1">
        <f>IF(K406 + N405 &lt; 0, K406 + N405, 0)</f>
        <v>0</v>
      </c>
      <c r="O406" s="1">
        <f>IF(L406 + O405 &lt; 0, L406 + O405, 0)</f>
        <v>0</v>
      </c>
      <c r="P406" s="1">
        <f>IF(O406 &lt; 0, 1 + P405, 0)</f>
        <v>0</v>
      </c>
      <c r="Q406" s="1">
        <f>IF(E406&lt;0,1,0)</f>
        <v>0</v>
      </c>
      <c r="R406" s="1">
        <f>IF(Q406=1,E406,0)</f>
        <v>0</v>
      </c>
      <c r="S406" s="1">
        <f>IF(E406&gt;0,1,0)</f>
        <v>0</v>
      </c>
      <c r="T406" s="1">
        <f>IF(S406=1,E406,0)</f>
        <v>0</v>
      </c>
      <c r="U406" s="1">
        <f>IF(R406&lt;-100000000/100,1,0)</f>
        <v>0</v>
      </c>
      <c r="V406" s="1">
        <f>IF(T406&gt;100000000/100,1,0)</f>
        <v>0</v>
      </c>
      <c r="W406" s="1">
        <f>IF(L406&lt;0,1,0)</f>
        <v>0</v>
      </c>
      <c r="X406" s="1">
        <f>IF(W406=1,L406,0)</f>
        <v>0</v>
      </c>
      <c r="Y406" s="1">
        <f>IF(L406&gt;0,1,0)</f>
        <v>0</v>
      </c>
      <c r="Z406" s="1">
        <f>IF(Y406=1,L406,0)</f>
        <v>0</v>
      </c>
      <c r="AA406" s="1">
        <f>IF(X406&lt;-100000000/100,1,0)</f>
        <v>0</v>
      </c>
      <c r="AB406" s="1">
        <f>IF(Z406&gt;100000000/100,1,0)</f>
        <v>0</v>
      </c>
    </row>
    <row r="407" spans="1:28" s="1" customFormat="1">
      <c r="A407" s="3">
        <v>45583</v>
      </c>
      <c r="B407" s="2" t="s">
        <v>15</v>
      </c>
      <c r="C407" s="1">
        <f>SUM(PL!E407:H407)</f>
        <v>0</v>
      </c>
      <c r="D407" s="1">
        <f>SUM(PL!I407:L407)</f>
        <v>0</v>
      </c>
      <c r="E407" s="1">
        <f>SUM(C407:D407)</f>
        <v>0</v>
      </c>
      <c r="F407" s="1">
        <f>IF(C407 + F406 &lt; 0, C407 + F406, 0)</f>
        <v>0</v>
      </c>
      <c r="G407" s="1">
        <f>IF(D407 + G406 &lt; 0, D407 + G406, 0)</f>
        <v>0</v>
      </c>
      <c r="H407" s="1">
        <f>IF(E407 + H406 &lt; 0, E407 + H406, 0)</f>
        <v>0</v>
      </c>
      <c r="I407" s="1">
        <f>IF(H407 &lt; 0, 1 + I406, 0)</f>
        <v>0</v>
      </c>
      <c r="J407" s="1">
        <f>C407-((ABS(SUM(PL!E407:H407)))*0.125)</f>
        <v>0</v>
      </c>
      <c r="K407" s="1">
        <f>D407-((ABS(SUM(PL!I407:L407)))*0.125)</f>
        <v>0</v>
      </c>
      <c r="L407" s="1">
        <f>J407 + K407</f>
        <v>0</v>
      </c>
      <c r="M407" s="1">
        <f>IF(J407 + M406 &lt; 0, J407 + M406, 0)</f>
        <v>0</v>
      </c>
      <c r="N407" s="1">
        <f>IF(K407 + N406 &lt; 0, K407 + N406, 0)</f>
        <v>0</v>
      </c>
      <c r="O407" s="1">
        <f>IF(L407 + O406 &lt; 0, L407 + O406, 0)</f>
        <v>0</v>
      </c>
      <c r="P407" s="1">
        <f>IF(O407 &lt; 0, 1 + P406, 0)</f>
        <v>0</v>
      </c>
      <c r="Q407" s="1">
        <f>IF(E407&lt;0,1,0)</f>
        <v>0</v>
      </c>
      <c r="R407" s="1">
        <f>IF(Q407=1,E407,0)</f>
        <v>0</v>
      </c>
      <c r="S407" s="1">
        <f>IF(E407&gt;0,1,0)</f>
        <v>0</v>
      </c>
      <c r="T407" s="1">
        <f>IF(S407=1,E407,0)</f>
        <v>0</v>
      </c>
      <c r="U407" s="1">
        <f>IF(R407&lt;-100000000/100,1,0)</f>
        <v>0</v>
      </c>
      <c r="V407" s="1">
        <f>IF(T407&gt;100000000/100,1,0)</f>
        <v>0</v>
      </c>
      <c r="W407" s="1">
        <f>IF(L407&lt;0,1,0)</f>
        <v>0</v>
      </c>
      <c r="X407" s="1">
        <f>IF(W407=1,L407,0)</f>
        <v>0</v>
      </c>
      <c r="Y407" s="1">
        <f>IF(L407&gt;0,1,0)</f>
        <v>0</v>
      </c>
      <c r="Z407" s="1">
        <f>IF(Y407=1,L407,0)</f>
        <v>0</v>
      </c>
      <c r="AA407" s="1">
        <f>IF(X407&lt;-100000000/100,1,0)</f>
        <v>0</v>
      </c>
      <c r="AB407" s="1">
        <f>IF(Z407&gt;100000000/100,1,0)</f>
        <v>0</v>
      </c>
    </row>
    <row r="408" spans="1:28" s="1" customFormat="1">
      <c r="A408" s="3">
        <v>45586</v>
      </c>
      <c r="B408" s="2" t="s">
        <v>12</v>
      </c>
      <c r="C408" s="1">
        <f>SUM(PL!E408:H408)</f>
        <v>0</v>
      </c>
      <c r="D408" s="1">
        <f>SUM(PL!I408:L408)</f>
        <v>0</v>
      </c>
      <c r="E408" s="1">
        <f>SUM(C408:D408)</f>
        <v>0</v>
      </c>
      <c r="F408" s="1">
        <f>IF(C408 + F407 &lt; 0, C408 + F407, 0)</f>
        <v>0</v>
      </c>
      <c r="G408" s="1">
        <f>IF(D408 + G407 &lt; 0, D408 + G407, 0)</f>
        <v>0</v>
      </c>
      <c r="H408" s="1">
        <f>IF(E408 + H407 &lt; 0, E408 + H407, 0)</f>
        <v>0</v>
      </c>
      <c r="I408" s="1">
        <f>IF(H408 &lt; 0, 1 + I407, 0)</f>
        <v>0</v>
      </c>
      <c r="J408" s="1">
        <f>C408-((ABS(SUM(PL!E408:H408)))*0.125)</f>
        <v>0</v>
      </c>
      <c r="K408" s="1">
        <f>D408-((ABS(SUM(PL!I408:L408)))*0.125)</f>
        <v>0</v>
      </c>
      <c r="L408" s="1">
        <f>J408 + K408</f>
        <v>0</v>
      </c>
      <c r="M408" s="1">
        <f>IF(J408 + M407 &lt; 0, J408 + M407, 0)</f>
        <v>0</v>
      </c>
      <c r="N408" s="1">
        <f>IF(K408 + N407 &lt; 0, K408 + N407, 0)</f>
        <v>0</v>
      </c>
      <c r="O408" s="1">
        <f>IF(L408 + O407 &lt; 0, L408 + O407, 0)</f>
        <v>0</v>
      </c>
      <c r="P408" s="1">
        <f>IF(O408 &lt; 0, 1 + P407, 0)</f>
        <v>0</v>
      </c>
      <c r="Q408" s="1">
        <f>IF(E408&lt;0,1,0)</f>
        <v>0</v>
      </c>
      <c r="R408" s="1">
        <f>IF(Q408=1,E408,0)</f>
        <v>0</v>
      </c>
      <c r="S408" s="1">
        <f>IF(E408&gt;0,1,0)</f>
        <v>0</v>
      </c>
      <c r="T408" s="1">
        <f>IF(S408=1,E408,0)</f>
        <v>0</v>
      </c>
      <c r="U408" s="1">
        <f>IF(R408&lt;-100000000/100,1,0)</f>
        <v>0</v>
      </c>
      <c r="V408" s="1">
        <f>IF(T408&gt;100000000/100,1,0)</f>
        <v>0</v>
      </c>
      <c r="W408" s="1">
        <f>IF(L408&lt;0,1,0)</f>
        <v>0</v>
      </c>
      <c r="X408" s="1">
        <f>IF(W408=1,L408,0)</f>
        <v>0</v>
      </c>
      <c r="Y408" s="1">
        <f>IF(L408&gt;0,1,0)</f>
        <v>0</v>
      </c>
      <c r="Z408" s="1">
        <f>IF(Y408=1,L408,0)</f>
        <v>0</v>
      </c>
      <c r="AA408" s="1">
        <f>IF(X408&lt;-100000000/100,1,0)</f>
        <v>0</v>
      </c>
      <c r="AB408" s="1">
        <f>IF(Z408&gt;100000000/100,1,0)</f>
        <v>0</v>
      </c>
    </row>
    <row r="409" spans="1:28" s="1" customFormat="1">
      <c r="A409" s="3">
        <v>45587</v>
      </c>
      <c r="B409" s="2" t="s">
        <v>13</v>
      </c>
      <c r="C409" s="1">
        <f>SUM(PL!E409:H409)</f>
        <v>0</v>
      </c>
      <c r="D409" s="1">
        <f>SUM(PL!I409:L409)</f>
        <v>0</v>
      </c>
      <c r="E409" s="1">
        <f>SUM(C409:D409)</f>
        <v>0</v>
      </c>
      <c r="F409" s="1">
        <f>IF(C409 + F408 &lt; 0, C409 + F408, 0)</f>
        <v>0</v>
      </c>
      <c r="G409" s="1">
        <f>IF(D409 + G408 &lt; 0, D409 + G408, 0)</f>
        <v>0</v>
      </c>
      <c r="H409" s="1">
        <f>IF(E409 + H408 &lt; 0, E409 + H408, 0)</f>
        <v>0</v>
      </c>
      <c r="I409" s="1">
        <f>IF(H409 &lt; 0, 1 + I408, 0)</f>
        <v>0</v>
      </c>
      <c r="J409" s="1">
        <f>C409-((ABS(SUM(PL!E409:H409)))*0.125)</f>
        <v>0</v>
      </c>
      <c r="K409" s="1">
        <f>D409-((ABS(SUM(PL!I409:L409)))*0.125)</f>
        <v>0</v>
      </c>
      <c r="L409" s="1">
        <f>J409 + K409</f>
        <v>0</v>
      </c>
      <c r="M409" s="1">
        <f>IF(J409 + M408 &lt; 0, J409 + M408, 0)</f>
        <v>0</v>
      </c>
      <c r="N409" s="1">
        <f>IF(K409 + N408 &lt; 0, K409 + N408, 0)</f>
        <v>0</v>
      </c>
      <c r="O409" s="1">
        <f>IF(L409 + O408 &lt; 0, L409 + O408, 0)</f>
        <v>0</v>
      </c>
      <c r="P409" s="1">
        <f>IF(O409 &lt; 0, 1 + P408, 0)</f>
        <v>0</v>
      </c>
      <c r="Q409" s="1">
        <f>IF(E409&lt;0,1,0)</f>
        <v>0</v>
      </c>
      <c r="R409" s="1">
        <f>IF(Q409=1,E409,0)</f>
        <v>0</v>
      </c>
      <c r="S409" s="1">
        <f>IF(E409&gt;0,1,0)</f>
        <v>0</v>
      </c>
      <c r="T409" s="1">
        <f>IF(S409=1,E409,0)</f>
        <v>0</v>
      </c>
      <c r="U409" s="1">
        <f>IF(R409&lt;-100000000/100,1,0)</f>
        <v>0</v>
      </c>
      <c r="V409" s="1">
        <f>IF(T409&gt;100000000/100,1,0)</f>
        <v>0</v>
      </c>
      <c r="W409" s="1">
        <f>IF(L409&lt;0,1,0)</f>
        <v>0</v>
      </c>
      <c r="X409" s="1">
        <f>IF(W409=1,L409,0)</f>
        <v>0</v>
      </c>
      <c r="Y409" s="1">
        <f>IF(L409&gt;0,1,0)</f>
        <v>0</v>
      </c>
      <c r="Z409" s="1">
        <f>IF(Y409=1,L409,0)</f>
        <v>0</v>
      </c>
      <c r="AA409" s="1">
        <f>IF(X409&lt;-100000000/100,1,0)</f>
        <v>0</v>
      </c>
      <c r="AB409" s="1">
        <f>IF(Z409&gt;100000000/100,1,0)</f>
        <v>0</v>
      </c>
    </row>
    <row r="410" spans="1:28" s="1" customFormat="1">
      <c r="A410" s="3">
        <v>45588</v>
      </c>
      <c r="B410" s="2" t="s">
        <v>14</v>
      </c>
      <c r="C410" s="1">
        <f>SUM(PL!E410:H410)</f>
        <v>0</v>
      </c>
      <c r="D410" s="1">
        <f>SUM(PL!I410:L410)</f>
        <v>0</v>
      </c>
      <c r="E410" s="1">
        <f>SUM(C410:D410)</f>
        <v>0</v>
      </c>
      <c r="F410" s="1">
        <f>IF(C410 + F409 &lt; 0, C410 + F409, 0)</f>
        <v>0</v>
      </c>
      <c r="G410" s="1">
        <f>IF(D410 + G409 &lt; 0, D410 + G409, 0)</f>
        <v>0</v>
      </c>
      <c r="H410" s="1">
        <f>IF(E410 + H409 &lt; 0, E410 + H409, 0)</f>
        <v>0</v>
      </c>
      <c r="I410" s="1">
        <f>IF(H410 &lt; 0, 1 + I409, 0)</f>
        <v>0</v>
      </c>
      <c r="J410" s="1">
        <f>C410-((ABS(SUM(PL!E410:H410)))*0.125)</f>
        <v>0</v>
      </c>
      <c r="K410" s="1">
        <f>D410-((ABS(SUM(PL!I410:L410)))*0.125)</f>
        <v>0</v>
      </c>
      <c r="L410" s="1">
        <f>J410 + K410</f>
        <v>0</v>
      </c>
      <c r="M410" s="1">
        <f>IF(J410 + M409 &lt; 0, J410 + M409, 0)</f>
        <v>0</v>
      </c>
      <c r="N410" s="1">
        <f>IF(K410 + N409 &lt; 0, K410 + N409, 0)</f>
        <v>0</v>
      </c>
      <c r="O410" s="1">
        <f>IF(L410 + O409 &lt; 0, L410 + O409, 0)</f>
        <v>0</v>
      </c>
      <c r="P410" s="1">
        <f>IF(O410 &lt; 0, 1 + P409, 0)</f>
        <v>0</v>
      </c>
      <c r="Q410" s="1">
        <f>IF(E410&lt;0,1,0)</f>
        <v>0</v>
      </c>
      <c r="R410" s="1">
        <f>IF(Q410=1,E410,0)</f>
        <v>0</v>
      </c>
      <c r="S410" s="1">
        <f>IF(E410&gt;0,1,0)</f>
        <v>0</v>
      </c>
      <c r="T410" s="1">
        <f>IF(S410=1,E410,0)</f>
        <v>0</v>
      </c>
      <c r="U410" s="1">
        <f>IF(R410&lt;-100000000/100,1,0)</f>
        <v>0</v>
      </c>
      <c r="V410" s="1">
        <f>IF(T410&gt;100000000/100,1,0)</f>
        <v>0</v>
      </c>
      <c r="W410" s="1">
        <f>IF(L410&lt;0,1,0)</f>
        <v>0</v>
      </c>
      <c r="X410" s="1">
        <f>IF(W410=1,L410,0)</f>
        <v>0</v>
      </c>
      <c r="Y410" s="1">
        <f>IF(L410&gt;0,1,0)</f>
        <v>0</v>
      </c>
      <c r="Z410" s="1">
        <f>IF(Y410=1,L410,0)</f>
        <v>0</v>
      </c>
      <c r="AA410" s="1">
        <f>IF(X410&lt;-100000000/100,1,0)</f>
        <v>0</v>
      </c>
      <c r="AB410" s="1">
        <f>IF(Z410&gt;100000000/100,1,0)</f>
        <v>0</v>
      </c>
    </row>
    <row r="411" spans="1:28" s="1" customFormat="1">
      <c r="A411" s="3">
        <v>45589</v>
      </c>
      <c r="B411" s="2" t="s">
        <v>16</v>
      </c>
      <c r="C411" s="1">
        <f>SUM(PL!E411:H411)</f>
        <v>0</v>
      </c>
      <c r="D411" s="1">
        <f>SUM(PL!I411:L411)</f>
        <v>0</v>
      </c>
      <c r="E411" s="1">
        <f>SUM(C411:D411)</f>
        <v>0</v>
      </c>
      <c r="F411" s="1">
        <f>IF(C411 + F410 &lt; 0, C411 + F410, 0)</f>
        <v>0</v>
      </c>
      <c r="G411" s="1">
        <f>IF(D411 + G410 &lt; 0, D411 + G410, 0)</f>
        <v>0</v>
      </c>
      <c r="H411" s="1">
        <f>IF(E411 + H410 &lt; 0, E411 + H410, 0)</f>
        <v>0</v>
      </c>
      <c r="I411" s="1">
        <f>IF(H411 &lt; 0, 1 + I410, 0)</f>
        <v>0</v>
      </c>
      <c r="J411" s="1">
        <f>C411-((ABS(SUM(PL!E411:H411)))*0.125)</f>
        <v>0</v>
      </c>
      <c r="K411" s="1">
        <f>D411-((ABS(SUM(PL!I411:L411)))*0.125)</f>
        <v>0</v>
      </c>
      <c r="L411" s="1">
        <f>J411 + K411</f>
        <v>0</v>
      </c>
      <c r="M411" s="1">
        <f>IF(J411 + M410 &lt; 0, J411 + M410, 0)</f>
        <v>0</v>
      </c>
      <c r="N411" s="1">
        <f>IF(K411 + N410 &lt; 0, K411 + N410, 0)</f>
        <v>0</v>
      </c>
      <c r="O411" s="1">
        <f>IF(L411 + O410 &lt; 0, L411 + O410, 0)</f>
        <v>0</v>
      </c>
      <c r="P411" s="1">
        <f>IF(O411 &lt; 0, 1 + P410, 0)</f>
        <v>0</v>
      </c>
      <c r="Q411" s="1">
        <f>IF(E411&lt;0,1,0)</f>
        <v>0</v>
      </c>
      <c r="R411" s="1">
        <f>IF(Q411=1,E411,0)</f>
        <v>0</v>
      </c>
      <c r="S411" s="1">
        <f>IF(E411&gt;0,1,0)</f>
        <v>0</v>
      </c>
      <c r="T411" s="1">
        <f>IF(S411=1,E411,0)</f>
        <v>0</v>
      </c>
      <c r="U411" s="1">
        <f>IF(R411&lt;-100000000/100,1,0)</f>
        <v>0</v>
      </c>
      <c r="V411" s="1">
        <f>IF(T411&gt;100000000/100,1,0)</f>
        <v>0</v>
      </c>
      <c r="W411" s="1">
        <f>IF(L411&lt;0,1,0)</f>
        <v>0</v>
      </c>
      <c r="X411" s="1">
        <f>IF(W411=1,L411,0)</f>
        <v>0</v>
      </c>
      <c r="Y411" s="1">
        <f>IF(L411&gt;0,1,0)</f>
        <v>0</v>
      </c>
      <c r="Z411" s="1">
        <f>IF(Y411=1,L411,0)</f>
        <v>0</v>
      </c>
      <c r="AA411" s="1">
        <f>IF(X411&lt;-100000000/100,1,0)</f>
        <v>0</v>
      </c>
      <c r="AB411" s="1">
        <f>IF(Z411&gt;100000000/100,1,0)</f>
        <v>0</v>
      </c>
    </row>
    <row r="412" spans="1:28" s="1" customFormat="1">
      <c r="A412" s="3">
        <v>45590</v>
      </c>
      <c r="B412" s="2" t="s">
        <v>15</v>
      </c>
      <c r="C412" s="1">
        <f>SUM(PL!E412:H412)</f>
        <v>0</v>
      </c>
      <c r="D412" s="1">
        <f>SUM(PL!I412:L412)</f>
        <v>0</v>
      </c>
      <c r="E412" s="1">
        <f>SUM(C412:D412)</f>
        <v>0</v>
      </c>
      <c r="F412" s="1">
        <f>IF(C412 + F411 &lt; 0, C412 + F411, 0)</f>
        <v>0</v>
      </c>
      <c r="G412" s="1">
        <f>IF(D412 + G411 &lt; 0, D412 + G411, 0)</f>
        <v>0</v>
      </c>
      <c r="H412" s="1">
        <f>IF(E412 + H411 &lt; 0, E412 + H411, 0)</f>
        <v>0</v>
      </c>
      <c r="I412" s="1">
        <f>IF(H412 &lt; 0, 1 + I411, 0)</f>
        <v>0</v>
      </c>
      <c r="J412" s="1">
        <f>C412-((ABS(SUM(PL!E412:H412)))*0.125)</f>
        <v>0</v>
      </c>
      <c r="K412" s="1">
        <f>D412-((ABS(SUM(PL!I412:L412)))*0.125)</f>
        <v>0</v>
      </c>
      <c r="L412" s="1">
        <f>J412 + K412</f>
        <v>0</v>
      </c>
      <c r="M412" s="1">
        <f>IF(J412 + M411 &lt; 0, J412 + M411, 0)</f>
        <v>0</v>
      </c>
      <c r="N412" s="1">
        <f>IF(K412 + N411 &lt; 0, K412 + N411, 0)</f>
        <v>0</v>
      </c>
      <c r="O412" s="1">
        <f>IF(L412 + O411 &lt; 0, L412 + O411, 0)</f>
        <v>0</v>
      </c>
      <c r="P412" s="1">
        <f>IF(O412 &lt; 0, 1 + P411, 0)</f>
        <v>0</v>
      </c>
      <c r="Q412" s="1">
        <f>IF(E412&lt;0,1,0)</f>
        <v>0</v>
      </c>
      <c r="R412" s="1">
        <f>IF(Q412=1,E412,0)</f>
        <v>0</v>
      </c>
      <c r="S412" s="1">
        <f>IF(E412&gt;0,1,0)</f>
        <v>0</v>
      </c>
      <c r="T412" s="1">
        <f>IF(S412=1,E412,0)</f>
        <v>0</v>
      </c>
      <c r="U412" s="1">
        <f>IF(R412&lt;-100000000/100,1,0)</f>
        <v>0</v>
      </c>
      <c r="V412" s="1">
        <f>IF(T412&gt;100000000/100,1,0)</f>
        <v>0</v>
      </c>
      <c r="W412" s="1">
        <f>IF(L412&lt;0,1,0)</f>
        <v>0</v>
      </c>
      <c r="X412" s="1">
        <f>IF(W412=1,L412,0)</f>
        <v>0</v>
      </c>
      <c r="Y412" s="1">
        <f>IF(L412&gt;0,1,0)</f>
        <v>0</v>
      </c>
      <c r="Z412" s="1">
        <f>IF(Y412=1,L412,0)</f>
        <v>0</v>
      </c>
      <c r="AA412" s="1">
        <f>IF(X412&lt;-100000000/100,1,0)</f>
        <v>0</v>
      </c>
      <c r="AB412" s="1">
        <f>IF(Z412&gt;100000000/100,1,0)</f>
        <v>0</v>
      </c>
    </row>
    <row r="413" spans="1:28" s="1" customFormat="1">
      <c r="A413" s="3">
        <v>45593</v>
      </c>
      <c r="B413" s="2" t="s">
        <v>12</v>
      </c>
      <c r="C413" s="1">
        <f>SUM(PL!E413:H413)</f>
        <v>0</v>
      </c>
      <c r="D413" s="1">
        <f>SUM(PL!I413:L413)</f>
        <v>0</v>
      </c>
      <c r="E413" s="1">
        <f>SUM(C413:D413)</f>
        <v>0</v>
      </c>
      <c r="F413" s="1">
        <f>IF(C413 + F412 &lt; 0, C413 + F412, 0)</f>
        <v>0</v>
      </c>
      <c r="G413" s="1">
        <f>IF(D413 + G412 &lt; 0, D413 + G412, 0)</f>
        <v>0</v>
      </c>
      <c r="H413" s="1">
        <f>IF(E413 + H412 &lt; 0, E413 + H412, 0)</f>
        <v>0</v>
      </c>
      <c r="I413" s="1">
        <f>IF(H413 &lt; 0, 1 + I412, 0)</f>
        <v>0</v>
      </c>
      <c r="J413" s="1">
        <f>C413-((ABS(SUM(PL!E413:H413)))*0.125)</f>
        <v>0</v>
      </c>
      <c r="K413" s="1">
        <f>D413-((ABS(SUM(PL!I413:L413)))*0.125)</f>
        <v>0</v>
      </c>
      <c r="L413" s="1">
        <f>J413 + K413</f>
        <v>0</v>
      </c>
      <c r="M413" s="1">
        <f>IF(J413 + M412 &lt; 0, J413 + M412, 0)</f>
        <v>0</v>
      </c>
      <c r="N413" s="1">
        <f>IF(K413 + N412 &lt; 0, K413 + N412, 0)</f>
        <v>0</v>
      </c>
      <c r="O413" s="1">
        <f>IF(L413 + O412 &lt; 0, L413 + O412, 0)</f>
        <v>0</v>
      </c>
      <c r="P413" s="1">
        <f>IF(O413 &lt; 0, 1 + P412, 0)</f>
        <v>0</v>
      </c>
      <c r="Q413" s="1">
        <f>IF(E413&lt;0,1,0)</f>
        <v>0</v>
      </c>
      <c r="R413" s="1">
        <f>IF(Q413=1,E413,0)</f>
        <v>0</v>
      </c>
      <c r="S413" s="1">
        <f>IF(E413&gt;0,1,0)</f>
        <v>0</v>
      </c>
      <c r="T413" s="1">
        <f>IF(S413=1,E413,0)</f>
        <v>0</v>
      </c>
      <c r="U413" s="1">
        <f>IF(R413&lt;-100000000/100,1,0)</f>
        <v>0</v>
      </c>
      <c r="V413" s="1">
        <f>IF(T413&gt;100000000/100,1,0)</f>
        <v>0</v>
      </c>
      <c r="W413" s="1">
        <f>IF(L413&lt;0,1,0)</f>
        <v>0</v>
      </c>
      <c r="X413" s="1">
        <f>IF(W413=1,L413,0)</f>
        <v>0</v>
      </c>
      <c r="Y413" s="1">
        <f>IF(L413&gt;0,1,0)</f>
        <v>0</v>
      </c>
      <c r="Z413" s="1">
        <f>IF(Y413=1,L413,0)</f>
        <v>0</v>
      </c>
      <c r="AA413" s="1">
        <f>IF(X413&lt;-100000000/100,1,0)</f>
        <v>0</v>
      </c>
      <c r="AB413" s="1">
        <f>IF(Z413&gt;100000000/100,1,0)</f>
        <v>0</v>
      </c>
    </row>
    <row r="414" spans="1:28" s="1" customFormat="1">
      <c r="A414" s="3">
        <v>45594</v>
      </c>
      <c r="B414" s="2" t="s">
        <v>13</v>
      </c>
      <c r="C414" s="1">
        <f>SUM(PL!E414:H414)</f>
        <v>0</v>
      </c>
      <c r="D414" s="1">
        <f>SUM(PL!I414:L414)</f>
        <v>0</v>
      </c>
      <c r="E414" s="1">
        <f>SUM(C414:D414)</f>
        <v>0</v>
      </c>
      <c r="F414" s="1">
        <f>IF(C414 + F413 &lt; 0, C414 + F413, 0)</f>
        <v>0</v>
      </c>
      <c r="G414" s="1">
        <f>IF(D414 + G413 &lt; 0, D414 + G413, 0)</f>
        <v>0</v>
      </c>
      <c r="H414" s="1">
        <f>IF(E414 + H413 &lt; 0, E414 + H413, 0)</f>
        <v>0</v>
      </c>
      <c r="I414" s="1">
        <f>IF(H414 &lt; 0, 1 + I413, 0)</f>
        <v>0</v>
      </c>
      <c r="J414" s="1">
        <f>C414-((ABS(SUM(PL!E414:H414)))*0.125)</f>
        <v>0</v>
      </c>
      <c r="K414" s="1">
        <f>D414-((ABS(SUM(PL!I414:L414)))*0.125)</f>
        <v>0</v>
      </c>
      <c r="L414" s="1">
        <f>J414 + K414</f>
        <v>0</v>
      </c>
      <c r="M414" s="1">
        <f>IF(J414 + M413 &lt; 0, J414 + M413, 0)</f>
        <v>0</v>
      </c>
      <c r="N414" s="1">
        <f>IF(K414 + N413 &lt; 0, K414 + N413, 0)</f>
        <v>0</v>
      </c>
      <c r="O414" s="1">
        <f>IF(L414 + O413 &lt; 0, L414 + O413, 0)</f>
        <v>0</v>
      </c>
      <c r="P414" s="1">
        <f>IF(O414 &lt; 0, 1 + P413, 0)</f>
        <v>0</v>
      </c>
      <c r="Q414" s="1">
        <f>IF(E414&lt;0,1,0)</f>
        <v>0</v>
      </c>
      <c r="R414" s="1">
        <f>IF(Q414=1,E414,0)</f>
        <v>0</v>
      </c>
      <c r="S414" s="1">
        <f>IF(E414&gt;0,1,0)</f>
        <v>0</v>
      </c>
      <c r="T414" s="1">
        <f>IF(S414=1,E414,0)</f>
        <v>0</v>
      </c>
      <c r="U414" s="1">
        <f>IF(R414&lt;-100000000/100,1,0)</f>
        <v>0</v>
      </c>
      <c r="V414" s="1">
        <f>IF(T414&gt;100000000/100,1,0)</f>
        <v>0</v>
      </c>
      <c r="W414" s="1">
        <f>IF(L414&lt;0,1,0)</f>
        <v>0</v>
      </c>
      <c r="X414" s="1">
        <f>IF(W414=1,L414,0)</f>
        <v>0</v>
      </c>
      <c r="Y414" s="1">
        <f>IF(L414&gt;0,1,0)</f>
        <v>0</v>
      </c>
      <c r="Z414" s="1">
        <f>IF(Y414=1,L414,0)</f>
        <v>0</v>
      </c>
      <c r="AA414" s="1">
        <f>IF(X414&lt;-100000000/100,1,0)</f>
        <v>0</v>
      </c>
      <c r="AB414" s="1">
        <f>IF(Z414&gt;100000000/100,1,0)</f>
        <v>0</v>
      </c>
    </row>
    <row r="415" spans="1:28" s="1" customFormat="1">
      <c r="A415" s="3">
        <v>45595</v>
      </c>
      <c r="B415" s="2" t="s">
        <v>14</v>
      </c>
      <c r="C415" s="1">
        <f>SUM(PL!E415:H415)</f>
        <v>0</v>
      </c>
      <c r="D415" s="1">
        <f>SUM(PL!I415:L415)</f>
        <v>0</v>
      </c>
      <c r="E415" s="1">
        <f>SUM(C415:D415)</f>
        <v>0</v>
      </c>
      <c r="F415" s="1">
        <f>IF(C415 + F414 &lt; 0, C415 + F414, 0)</f>
        <v>0</v>
      </c>
      <c r="G415" s="1">
        <f>IF(D415 + G414 &lt; 0, D415 + G414, 0)</f>
        <v>0</v>
      </c>
      <c r="H415" s="1">
        <f>IF(E415 + H414 &lt; 0, E415 + H414, 0)</f>
        <v>0</v>
      </c>
      <c r="I415" s="1">
        <f>IF(H415 &lt; 0, 1 + I414, 0)</f>
        <v>0</v>
      </c>
      <c r="J415" s="1">
        <f>C415-((ABS(SUM(PL!E415:H415)))*0.125)</f>
        <v>0</v>
      </c>
      <c r="K415" s="1">
        <f>D415-((ABS(SUM(PL!I415:L415)))*0.125)</f>
        <v>0</v>
      </c>
      <c r="L415" s="1">
        <f>J415 + K415</f>
        <v>0</v>
      </c>
      <c r="M415" s="1">
        <f>IF(J415 + M414 &lt; 0, J415 + M414, 0)</f>
        <v>0</v>
      </c>
      <c r="N415" s="1">
        <f>IF(K415 + N414 &lt; 0, K415 + N414, 0)</f>
        <v>0</v>
      </c>
      <c r="O415" s="1">
        <f>IF(L415 + O414 &lt; 0, L415 + O414, 0)</f>
        <v>0</v>
      </c>
      <c r="P415" s="1">
        <f>IF(O415 &lt; 0, 1 + P414, 0)</f>
        <v>0</v>
      </c>
      <c r="Q415" s="1">
        <f>IF(E415&lt;0,1,0)</f>
        <v>0</v>
      </c>
      <c r="R415" s="1">
        <f>IF(Q415=1,E415,0)</f>
        <v>0</v>
      </c>
      <c r="S415" s="1">
        <f>IF(E415&gt;0,1,0)</f>
        <v>0</v>
      </c>
      <c r="T415" s="1">
        <f>IF(S415=1,E415,0)</f>
        <v>0</v>
      </c>
      <c r="U415" s="1">
        <f>IF(R415&lt;-100000000/100,1,0)</f>
        <v>0</v>
      </c>
      <c r="V415" s="1">
        <f>IF(T415&gt;100000000/100,1,0)</f>
        <v>0</v>
      </c>
      <c r="W415" s="1">
        <f>IF(L415&lt;0,1,0)</f>
        <v>0</v>
      </c>
      <c r="X415" s="1">
        <f>IF(W415=1,L415,0)</f>
        <v>0</v>
      </c>
      <c r="Y415" s="1">
        <f>IF(L415&gt;0,1,0)</f>
        <v>0</v>
      </c>
      <c r="Z415" s="1">
        <f>IF(Y415=1,L415,0)</f>
        <v>0</v>
      </c>
      <c r="AA415" s="1">
        <f>IF(X415&lt;-100000000/100,1,0)</f>
        <v>0</v>
      </c>
      <c r="AB415" s="1">
        <f>IF(Z415&gt;100000000/100,1,0)</f>
        <v>0</v>
      </c>
    </row>
    <row r="416" spans="1:28" s="1" customFormat="1">
      <c r="A416" s="3">
        <v>45596</v>
      </c>
      <c r="B416" s="2" t="s">
        <v>16</v>
      </c>
      <c r="C416" s="1">
        <f>SUM(PL!E416:H416)</f>
        <v>0</v>
      </c>
      <c r="D416" s="1">
        <f>SUM(PL!I416:L416)</f>
        <v>0</v>
      </c>
      <c r="E416" s="1">
        <f>SUM(C416:D416)</f>
        <v>0</v>
      </c>
      <c r="F416" s="1">
        <f>IF(C416 + F415 &lt; 0, C416 + F415, 0)</f>
        <v>0</v>
      </c>
      <c r="G416" s="1">
        <f>IF(D416 + G415 &lt; 0, D416 + G415, 0)</f>
        <v>0</v>
      </c>
      <c r="H416" s="1">
        <f>IF(E416 + H415 &lt; 0, E416 + H415, 0)</f>
        <v>0</v>
      </c>
      <c r="I416" s="1">
        <f>IF(H416 &lt; 0, 1 + I415, 0)</f>
        <v>0</v>
      </c>
      <c r="J416" s="1">
        <f>C416-((ABS(SUM(PL!E416:H416)))*0.125)</f>
        <v>0</v>
      </c>
      <c r="K416" s="1">
        <f>D416-((ABS(SUM(PL!I416:L416)))*0.125)</f>
        <v>0</v>
      </c>
      <c r="L416" s="1">
        <f>J416 + K416</f>
        <v>0</v>
      </c>
      <c r="M416" s="1">
        <f>IF(J416 + M415 &lt; 0, J416 + M415, 0)</f>
        <v>0</v>
      </c>
      <c r="N416" s="1">
        <f>IF(K416 + N415 &lt; 0, K416 + N415, 0)</f>
        <v>0</v>
      </c>
      <c r="O416" s="1">
        <f>IF(L416 + O415 &lt; 0, L416 + O415, 0)</f>
        <v>0</v>
      </c>
      <c r="P416" s="1">
        <f>IF(O416 &lt; 0, 1 + P415, 0)</f>
        <v>0</v>
      </c>
      <c r="Q416" s="1">
        <f>IF(E416&lt;0,1,0)</f>
        <v>0</v>
      </c>
      <c r="R416" s="1">
        <f>IF(Q416=1,E416,0)</f>
        <v>0</v>
      </c>
      <c r="S416" s="1">
        <f>IF(E416&gt;0,1,0)</f>
        <v>0</v>
      </c>
      <c r="T416" s="1">
        <f>IF(S416=1,E416,0)</f>
        <v>0</v>
      </c>
      <c r="U416" s="1">
        <f>IF(R416&lt;-100000000/100,1,0)</f>
        <v>0</v>
      </c>
      <c r="V416" s="1">
        <f>IF(T416&gt;100000000/100,1,0)</f>
        <v>0</v>
      </c>
      <c r="W416" s="1">
        <f>IF(L416&lt;0,1,0)</f>
        <v>0</v>
      </c>
      <c r="X416" s="1">
        <f>IF(W416=1,L416,0)</f>
        <v>0</v>
      </c>
      <c r="Y416" s="1">
        <f>IF(L416&gt;0,1,0)</f>
        <v>0</v>
      </c>
      <c r="Z416" s="1">
        <f>IF(Y416=1,L416,0)</f>
        <v>0</v>
      </c>
      <c r="AA416" s="1">
        <f>IF(X416&lt;-100000000/100,1,0)</f>
        <v>0</v>
      </c>
      <c r="AB416" s="1">
        <f>IF(Z416&gt;100000000/100,1,0)</f>
        <v>0</v>
      </c>
    </row>
    <row r="417" spans="1:28" s="1" customFormat="1">
      <c r="A417" s="3">
        <v>45597</v>
      </c>
      <c r="B417" s="2" t="s">
        <v>15</v>
      </c>
      <c r="C417" s="1">
        <f>SUM(PL!E417:H417)</f>
        <v>0</v>
      </c>
      <c r="D417" s="1">
        <f>SUM(PL!I417:L417)</f>
        <v>0</v>
      </c>
      <c r="E417" s="1">
        <f>SUM(C417:D417)</f>
        <v>0</v>
      </c>
      <c r="F417" s="1">
        <f>IF(C417 + F416 &lt; 0, C417 + F416, 0)</f>
        <v>0</v>
      </c>
      <c r="G417" s="1">
        <f>IF(D417 + G416 &lt; 0, D417 + G416, 0)</f>
        <v>0</v>
      </c>
      <c r="H417" s="1">
        <f>IF(E417 + H416 &lt; 0, E417 + H416, 0)</f>
        <v>0</v>
      </c>
      <c r="I417" s="1">
        <f>IF(H417 &lt; 0, 1 + I416, 0)</f>
        <v>0</v>
      </c>
      <c r="J417" s="1">
        <f>C417-((ABS(SUM(PL!E417:H417)))*0.125)</f>
        <v>0</v>
      </c>
      <c r="K417" s="1">
        <f>D417-((ABS(SUM(PL!I417:L417)))*0.125)</f>
        <v>0</v>
      </c>
      <c r="L417" s="1">
        <f>J417 + K417</f>
        <v>0</v>
      </c>
      <c r="M417" s="1">
        <f>IF(J417 + M416 &lt; 0, J417 + M416, 0)</f>
        <v>0</v>
      </c>
      <c r="N417" s="1">
        <f>IF(K417 + N416 &lt; 0, K417 + N416, 0)</f>
        <v>0</v>
      </c>
      <c r="O417" s="1">
        <f>IF(L417 + O416 &lt; 0, L417 + O416, 0)</f>
        <v>0</v>
      </c>
      <c r="P417" s="1">
        <f>IF(O417 &lt; 0, 1 + P416, 0)</f>
        <v>0</v>
      </c>
      <c r="Q417" s="1">
        <f>IF(E417&lt;0,1,0)</f>
        <v>0</v>
      </c>
      <c r="R417" s="1">
        <f>IF(Q417=1,E417,0)</f>
        <v>0</v>
      </c>
      <c r="S417" s="1">
        <f>IF(E417&gt;0,1,0)</f>
        <v>0</v>
      </c>
      <c r="T417" s="1">
        <f>IF(S417=1,E417,0)</f>
        <v>0</v>
      </c>
      <c r="U417" s="1">
        <f>IF(R417&lt;-100000000/100,1,0)</f>
        <v>0</v>
      </c>
      <c r="V417" s="1">
        <f>IF(T417&gt;100000000/100,1,0)</f>
        <v>0</v>
      </c>
      <c r="W417" s="1">
        <f>IF(L417&lt;0,1,0)</f>
        <v>0</v>
      </c>
      <c r="X417" s="1">
        <f>IF(W417=1,L417,0)</f>
        <v>0</v>
      </c>
      <c r="Y417" s="1">
        <f>IF(L417&gt;0,1,0)</f>
        <v>0</v>
      </c>
      <c r="Z417" s="1">
        <f>IF(Y417=1,L417,0)</f>
        <v>0</v>
      </c>
      <c r="AA417" s="1">
        <f>IF(X417&lt;-100000000/100,1,0)</f>
        <v>0</v>
      </c>
      <c r="AB417" s="1">
        <f>IF(Z417&gt;100000000/100,1,0)</f>
        <v>0</v>
      </c>
    </row>
    <row r="418" spans="1:28" s="1" customFormat="1">
      <c r="A418" s="3">
        <v>45600</v>
      </c>
      <c r="B418" s="2" t="s">
        <v>12</v>
      </c>
      <c r="C418" s="1">
        <f>SUM(PL!E418:H418)</f>
        <v>0</v>
      </c>
      <c r="D418" s="1">
        <f>SUM(PL!I418:L418)</f>
        <v>0</v>
      </c>
      <c r="E418" s="1">
        <f>SUM(C418:D418)</f>
        <v>0</v>
      </c>
      <c r="F418" s="1">
        <f>IF(C418 + F417 &lt; 0, C418 + F417, 0)</f>
        <v>0</v>
      </c>
      <c r="G418" s="1">
        <f>IF(D418 + G417 &lt; 0, D418 + G417, 0)</f>
        <v>0</v>
      </c>
      <c r="H418" s="1">
        <f>IF(E418 + H417 &lt; 0, E418 + H417, 0)</f>
        <v>0</v>
      </c>
      <c r="I418" s="1">
        <f>IF(H418 &lt; 0, 1 + I417, 0)</f>
        <v>0</v>
      </c>
      <c r="J418" s="1">
        <f>C418-((ABS(SUM(PL!E418:H418)))*0.125)</f>
        <v>0</v>
      </c>
      <c r="K418" s="1">
        <f>D418-((ABS(SUM(PL!I418:L418)))*0.125)</f>
        <v>0</v>
      </c>
      <c r="L418" s="1">
        <f>J418 + K418</f>
        <v>0</v>
      </c>
      <c r="M418" s="1">
        <f>IF(J418 + M417 &lt; 0, J418 + M417, 0)</f>
        <v>0</v>
      </c>
      <c r="N418" s="1">
        <f>IF(K418 + N417 &lt; 0, K418 + N417, 0)</f>
        <v>0</v>
      </c>
      <c r="O418" s="1">
        <f>IF(L418 + O417 &lt; 0, L418 + O417, 0)</f>
        <v>0</v>
      </c>
      <c r="P418" s="1">
        <f>IF(O418 &lt; 0, 1 + P417, 0)</f>
        <v>0</v>
      </c>
      <c r="Q418" s="1">
        <f>IF(E418&lt;0,1,0)</f>
        <v>0</v>
      </c>
      <c r="R418" s="1">
        <f>IF(Q418=1,E418,0)</f>
        <v>0</v>
      </c>
      <c r="S418" s="1">
        <f>IF(E418&gt;0,1,0)</f>
        <v>0</v>
      </c>
      <c r="T418" s="1">
        <f>IF(S418=1,E418,0)</f>
        <v>0</v>
      </c>
      <c r="U418" s="1">
        <f>IF(R418&lt;-100000000/100,1,0)</f>
        <v>0</v>
      </c>
      <c r="V418" s="1">
        <f>IF(T418&gt;100000000/100,1,0)</f>
        <v>0</v>
      </c>
      <c r="W418" s="1">
        <f>IF(L418&lt;0,1,0)</f>
        <v>0</v>
      </c>
      <c r="X418" s="1">
        <f>IF(W418=1,L418,0)</f>
        <v>0</v>
      </c>
      <c r="Y418" s="1">
        <f>IF(L418&gt;0,1,0)</f>
        <v>0</v>
      </c>
      <c r="Z418" s="1">
        <f>IF(Y418=1,L418,0)</f>
        <v>0</v>
      </c>
      <c r="AA418" s="1">
        <f>IF(X418&lt;-100000000/100,1,0)</f>
        <v>0</v>
      </c>
      <c r="AB418" s="1">
        <f>IF(Z418&gt;100000000/100,1,0)</f>
        <v>0</v>
      </c>
    </row>
    <row r="419" spans="1:28" s="1" customFormat="1">
      <c r="A419" s="3">
        <v>45601</v>
      </c>
      <c r="B419" s="2" t="s">
        <v>13</v>
      </c>
      <c r="C419" s="1">
        <f>SUM(PL!E419:H419)</f>
        <v>0</v>
      </c>
      <c r="D419" s="1">
        <f>SUM(PL!I419:L419)</f>
        <v>0</v>
      </c>
      <c r="E419" s="1">
        <f>SUM(C419:D419)</f>
        <v>0</v>
      </c>
      <c r="F419" s="1">
        <f>IF(C419 + F418 &lt; 0, C419 + F418, 0)</f>
        <v>0</v>
      </c>
      <c r="G419" s="1">
        <f>IF(D419 + G418 &lt; 0, D419 + G418, 0)</f>
        <v>0</v>
      </c>
      <c r="H419" s="1">
        <f>IF(E419 + H418 &lt; 0, E419 + H418, 0)</f>
        <v>0</v>
      </c>
      <c r="I419" s="1">
        <f>IF(H419 &lt; 0, 1 + I418, 0)</f>
        <v>0</v>
      </c>
      <c r="J419" s="1">
        <f>C419-((ABS(SUM(PL!E419:H419)))*0.125)</f>
        <v>0</v>
      </c>
      <c r="K419" s="1">
        <f>D419-((ABS(SUM(PL!I419:L419)))*0.125)</f>
        <v>0</v>
      </c>
      <c r="L419" s="1">
        <f>J419 + K419</f>
        <v>0</v>
      </c>
      <c r="M419" s="1">
        <f>IF(J419 + M418 &lt; 0, J419 + M418, 0)</f>
        <v>0</v>
      </c>
      <c r="N419" s="1">
        <f>IF(K419 + N418 &lt; 0, K419 + N418, 0)</f>
        <v>0</v>
      </c>
      <c r="O419" s="1">
        <f>IF(L419 + O418 &lt; 0, L419 + O418, 0)</f>
        <v>0</v>
      </c>
      <c r="P419" s="1">
        <f>IF(O419 &lt; 0, 1 + P418, 0)</f>
        <v>0</v>
      </c>
      <c r="Q419" s="1">
        <f>IF(E419&lt;0,1,0)</f>
        <v>0</v>
      </c>
      <c r="R419" s="1">
        <f>IF(Q419=1,E419,0)</f>
        <v>0</v>
      </c>
      <c r="S419" s="1">
        <f>IF(E419&gt;0,1,0)</f>
        <v>0</v>
      </c>
      <c r="T419" s="1">
        <f>IF(S419=1,E419,0)</f>
        <v>0</v>
      </c>
      <c r="U419" s="1">
        <f>IF(R419&lt;-100000000/100,1,0)</f>
        <v>0</v>
      </c>
      <c r="V419" s="1">
        <f>IF(T419&gt;100000000/100,1,0)</f>
        <v>0</v>
      </c>
      <c r="W419" s="1">
        <f>IF(L419&lt;0,1,0)</f>
        <v>0</v>
      </c>
      <c r="X419" s="1">
        <f>IF(W419=1,L419,0)</f>
        <v>0</v>
      </c>
      <c r="Y419" s="1">
        <f>IF(L419&gt;0,1,0)</f>
        <v>0</v>
      </c>
      <c r="Z419" s="1">
        <f>IF(Y419=1,L419,0)</f>
        <v>0</v>
      </c>
      <c r="AA419" s="1">
        <f>IF(X419&lt;-100000000/100,1,0)</f>
        <v>0</v>
      </c>
      <c r="AB419" s="1">
        <f>IF(Z419&gt;100000000/100,1,0)</f>
        <v>0</v>
      </c>
    </row>
    <row r="420" spans="1:28" s="1" customFormat="1">
      <c r="A420" s="3">
        <v>45602</v>
      </c>
      <c r="B420" s="2" t="s">
        <v>14</v>
      </c>
      <c r="C420" s="1">
        <f>SUM(PL!E420:H420)</f>
        <v>0</v>
      </c>
      <c r="D420" s="1">
        <f>SUM(PL!I420:L420)</f>
        <v>0</v>
      </c>
      <c r="E420" s="1">
        <f>SUM(C420:D420)</f>
        <v>0</v>
      </c>
      <c r="F420" s="1">
        <f>IF(C420 + F419 &lt; 0, C420 + F419, 0)</f>
        <v>0</v>
      </c>
      <c r="G420" s="1">
        <f>IF(D420 + G419 &lt; 0, D420 + G419, 0)</f>
        <v>0</v>
      </c>
      <c r="H420" s="1">
        <f>IF(E420 + H419 &lt; 0, E420 + H419, 0)</f>
        <v>0</v>
      </c>
      <c r="I420" s="1">
        <f>IF(H420 &lt; 0, 1 + I419, 0)</f>
        <v>0</v>
      </c>
      <c r="J420" s="1">
        <f>C420-((ABS(SUM(PL!E420:H420)))*0.125)</f>
        <v>0</v>
      </c>
      <c r="K420" s="1">
        <f>D420-((ABS(SUM(PL!I420:L420)))*0.125)</f>
        <v>0</v>
      </c>
      <c r="L420" s="1">
        <f>J420 + K420</f>
        <v>0</v>
      </c>
      <c r="M420" s="1">
        <f>IF(J420 + M419 &lt; 0, J420 + M419, 0)</f>
        <v>0</v>
      </c>
      <c r="N420" s="1">
        <f>IF(K420 + N419 &lt; 0, K420 + N419, 0)</f>
        <v>0</v>
      </c>
      <c r="O420" s="1">
        <f>IF(L420 + O419 &lt; 0, L420 + O419, 0)</f>
        <v>0</v>
      </c>
      <c r="P420" s="1">
        <f>IF(O420 &lt; 0, 1 + P419, 0)</f>
        <v>0</v>
      </c>
      <c r="Q420" s="1">
        <f>IF(E420&lt;0,1,0)</f>
        <v>0</v>
      </c>
      <c r="R420" s="1">
        <f>IF(Q420=1,E420,0)</f>
        <v>0</v>
      </c>
      <c r="S420" s="1">
        <f>IF(E420&gt;0,1,0)</f>
        <v>0</v>
      </c>
      <c r="T420" s="1">
        <f>IF(S420=1,E420,0)</f>
        <v>0</v>
      </c>
      <c r="U420" s="1">
        <f>IF(R420&lt;-100000000/100,1,0)</f>
        <v>0</v>
      </c>
      <c r="V420" s="1">
        <f>IF(T420&gt;100000000/100,1,0)</f>
        <v>0</v>
      </c>
      <c r="W420" s="1">
        <f>IF(L420&lt;0,1,0)</f>
        <v>0</v>
      </c>
      <c r="X420" s="1">
        <f>IF(W420=1,L420,0)</f>
        <v>0</v>
      </c>
      <c r="Y420" s="1">
        <f>IF(L420&gt;0,1,0)</f>
        <v>0</v>
      </c>
      <c r="Z420" s="1">
        <f>IF(Y420=1,L420,0)</f>
        <v>0</v>
      </c>
      <c r="AA420" s="1">
        <f>IF(X420&lt;-100000000/100,1,0)</f>
        <v>0</v>
      </c>
      <c r="AB420" s="1">
        <f>IF(Z420&gt;100000000/100,1,0)</f>
        <v>0</v>
      </c>
    </row>
    <row r="421" spans="1:28" s="1" customFormat="1">
      <c r="A421" s="3">
        <v>45603</v>
      </c>
      <c r="B421" s="2" t="s">
        <v>16</v>
      </c>
      <c r="C421" s="1">
        <f>SUM(PL!E421:H421)</f>
        <v>0</v>
      </c>
      <c r="D421" s="1">
        <f>SUM(PL!I421:L421)</f>
        <v>0</v>
      </c>
      <c r="E421" s="1">
        <f>SUM(C421:D421)</f>
        <v>0</v>
      </c>
      <c r="F421" s="1">
        <f>IF(C421 + F420 &lt; 0, C421 + F420, 0)</f>
        <v>0</v>
      </c>
      <c r="G421" s="1">
        <f>IF(D421 + G420 &lt; 0, D421 + G420, 0)</f>
        <v>0</v>
      </c>
      <c r="H421" s="1">
        <f>IF(E421 + H420 &lt; 0, E421 + H420, 0)</f>
        <v>0</v>
      </c>
      <c r="I421" s="1">
        <f>IF(H421 &lt; 0, 1 + I420, 0)</f>
        <v>0</v>
      </c>
      <c r="J421" s="1">
        <f>C421-((ABS(SUM(PL!E421:H421)))*0.125)</f>
        <v>0</v>
      </c>
      <c r="K421" s="1">
        <f>D421-((ABS(SUM(PL!I421:L421)))*0.125)</f>
        <v>0</v>
      </c>
      <c r="L421" s="1">
        <f>J421 + K421</f>
        <v>0</v>
      </c>
      <c r="M421" s="1">
        <f>IF(J421 + M420 &lt; 0, J421 + M420, 0)</f>
        <v>0</v>
      </c>
      <c r="N421" s="1">
        <f>IF(K421 + N420 &lt; 0, K421 + N420, 0)</f>
        <v>0</v>
      </c>
      <c r="O421" s="1">
        <f>IF(L421 + O420 &lt; 0, L421 + O420, 0)</f>
        <v>0</v>
      </c>
      <c r="P421" s="1">
        <f>IF(O421 &lt; 0, 1 + P420, 0)</f>
        <v>0</v>
      </c>
      <c r="Q421" s="1">
        <f>IF(E421&lt;0,1,0)</f>
        <v>0</v>
      </c>
      <c r="R421" s="1">
        <f>IF(Q421=1,E421,0)</f>
        <v>0</v>
      </c>
      <c r="S421" s="1">
        <f>IF(E421&gt;0,1,0)</f>
        <v>0</v>
      </c>
      <c r="T421" s="1">
        <f>IF(S421=1,E421,0)</f>
        <v>0</v>
      </c>
      <c r="U421" s="1">
        <f>IF(R421&lt;-100000000/100,1,0)</f>
        <v>0</v>
      </c>
      <c r="V421" s="1">
        <f>IF(T421&gt;100000000/100,1,0)</f>
        <v>0</v>
      </c>
      <c r="W421" s="1">
        <f>IF(L421&lt;0,1,0)</f>
        <v>0</v>
      </c>
      <c r="X421" s="1">
        <f>IF(W421=1,L421,0)</f>
        <v>0</v>
      </c>
      <c r="Y421" s="1">
        <f>IF(L421&gt;0,1,0)</f>
        <v>0</v>
      </c>
      <c r="Z421" s="1">
        <f>IF(Y421=1,L421,0)</f>
        <v>0</v>
      </c>
      <c r="AA421" s="1">
        <f>IF(X421&lt;-100000000/100,1,0)</f>
        <v>0</v>
      </c>
      <c r="AB421" s="1">
        <f>IF(Z421&gt;100000000/100,1,0)</f>
        <v>0</v>
      </c>
    </row>
    <row r="422" spans="1:28" s="1" customFormat="1">
      <c r="A422" s="3">
        <v>45604</v>
      </c>
      <c r="B422" s="2" t="s">
        <v>15</v>
      </c>
      <c r="C422" s="1">
        <f>SUM(PL!E422:H422)</f>
        <v>0</v>
      </c>
      <c r="D422" s="1">
        <f>SUM(PL!I422:L422)</f>
        <v>0</v>
      </c>
      <c r="E422" s="1">
        <f>SUM(C422:D422)</f>
        <v>0</v>
      </c>
      <c r="F422" s="1">
        <f>IF(C422 + F421 &lt; 0, C422 + F421, 0)</f>
        <v>0</v>
      </c>
      <c r="G422" s="1">
        <f>IF(D422 + G421 &lt; 0, D422 + G421, 0)</f>
        <v>0</v>
      </c>
      <c r="H422" s="1">
        <f>IF(E422 + H421 &lt; 0, E422 + H421, 0)</f>
        <v>0</v>
      </c>
      <c r="I422" s="1">
        <f>IF(H422 &lt; 0, 1 + I421, 0)</f>
        <v>0</v>
      </c>
      <c r="J422" s="1">
        <f>C422-((ABS(SUM(PL!E422:H422)))*0.125)</f>
        <v>0</v>
      </c>
      <c r="K422" s="1">
        <f>D422-((ABS(SUM(PL!I422:L422)))*0.125)</f>
        <v>0</v>
      </c>
      <c r="L422" s="1">
        <f>J422 + K422</f>
        <v>0</v>
      </c>
      <c r="M422" s="1">
        <f>IF(J422 + M421 &lt; 0, J422 + M421, 0)</f>
        <v>0</v>
      </c>
      <c r="N422" s="1">
        <f>IF(K422 + N421 &lt; 0, K422 + N421, 0)</f>
        <v>0</v>
      </c>
      <c r="O422" s="1">
        <f>IF(L422 + O421 &lt; 0, L422 + O421, 0)</f>
        <v>0</v>
      </c>
      <c r="P422" s="1">
        <f>IF(O422 &lt; 0, 1 + P421, 0)</f>
        <v>0</v>
      </c>
      <c r="Q422" s="1">
        <f>IF(E422&lt;0,1,0)</f>
        <v>0</v>
      </c>
      <c r="R422" s="1">
        <f>IF(Q422=1,E422,0)</f>
        <v>0</v>
      </c>
      <c r="S422" s="1">
        <f>IF(E422&gt;0,1,0)</f>
        <v>0</v>
      </c>
      <c r="T422" s="1">
        <f>IF(S422=1,E422,0)</f>
        <v>0</v>
      </c>
      <c r="U422" s="1">
        <f>IF(R422&lt;-100000000/100,1,0)</f>
        <v>0</v>
      </c>
      <c r="V422" s="1">
        <f>IF(T422&gt;100000000/100,1,0)</f>
        <v>0</v>
      </c>
      <c r="W422" s="1">
        <f>IF(L422&lt;0,1,0)</f>
        <v>0</v>
      </c>
      <c r="X422" s="1">
        <f>IF(W422=1,L422,0)</f>
        <v>0</v>
      </c>
      <c r="Y422" s="1">
        <f>IF(L422&gt;0,1,0)</f>
        <v>0</v>
      </c>
      <c r="Z422" s="1">
        <f>IF(Y422=1,L422,0)</f>
        <v>0</v>
      </c>
      <c r="AA422" s="1">
        <f>IF(X422&lt;-100000000/100,1,0)</f>
        <v>0</v>
      </c>
      <c r="AB422" s="1">
        <f>IF(Z422&gt;100000000/100,1,0)</f>
        <v>0</v>
      </c>
    </row>
    <row r="423" spans="1:28" s="1" customFormat="1">
      <c r="A423" s="3">
        <v>45607</v>
      </c>
      <c r="B423" s="2" t="s">
        <v>12</v>
      </c>
      <c r="C423" s="1">
        <f>SUM(PL!E423:H423)</f>
        <v>0</v>
      </c>
      <c r="D423" s="1">
        <f>SUM(PL!I423:L423)</f>
        <v>0</v>
      </c>
      <c r="E423" s="1">
        <f>SUM(C423:D423)</f>
        <v>0</v>
      </c>
      <c r="F423" s="1">
        <f>IF(C423 + F422 &lt; 0, C423 + F422, 0)</f>
        <v>0</v>
      </c>
      <c r="G423" s="1">
        <f>IF(D423 + G422 &lt; 0, D423 + G422, 0)</f>
        <v>0</v>
      </c>
      <c r="H423" s="1">
        <f>IF(E423 + H422 &lt; 0, E423 + H422, 0)</f>
        <v>0</v>
      </c>
      <c r="I423" s="1">
        <f>IF(H423 &lt; 0, 1 + I422, 0)</f>
        <v>0</v>
      </c>
      <c r="J423" s="1">
        <f>C423-((ABS(SUM(PL!E423:H423)))*0.125)</f>
        <v>0</v>
      </c>
      <c r="K423" s="1">
        <f>D423-((ABS(SUM(PL!I423:L423)))*0.125)</f>
        <v>0</v>
      </c>
      <c r="L423" s="1">
        <f>J423 + K423</f>
        <v>0</v>
      </c>
      <c r="M423" s="1">
        <f>IF(J423 + M422 &lt; 0, J423 + M422, 0)</f>
        <v>0</v>
      </c>
      <c r="N423" s="1">
        <f>IF(K423 + N422 &lt; 0, K423 + N422, 0)</f>
        <v>0</v>
      </c>
      <c r="O423" s="1">
        <f>IF(L423 + O422 &lt; 0, L423 + O422, 0)</f>
        <v>0</v>
      </c>
      <c r="P423" s="1">
        <f>IF(O423 &lt; 0, 1 + P422, 0)</f>
        <v>0</v>
      </c>
      <c r="Q423" s="1">
        <f>IF(E423&lt;0,1,0)</f>
        <v>0</v>
      </c>
      <c r="R423" s="1">
        <f>IF(Q423=1,E423,0)</f>
        <v>0</v>
      </c>
      <c r="S423" s="1">
        <f>IF(E423&gt;0,1,0)</f>
        <v>0</v>
      </c>
      <c r="T423" s="1">
        <f>IF(S423=1,E423,0)</f>
        <v>0</v>
      </c>
      <c r="U423" s="1">
        <f>IF(R423&lt;-100000000/100,1,0)</f>
        <v>0</v>
      </c>
      <c r="V423" s="1">
        <f>IF(T423&gt;100000000/100,1,0)</f>
        <v>0</v>
      </c>
      <c r="W423" s="1">
        <f>IF(L423&lt;0,1,0)</f>
        <v>0</v>
      </c>
      <c r="X423" s="1">
        <f>IF(W423=1,L423,0)</f>
        <v>0</v>
      </c>
      <c r="Y423" s="1">
        <f>IF(L423&gt;0,1,0)</f>
        <v>0</v>
      </c>
      <c r="Z423" s="1">
        <f>IF(Y423=1,L423,0)</f>
        <v>0</v>
      </c>
      <c r="AA423" s="1">
        <f>IF(X423&lt;-100000000/100,1,0)</f>
        <v>0</v>
      </c>
      <c r="AB423" s="1">
        <f>IF(Z423&gt;100000000/100,1,0)</f>
        <v>0</v>
      </c>
    </row>
    <row r="424" spans="1:28" s="1" customFormat="1">
      <c r="A424" s="3">
        <v>45608</v>
      </c>
      <c r="B424" s="2" t="s">
        <v>13</v>
      </c>
      <c r="C424" s="1">
        <f>SUM(PL!E424:H424)</f>
        <v>0</v>
      </c>
      <c r="D424" s="1">
        <f>SUM(PL!I424:L424)</f>
        <v>0</v>
      </c>
      <c r="E424" s="1">
        <f>SUM(C424:D424)</f>
        <v>0</v>
      </c>
      <c r="F424" s="1">
        <f>IF(C424 + F423 &lt; 0, C424 + F423, 0)</f>
        <v>0</v>
      </c>
      <c r="G424" s="1">
        <f>IF(D424 + G423 &lt; 0, D424 + G423, 0)</f>
        <v>0</v>
      </c>
      <c r="H424" s="1">
        <f>IF(E424 + H423 &lt; 0, E424 + H423, 0)</f>
        <v>0</v>
      </c>
      <c r="I424" s="1">
        <f>IF(H424 &lt; 0, 1 + I423, 0)</f>
        <v>0</v>
      </c>
      <c r="J424" s="1">
        <f>C424-((ABS(SUM(PL!E424:H424)))*0.125)</f>
        <v>0</v>
      </c>
      <c r="K424" s="1">
        <f>D424-((ABS(SUM(PL!I424:L424)))*0.125)</f>
        <v>0</v>
      </c>
      <c r="L424" s="1">
        <f>J424 + K424</f>
        <v>0</v>
      </c>
      <c r="M424" s="1">
        <f>IF(J424 + M423 &lt; 0, J424 + M423, 0)</f>
        <v>0</v>
      </c>
      <c r="N424" s="1">
        <f>IF(K424 + N423 &lt; 0, K424 + N423, 0)</f>
        <v>0</v>
      </c>
      <c r="O424" s="1">
        <f>IF(L424 + O423 &lt; 0, L424 + O423, 0)</f>
        <v>0</v>
      </c>
      <c r="P424" s="1">
        <f>IF(O424 &lt; 0, 1 + P423, 0)</f>
        <v>0</v>
      </c>
      <c r="Q424" s="1">
        <f>IF(E424&lt;0,1,0)</f>
        <v>0</v>
      </c>
      <c r="R424" s="1">
        <f>IF(Q424=1,E424,0)</f>
        <v>0</v>
      </c>
      <c r="S424" s="1">
        <f>IF(E424&gt;0,1,0)</f>
        <v>0</v>
      </c>
      <c r="T424" s="1">
        <f>IF(S424=1,E424,0)</f>
        <v>0</v>
      </c>
      <c r="U424" s="1">
        <f>IF(R424&lt;-100000000/100,1,0)</f>
        <v>0</v>
      </c>
      <c r="V424" s="1">
        <f>IF(T424&gt;100000000/100,1,0)</f>
        <v>0</v>
      </c>
      <c r="W424" s="1">
        <f>IF(L424&lt;0,1,0)</f>
        <v>0</v>
      </c>
      <c r="X424" s="1">
        <f>IF(W424=1,L424,0)</f>
        <v>0</v>
      </c>
      <c r="Y424" s="1">
        <f>IF(L424&gt;0,1,0)</f>
        <v>0</v>
      </c>
      <c r="Z424" s="1">
        <f>IF(Y424=1,L424,0)</f>
        <v>0</v>
      </c>
      <c r="AA424" s="1">
        <f>IF(X424&lt;-100000000/100,1,0)</f>
        <v>0</v>
      </c>
      <c r="AB424" s="1">
        <f>IF(Z424&gt;100000000/100,1,0)</f>
        <v>0</v>
      </c>
    </row>
    <row r="425" spans="1:28" s="1" customFormat="1">
      <c r="A425" s="3">
        <v>45609</v>
      </c>
      <c r="B425" s="2" t="s">
        <v>14</v>
      </c>
      <c r="C425" s="1">
        <f>SUM(PL!E425:H425)</f>
        <v>0</v>
      </c>
      <c r="D425" s="1">
        <f>SUM(PL!I425:L425)</f>
        <v>0</v>
      </c>
      <c r="E425" s="1">
        <f>SUM(C425:D425)</f>
        <v>0</v>
      </c>
      <c r="F425" s="1">
        <f>IF(C425 + F424 &lt; 0, C425 + F424, 0)</f>
        <v>0</v>
      </c>
      <c r="G425" s="1">
        <f>IF(D425 + G424 &lt; 0, D425 + G424, 0)</f>
        <v>0</v>
      </c>
      <c r="H425" s="1">
        <f>IF(E425 + H424 &lt; 0, E425 + H424, 0)</f>
        <v>0</v>
      </c>
      <c r="I425" s="1">
        <f>IF(H425 &lt; 0, 1 + I424, 0)</f>
        <v>0</v>
      </c>
      <c r="J425" s="1">
        <f>C425-((ABS(SUM(PL!E425:H425)))*0.125)</f>
        <v>0</v>
      </c>
      <c r="K425" s="1">
        <f>D425-((ABS(SUM(PL!I425:L425)))*0.125)</f>
        <v>0</v>
      </c>
      <c r="L425" s="1">
        <f>J425 + K425</f>
        <v>0</v>
      </c>
      <c r="M425" s="1">
        <f>IF(J425 + M424 &lt; 0, J425 + M424, 0)</f>
        <v>0</v>
      </c>
      <c r="N425" s="1">
        <f>IF(K425 + N424 &lt; 0, K425 + N424, 0)</f>
        <v>0</v>
      </c>
      <c r="O425" s="1">
        <f>IF(L425 + O424 &lt; 0, L425 + O424, 0)</f>
        <v>0</v>
      </c>
      <c r="P425" s="1">
        <f>IF(O425 &lt; 0, 1 + P424, 0)</f>
        <v>0</v>
      </c>
      <c r="Q425" s="1">
        <f>IF(E425&lt;0,1,0)</f>
        <v>0</v>
      </c>
      <c r="R425" s="1">
        <f>IF(Q425=1,E425,0)</f>
        <v>0</v>
      </c>
      <c r="S425" s="1">
        <f>IF(E425&gt;0,1,0)</f>
        <v>0</v>
      </c>
      <c r="T425" s="1">
        <f>IF(S425=1,E425,0)</f>
        <v>0</v>
      </c>
      <c r="U425" s="1">
        <f>IF(R425&lt;-100000000/100,1,0)</f>
        <v>0</v>
      </c>
      <c r="V425" s="1">
        <f>IF(T425&gt;100000000/100,1,0)</f>
        <v>0</v>
      </c>
      <c r="W425" s="1">
        <f>IF(L425&lt;0,1,0)</f>
        <v>0</v>
      </c>
      <c r="X425" s="1">
        <f>IF(W425=1,L425,0)</f>
        <v>0</v>
      </c>
      <c r="Y425" s="1">
        <f>IF(L425&gt;0,1,0)</f>
        <v>0</v>
      </c>
      <c r="Z425" s="1">
        <f>IF(Y425=1,L425,0)</f>
        <v>0</v>
      </c>
      <c r="AA425" s="1">
        <f>IF(X425&lt;-100000000/100,1,0)</f>
        <v>0</v>
      </c>
      <c r="AB425" s="1">
        <f>IF(Z425&gt;100000000/100,1,0)</f>
        <v>0</v>
      </c>
    </row>
    <row r="426" spans="1:28" s="1" customFormat="1">
      <c r="A426" s="3">
        <v>45610</v>
      </c>
      <c r="B426" s="2" t="s">
        <v>16</v>
      </c>
      <c r="C426" s="1">
        <f>SUM(PL!E426:H426)</f>
        <v>0</v>
      </c>
      <c r="D426" s="1">
        <f>SUM(PL!I426:L426)</f>
        <v>0</v>
      </c>
      <c r="E426" s="1">
        <f>SUM(C426:D426)</f>
        <v>0</v>
      </c>
      <c r="F426" s="1">
        <f>IF(C426 + F425 &lt; 0, C426 + F425, 0)</f>
        <v>0</v>
      </c>
      <c r="G426" s="1">
        <f>IF(D426 + G425 &lt; 0, D426 + G425, 0)</f>
        <v>0</v>
      </c>
      <c r="H426" s="1">
        <f>IF(E426 + H425 &lt; 0, E426 + H425, 0)</f>
        <v>0</v>
      </c>
      <c r="I426" s="1">
        <f>IF(H426 &lt; 0, 1 + I425, 0)</f>
        <v>0</v>
      </c>
      <c r="J426" s="1">
        <f>C426-((ABS(SUM(PL!E426:H426)))*0.125)</f>
        <v>0</v>
      </c>
      <c r="K426" s="1">
        <f>D426-((ABS(SUM(PL!I426:L426)))*0.125)</f>
        <v>0</v>
      </c>
      <c r="L426" s="1">
        <f>J426 + K426</f>
        <v>0</v>
      </c>
      <c r="M426" s="1">
        <f>IF(J426 + M425 &lt; 0, J426 + M425, 0)</f>
        <v>0</v>
      </c>
      <c r="N426" s="1">
        <f>IF(K426 + N425 &lt; 0, K426 + N425, 0)</f>
        <v>0</v>
      </c>
      <c r="O426" s="1">
        <f>IF(L426 + O425 &lt; 0, L426 + O425, 0)</f>
        <v>0</v>
      </c>
      <c r="P426" s="1">
        <f>IF(O426 &lt; 0, 1 + P425, 0)</f>
        <v>0</v>
      </c>
      <c r="Q426" s="1">
        <f>IF(E426&lt;0,1,0)</f>
        <v>0</v>
      </c>
      <c r="R426" s="1">
        <f>IF(Q426=1,E426,0)</f>
        <v>0</v>
      </c>
      <c r="S426" s="1">
        <f>IF(E426&gt;0,1,0)</f>
        <v>0</v>
      </c>
      <c r="T426" s="1">
        <f>IF(S426=1,E426,0)</f>
        <v>0</v>
      </c>
      <c r="U426" s="1">
        <f>IF(R426&lt;-100000000/100,1,0)</f>
        <v>0</v>
      </c>
      <c r="V426" s="1">
        <f>IF(T426&gt;100000000/100,1,0)</f>
        <v>0</v>
      </c>
      <c r="W426" s="1">
        <f>IF(L426&lt;0,1,0)</f>
        <v>0</v>
      </c>
      <c r="X426" s="1">
        <f>IF(W426=1,L426,0)</f>
        <v>0</v>
      </c>
      <c r="Y426" s="1">
        <f>IF(L426&gt;0,1,0)</f>
        <v>0</v>
      </c>
      <c r="Z426" s="1">
        <f>IF(Y426=1,L426,0)</f>
        <v>0</v>
      </c>
      <c r="AA426" s="1">
        <f>IF(X426&lt;-100000000/100,1,0)</f>
        <v>0</v>
      </c>
      <c r="AB426" s="1">
        <f>IF(Z426&gt;100000000/100,1,0)</f>
        <v>0</v>
      </c>
    </row>
    <row r="427" spans="1:28" s="1" customFormat="1">
      <c r="A427" s="3">
        <v>45611</v>
      </c>
      <c r="B427" s="2" t="s">
        <v>15</v>
      </c>
      <c r="C427" s="1">
        <f>SUM(PL!E427:H427)</f>
        <v>0</v>
      </c>
      <c r="D427" s="1">
        <f>SUM(PL!I427:L427)</f>
        <v>0</v>
      </c>
      <c r="E427" s="1">
        <f>SUM(C427:D427)</f>
        <v>0</v>
      </c>
      <c r="F427" s="1">
        <f>IF(C427 + F426 &lt; 0, C427 + F426, 0)</f>
        <v>0</v>
      </c>
      <c r="G427" s="1">
        <f>IF(D427 + G426 &lt; 0, D427 + G426, 0)</f>
        <v>0</v>
      </c>
      <c r="H427" s="1">
        <f>IF(E427 + H426 &lt; 0, E427 + H426, 0)</f>
        <v>0</v>
      </c>
      <c r="I427" s="1">
        <f>IF(H427 &lt; 0, 1 + I426, 0)</f>
        <v>0</v>
      </c>
      <c r="J427" s="1">
        <f>C427-((ABS(SUM(PL!E427:H427)))*0.125)</f>
        <v>0</v>
      </c>
      <c r="K427" s="1">
        <f>D427-((ABS(SUM(PL!I427:L427)))*0.125)</f>
        <v>0</v>
      </c>
      <c r="L427" s="1">
        <f>J427 + K427</f>
        <v>0</v>
      </c>
      <c r="M427" s="1">
        <f>IF(J427 + M426 &lt; 0, J427 + M426, 0)</f>
        <v>0</v>
      </c>
      <c r="N427" s="1">
        <f>IF(K427 + N426 &lt; 0, K427 + N426, 0)</f>
        <v>0</v>
      </c>
      <c r="O427" s="1">
        <f>IF(L427 + O426 &lt; 0, L427 + O426, 0)</f>
        <v>0</v>
      </c>
      <c r="P427" s="1">
        <f>IF(O427 &lt; 0, 1 + P426, 0)</f>
        <v>0</v>
      </c>
      <c r="Q427" s="1">
        <f>IF(E427&lt;0,1,0)</f>
        <v>0</v>
      </c>
      <c r="R427" s="1">
        <f>IF(Q427=1,E427,0)</f>
        <v>0</v>
      </c>
      <c r="S427" s="1">
        <f>IF(E427&gt;0,1,0)</f>
        <v>0</v>
      </c>
      <c r="T427" s="1">
        <f>IF(S427=1,E427,0)</f>
        <v>0</v>
      </c>
      <c r="U427" s="1">
        <f>IF(R427&lt;-100000000/100,1,0)</f>
        <v>0</v>
      </c>
      <c r="V427" s="1">
        <f>IF(T427&gt;100000000/100,1,0)</f>
        <v>0</v>
      </c>
      <c r="W427" s="1">
        <f>IF(L427&lt;0,1,0)</f>
        <v>0</v>
      </c>
      <c r="X427" s="1">
        <f>IF(W427=1,L427,0)</f>
        <v>0</v>
      </c>
      <c r="Y427" s="1">
        <f>IF(L427&gt;0,1,0)</f>
        <v>0</v>
      </c>
      <c r="Z427" s="1">
        <f>IF(Y427=1,L427,0)</f>
        <v>0</v>
      </c>
      <c r="AA427" s="1">
        <f>IF(X427&lt;-100000000/100,1,0)</f>
        <v>0</v>
      </c>
      <c r="AB427" s="1">
        <f>IF(Z427&gt;100000000/100,1,0)</f>
        <v>0</v>
      </c>
    </row>
    <row r="428" spans="1:28" s="1" customFormat="1">
      <c r="A428" s="3">
        <v>45614</v>
      </c>
      <c r="B428" s="2" t="s">
        <v>12</v>
      </c>
      <c r="C428" s="1">
        <f>SUM(PL!E428:H428)</f>
        <v>0</v>
      </c>
      <c r="D428" s="1">
        <f>SUM(PL!I428:L428)</f>
        <v>0</v>
      </c>
      <c r="E428" s="1">
        <f>SUM(C428:D428)</f>
        <v>0</v>
      </c>
      <c r="F428" s="1">
        <f>IF(C428 + F427 &lt; 0, C428 + F427, 0)</f>
        <v>0</v>
      </c>
      <c r="G428" s="1">
        <f>IF(D428 + G427 &lt; 0, D428 + G427, 0)</f>
        <v>0</v>
      </c>
      <c r="H428" s="1">
        <f>IF(E428 + H427 &lt; 0, E428 + H427, 0)</f>
        <v>0</v>
      </c>
      <c r="I428" s="1">
        <f>IF(H428 &lt; 0, 1 + I427, 0)</f>
        <v>0</v>
      </c>
      <c r="J428" s="1">
        <f>C428-((ABS(SUM(PL!E428:H428)))*0.125)</f>
        <v>0</v>
      </c>
      <c r="K428" s="1">
        <f>D428-((ABS(SUM(PL!I428:L428)))*0.125)</f>
        <v>0</v>
      </c>
      <c r="L428" s="1">
        <f>J428 + K428</f>
        <v>0</v>
      </c>
      <c r="M428" s="1">
        <f>IF(J428 + M427 &lt; 0, J428 + M427, 0)</f>
        <v>0</v>
      </c>
      <c r="N428" s="1">
        <f>IF(K428 + N427 &lt; 0, K428 + N427, 0)</f>
        <v>0</v>
      </c>
      <c r="O428" s="1">
        <f>IF(L428 + O427 &lt; 0, L428 + O427, 0)</f>
        <v>0</v>
      </c>
      <c r="P428" s="1">
        <f>IF(O428 &lt; 0, 1 + P427, 0)</f>
        <v>0</v>
      </c>
      <c r="Q428" s="1">
        <f>IF(E428&lt;0,1,0)</f>
        <v>0</v>
      </c>
      <c r="R428" s="1">
        <f>IF(Q428=1,E428,0)</f>
        <v>0</v>
      </c>
      <c r="S428" s="1">
        <f>IF(E428&gt;0,1,0)</f>
        <v>0</v>
      </c>
      <c r="T428" s="1">
        <f>IF(S428=1,E428,0)</f>
        <v>0</v>
      </c>
      <c r="U428" s="1">
        <f>IF(R428&lt;-100000000/100,1,0)</f>
        <v>0</v>
      </c>
      <c r="V428" s="1">
        <f>IF(T428&gt;100000000/100,1,0)</f>
        <v>0</v>
      </c>
      <c r="W428" s="1">
        <f>IF(L428&lt;0,1,0)</f>
        <v>0</v>
      </c>
      <c r="X428" s="1">
        <f>IF(W428=1,L428,0)</f>
        <v>0</v>
      </c>
      <c r="Y428" s="1">
        <f>IF(L428&gt;0,1,0)</f>
        <v>0</v>
      </c>
      <c r="Z428" s="1">
        <f>IF(Y428=1,L428,0)</f>
        <v>0</v>
      </c>
      <c r="AA428" s="1">
        <f>IF(X428&lt;-100000000/100,1,0)</f>
        <v>0</v>
      </c>
      <c r="AB428" s="1">
        <f>IF(Z428&gt;100000000/100,1,0)</f>
        <v>0</v>
      </c>
    </row>
    <row r="429" spans="1:28" s="1" customFormat="1">
      <c r="A429" s="3">
        <v>45615</v>
      </c>
      <c r="B429" s="2" t="s">
        <v>13</v>
      </c>
      <c r="C429" s="1">
        <f>SUM(PL!E429:H429)</f>
        <v>0</v>
      </c>
      <c r="D429" s="1">
        <f>SUM(PL!I429:L429)</f>
        <v>0</v>
      </c>
      <c r="E429" s="1">
        <f>SUM(C429:D429)</f>
        <v>0</v>
      </c>
      <c r="F429" s="1">
        <f>IF(C429 + F428 &lt; 0, C429 + F428, 0)</f>
        <v>0</v>
      </c>
      <c r="G429" s="1">
        <f>IF(D429 + G428 &lt; 0, D429 + G428, 0)</f>
        <v>0</v>
      </c>
      <c r="H429" s="1">
        <f>IF(E429 + H428 &lt; 0, E429 + H428, 0)</f>
        <v>0</v>
      </c>
      <c r="I429" s="1">
        <f>IF(H429 &lt; 0, 1 + I428, 0)</f>
        <v>0</v>
      </c>
      <c r="J429" s="1">
        <f>C429-((ABS(SUM(PL!E429:H429)))*0.125)</f>
        <v>0</v>
      </c>
      <c r="K429" s="1">
        <f>D429-((ABS(SUM(PL!I429:L429)))*0.125)</f>
        <v>0</v>
      </c>
      <c r="L429" s="1">
        <f>J429 + K429</f>
        <v>0</v>
      </c>
      <c r="M429" s="1">
        <f>IF(J429 + M428 &lt; 0, J429 + M428, 0)</f>
        <v>0</v>
      </c>
      <c r="N429" s="1">
        <f>IF(K429 + N428 &lt; 0, K429 + N428, 0)</f>
        <v>0</v>
      </c>
      <c r="O429" s="1">
        <f>IF(L429 + O428 &lt; 0, L429 + O428, 0)</f>
        <v>0</v>
      </c>
      <c r="P429" s="1">
        <f>IF(O429 &lt; 0, 1 + P428, 0)</f>
        <v>0</v>
      </c>
      <c r="Q429" s="1">
        <f>IF(E429&lt;0,1,0)</f>
        <v>0</v>
      </c>
      <c r="R429" s="1">
        <f>IF(Q429=1,E429,0)</f>
        <v>0</v>
      </c>
      <c r="S429" s="1">
        <f>IF(E429&gt;0,1,0)</f>
        <v>0</v>
      </c>
      <c r="T429" s="1">
        <f>IF(S429=1,E429,0)</f>
        <v>0</v>
      </c>
      <c r="U429" s="1">
        <f>IF(R429&lt;-100000000/100,1,0)</f>
        <v>0</v>
      </c>
      <c r="V429" s="1">
        <f>IF(T429&gt;100000000/100,1,0)</f>
        <v>0</v>
      </c>
      <c r="W429" s="1">
        <f>IF(L429&lt;0,1,0)</f>
        <v>0</v>
      </c>
      <c r="X429" s="1">
        <f>IF(W429=1,L429,0)</f>
        <v>0</v>
      </c>
      <c r="Y429" s="1">
        <f>IF(L429&gt;0,1,0)</f>
        <v>0</v>
      </c>
      <c r="Z429" s="1">
        <f>IF(Y429=1,L429,0)</f>
        <v>0</v>
      </c>
      <c r="AA429" s="1">
        <f>IF(X429&lt;-100000000/100,1,0)</f>
        <v>0</v>
      </c>
      <c r="AB429" s="1">
        <f>IF(Z429&gt;100000000/100,1,0)</f>
        <v>0</v>
      </c>
    </row>
    <row r="430" spans="1:28" s="1" customFormat="1">
      <c r="A430" s="3">
        <v>45616</v>
      </c>
      <c r="B430" s="2" t="s">
        <v>14</v>
      </c>
      <c r="C430" s="1">
        <f>SUM(PL!E430:H430)</f>
        <v>0</v>
      </c>
      <c r="D430" s="1">
        <f>SUM(PL!I430:L430)</f>
        <v>0</v>
      </c>
      <c r="E430" s="1">
        <f>SUM(C430:D430)</f>
        <v>0</v>
      </c>
      <c r="F430" s="1">
        <f>IF(C430 + F429 &lt; 0, C430 + F429, 0)</f>
        <v>0</v>
      </c>
      <c r="G430" s="1">
        <f>IF(D430 + G429 &lt; 0, D430 + G429, 0)</f>
        <v>0</v>
      </c>
      <c r="H430" s="1">
        <f>IF(E430 + H429 &lt; 0, E430 + H429, 0)</f>
        <v>0</v>
      </c>
      <c r="I430" s="1">
        <f>IF(H430 &lt; 0, 1 + I429, 0)</f>
        <v>0</v>
      </c>
      <c r="J430" s="1">
        <f>C430-((ABS(SUM(PL!E430:H430)))*0.125)</f>
        <v>0</v>
      </c>
      <c r="K430" s="1">
        <f>D430-((ABS(SUM(PL!I430:L430)))*0.125)</f>
        <v>0</v>
      </c>
      <c r="L430" s="1">
        <f>J430 + K430</f>
        <v>0</v>
      </c>
      <c r="M430" s="1">
        <f>IF(J430 + M429 &lt; 0, J430 + M429, 0)</f>
        <v>0</v>
      </c>
      <c r="N430" s="1">
        <f>IF(K430 + N429 &lt; 0, K430 + N429, 0)</f>
        <v>0</v>
      </c>
      <c r="O430" s="1">
        <f>IF(L430 + O429 &lt; 0, L430 + O429, 0)</f>
        <v>0</v>
      </c>
      <c r="P430" s="1">
        <f>IF(O430 &lt; 0, 1 + P429, 0)</f>
        <v>0</v>
      </c>
      <c r="Q430" s="1">
        <f>IF(E430&lt;0,1,0)</f>
        <v>0</v>
      </c>
      <c r="R430" s="1">
        <f>IF(Q430=1,E430,0)</f>
        <v>0</v>
      </c>
      <c r="S430" s="1">
        <f>IF(E430&gt;0,1,0)</f>
        <v>0</v>
      </c>
      <c r="T430" s="1">
        <f>IF(S430=1,E430,0)</f>
        <v>0</v>
      </c>
      <c r="U430" s="1">
        <f>IF(R430&lt;-100000000/100,1,0)</f>
        <v>0</v>
      </c>
      <c r="V430" s="1">
        <f>IF(T430&gt;100000000/100,1,0)</f>
        <v>0</v>
      </c>
      <c r="W430" s="1">
        <f>IF(L430&lt;0,1,0)</f>
        <v>0</v>
      </c>
      <c r="X430" s="1">
        <f>IF(W430=1,L430,0)</f>
        <v>0</v>
      </c>
      <c r="Y430" s="1">
        <f>IF(L430&gt;0,1,0)</f>
        <v>0</v>
      </c>
      <c r="Z430" s="1">
        <f>IF(Y430=1,L430,0)</f>
        <v>0</v>
      </c>
      <c r="AA430" s="1">
        <f>IF(X430&lt;-100000000/100,1,0)</f>
        <v>0</v>
      </c>
      <c r="AB430" s="1">
        <f>IF(Z430&gt;100000000/100,1,0)</f>
        <v>0</v>
      </c>
    </row>
    <row r="431" spans="1:28" s="1" customFormat="1">
      <c r="A431" s="3">
        <v>45617</v>
      </c>
      <c r="B431" s="2" t="s">
        <v>16</v>
      </c>
      <c r="C431" s="1">
        <f>SUM(PL!E431:H431)</f>
        <v>0</v>
      </c>
      <c r="D431" s="1">
        <f>SUM(PL!I431:L431)</f>
        <v>0</v>
      </c>
      <c r="E431" s="1">
        <f>SUM(C431:D431)</f>
        <v>0</v>
      </c>
      <c r="F431" s="1">
        <f>IF(C431 + F430 &lt; 0, C431 + F430, 0)</f>
        <v>0</v>
      </c>
      <c r="G431" s="1">
        <f>IF(D431 + G430 &lt; 0, D431 + G430, 0)</f>
        <v>0</v>
      </c>
      <c r="H431" s="1">
        <f>IF(E431 + H430 &lt; 0, E431 + H430, 0)</f>
        <v>0</v>
      </c>
      <c r="I431" s="1">
        <f>IF(H431 &lt; 0, 1 + I430, 0)</f>
        <v>0</v>
      </c>
      <c r="J431" s="1">
        <f>C431-((ABS(SUM(PL!E431:H431)))*0.125)</f>
        <v>0</v>
      </c>
      <c r="K431" s="1">
        <f>D431-((ABS(SUM(PL!I431:L431)))*0.125)</f>
        <v>0</v>
      </c>
      <c r="L431" s="1">
        <f>J431 + K431</f>
        <v>0</v>
      </c>
      <c r="M431" s="1">
        <f>IF(J431 + M430 &lt; 0, J431 + M430, 0)</f>
        <v>0</v>
      </c>
      <c r="N431" s="1">
        <f>IF(K431 + N430 &lt; 0, K431 + N430, 0)</f>
        <v>0</v>
      </c>
      <c r="O431" s="1">
        <f>IF(L431 + O430 &lt; 0, L431 + O430, 0)</f>
        <v>0</v>
      </c>
      <c r="P431" s="1">
        <f>IF(O431 &lt; 0, 1 + P430, 0)</f>
        <v>0</v>
      </c>
      <c r="Q431" s="1">
        <f>IF(E431&lt;0,1,0)</f>
        <v>0</v>
      </c>
      <c r="R431" s="1">
        <f>IF(Q431=1,E431,0)</f>
        <v>0</v>
      </c>
      <c r="S431" s="1">
        <f>IF(E431&gt;0,1,0)</f>
        <v>0</v>
      </c>
      <c r="T431" s="1">
        <f>IF(S431=1,E431,0)</f>
        <v>0</v>
      </c>
      <c r="U431" s="1">
        <f>IF(R431&lt;-100000000/100,1,0)</f>
        <v>0</v>
      </c>
      <c r="V431" s="1">
        <f>IF(T431&gt;100000000/100,1,0)</f>
        <v>0</v>
      </c>
      <c r="W431" s="1">
        <f>IF(L431&lt;0,1,0)</f>
        <v>0</v>
      </c>
      <c r="X431" s="1">
        <f>IF(W431=1,L431,0)</f>
        <v>0</v>
      </c>
      <c r="Y431" s="1">
        <f>IF(L431&gt;0,1,0)</f>
        <v>0</v>
      </c>
      <c r="Z431" s="1">
        <f>IF(Y431=1,L431,0)</f>
        <v>0</v>
      </c>
      <c r="AA431" s="1">
        <f>IF(X431&lt;-100000000/100,1,0)</f>
        <v>0</v>
      </c>
      <c r="AB431" s="1">
        <f>IF(Z431&gt;100000000/100,1,0)</f>
        <v>0</v>
      </c>
    </row>
    <row r="432" spans="1:28" s="1" customFormat="1">
      <c r="A432" s="3">
        <v>45618</v>
      </c>
      <c r="B432" s="2" t="s">
        <v>15</v>
      </c>
      <c r="C432" s="1">
        <f>SUM(PL!E432:H432)</f>
        <v>0</v>
      </c>
      <c r="D432" s="1">
        <f>SUM(PL!I432:L432)</f>
        <v>0</v>
      </c>
      <c r="E432" s="1">
        <f>SUM(C432:D432)</f>
        <v>0</v>
      </c>
      <c r="F432" s="1">
        <f>IF(C432 + F431 &lt; 0, C432 + F431, 0)</f>
        <v>0</v>
      </c>
      <c r="G432" s="1">
        <f>IF(D432 + G431 &lt; 0, D432 + G431, 0)</f>
        <v>0</v>
      </c>
      <c r="H432" s="1">
        <f>IF(E432 + H431 &lt; 0, E432 + H431, 0)</f>
        <v>0</v>
      </c>
      <c r="I432" s="1">
        <f>IF(H432 &lt; 0, 1 + I431, 0)</f>
        <v>0</v>
      </c>
      <c r="J432" s="1">
        <f>C432-((ABS(SUM(PL!E432:H432)))*0.125)</f>
        <v>0</v>
      </c>
      <c r="K432" s="1">
        <f>D432-((ABS(SUM(PL!I432:L432)))*0.125)</f>
        <v>0</v>
      </c>
      <c r="L432" s="1">
        <f>J432 + K432</f>
        <v>0</v>
      </c>
      <c r="M432" s="1">
        <f>IF(J432 + M431 &lt; 0, J432 + M431, 0)</f>
        <v>0</v>
      </c>
      <c r="N432" s="1">
        <f>IF(K432 + N431 &lt; 0, K432 + N431, 0)</f>
        <v>0</v>
      </c>
      <c r="O432" s="1">
        <f>IF(L432 + O431 &lt; 0, L432 + O431, 0)</f>
        <v>0</v>
      </c>
      <c r="P432" s="1">
        <f>IF(O432 &lt; 0, 1 + P431, 0)</f>
        <v>0</v>
      </c>
      <c r="Q432" s="1">
        <f>IF(E432&lt;0,1,0)</f>
        <v>0</v>
      </c>
      <c r="R432" s="1">
        <f>IF(Q432=1,E432,0)</f>
        <v>0</v>
      </c>
      <c r="S432" s="1">
        <f>IF(E432&gt;0,1,0)</f>
        <v>0</v>
      </c>
      <c r="T432" s="1">
        <f>IF(S432=1,E432,0)</f>
        <v>0</v>
      </c>
      <c r="U432" s="1">
        <f>IF(R432&lt;-100000000/100,1,0)</f>
        <v>0</v>
      </c>
      <c r="V432" s="1">
        <f>IF(T432&gt;100000000/100,1,0)</f>
        <v>0</v>
      </c>
      <c r="W432" s="1">
        <f>IF(L432&lt;0,1,0)</f>
        <v>0</v>
      </c>
      <c r="X432" s="1">
        <f>IF(W432=1,L432,0)</f>
        <v>0</v>
      </c>
      <c r="Y432" s="1">
        <f>IF(L432&gt;0,1,0)</f>
        <v>0</v>
      </c>
      <c r="Z432" s="1">
        <f>IF(Y432=1,L432,0)</f>
        <v>0</v>
      </c>
      <c r="AA432" s="1">
        <f>IF(X432&lt;-100000000/100,1,0)</f>
        <v>0</v>
      </c>
      <c r="AB432" s="1">
        <f>IF(Z432&gt;100000000/100,1,0)</f>
        <v>0</v>
      </c>
    </row>
    <row r="433" spans="1:28" s="1" customFormat="1">
      <c r="A433" s="3">
        <v>45621</v>
      </c>
      <c r="B433" s="2" t="s">
        <v>12</v>
      </c>
      <c r="C433" s="1">
        <f>SUM(PL!E433:H433)</f>
        <v>0</v>
      </c>
      <c r="D433" s="1">
        <f>SUM(PL!I433:L433)</f>
        <v>0</v>
      </c>
      <c r="E433" s="1">
        <f>SUM(C433:D433)</f>
        <v>0</v>
      </c>
      <c r="F433" s="1">
        <f>IF(C433 + F432 &lt; 0, C433 + F432, 0)</f>
        <v>0</v>
      </c>
      <c r="G433" s="1">
        <f>IF(D433 + G432 &lt; 0, D433 + G432, 0)</f>
        <v>0</v>
      </c>
      <c r="H433" s="1">
        <f>IF(E433 + H432 &lt; 0, E433 + H432, 0)</f>
        <v>0</v>
      </c>
      <c r="I433" s="1">
        <f>IF(H433 &lt; 0, 1 + I432, 0)</f>
        <v>0</v>
      </c>
      <c r="J433" s="1">
        <f>C433-((ABS(SUM(PL!E433:H433)))*0.125)</f>
        <v>0</v>
      </c>
      <c r="K433" s="1">
        <f>D433-((ABS(SUM(PL!I433:L433)))*0.125)</f>
        <v>0</v>
      </c>
      <c r="L433" s="1">
        <f>J433 + K433</f>
        <v>0</v>
      </c>
      <c r="M433" s="1">
        <f>IF(J433 + M432 &lt; 0, J433 + M432, 0)</f>
        <v>0</v>
      </c>
      <c r="N433" s="1">
        <f>IF(K433 + N432 &lt; 0, K433 + N432, 0)</f>
        <v>0</v>
      </c>
      <c r="O433" s="1">
        <f>IF(L433 + O432 &lt; 0, L433 + O432, 0)</f>
        <v>0</v>
      </c>
      <c r="P433" s="1">
        <f>IF(O433 &lt; 0, 1 + P432, 0)</f>
        <v>0</v>
      </c>
      <c r="Q433" s="1">
        <f>IF(E433&lt;0,1,0)</f>
        <v>0</v>
      </c>
      <c r="R433" s="1">
        <f>IF(Q433=1,E433,0)</f>
        <v>0</v>
      </c>
      <c r="S433" s="1">
        <f>IF(E433&gt;0,1,0)</f>
        <v>0</v>
      </c>
      <c r="T433" s="1">
        <f>IF(S433=1,E433,0)</f>
        <v>0</v>
      </c>
      <c r="U433" s="1">
        <f>IF(R433&lt;-100000000/100,1,0)</f>
        <v>0</v>
      </c>
      <c r="V433" s="1">
        <f>IF(T433&gt;100000000/100,1,0)</f>
        <v>0</v>
      </c>
      <c r="W433" s="1">
        <f>IF(L433&lt;0,1,0)</f>
        <v>0</v>
      </c>
      <c r="X433" s="1">
        <f>IF(W433=1,L433,0)</f>
        <v>0</v>
      </c>
      <c r="Y433" s="1">
        <f>IF(L433&gt;0,1,0)</f>
        <v>0</v>
      </c>
      <c r="Z433" s="1">
        <f>IF(Y433=1,L433,0)</f>
        <v>0</v>
      </c>
      <c r="AA433" s="1">
        <f>IF(X433&lt;-100000000/100,1,0)</f>
        <v>0</v>
      </c>
      <c r="AB433" s="1">
        <f>IF(Z433&gt;100000000/100,1,0)</f>
        <v>0</v>
      </c>
    </row>
    <row r="434" spans="1:28" s="1" customFormat="1">
      <c r="A434" s="3">
        <v>45622</v>
      </c>
      <c r="B434" s="2" t="s">
        <v>13</v>
      </c>
      <c r="C434" s="1">
        <f>SUM(PL!E434:H434)</f>
        <v>0</v>
      </c>
      <c r="D434" s="1">
        <f>SUM(PL!I434:L434)</f>
        <v>0</v>
      </c>
      <c r="E434" s="1">
        <f>SUM(C434:D434)</f>
        <v>0</v>
      </c>
      <c r="F434" s="1">
        <f>IF(C434 + F433 &lt; 0, C434 + F433, 0)</f>
        <v>0</v>
      </c>
      <c r="G434" s="1">
        <f>IF(D434 + G433 &lt; 0, D434 + G433, 0)</f>
        <v>0</v>
      </c>
      <c r="H434" s="1">
        <f>IF(E434 + H433 &lt; 0, E434 + H433, 0)</f>
        <v>0</v>
      </c>
      <c r="I434" s="1">
        <f>IF(H434 &lt; 0, 1 + I433, 0)</f>
        <v>0</v>
      </c>
      <c r="J434" s="1">
        <f>C434-((ABS(SUM(PL!E434:H434)))*0.125)</f>
        <v>0</v>
      </c>
      <c r="K434" s="1">
        <f>D434-((ABS(SUM(PL!I434:L434)))*0.125)</f>
        <v>0</v>
      </c>
      <c r="L434" s="1">
        <f>J434 + K434</f>
        <v>0</v>
      </c>
      <c r="M434" s="1">
        <f>IF(J434 + M433 &lt; 0, J434 + M433, 0)</f>
        <v>0</v>
      </c>
      <c r="N434" s="1">
        <f>IF(K434 + N433 &lt; 0, K434 + N433, 0)</f>
        <v>0</v>
      </c>
      <c r="O434" s="1">
        <f>IF(L434 + O433 &lt; 0, L434 + O433, 0)</f>
        <v>0</v>
      </c>
      <c r="P434" s="1">
        <f>IF(O434 &lt; 0, 1 + P433, 0)</f>
        <v>0</v>
      </c>
      <c r="Q434" s="1">
        <f>IF(E434&lt;0,1,0)</f>
        <v>0</v>
      </c>
      <c r="R434" s="1">
        <f>IF(Q434=1,E434,0)</f>
        <v>0</v>
      </c>
      <c r="S434" s="1">
        <f>IF(E434&gt;0,1,0)</f>
        <v>0</v>
      </c>
      <c r="T434" s="1">
        <f>IF(S434=1,E434,0)</f>
        <v>0</v>
      </c>
      <c r="U434" s="1">
        <f>IF(R434&lt;-100000000/100,1,0)</f>
        <v>0</v>
      </c>
      <c r="V434" s="1">
        <f>IF(T434&gt;100000000/100,1,0)</f>
        <v>0</v>
      </c>
      <c r="W434" s="1">
        <f>IF(L434&lt;0,1,0)</f>
        <v>0</v>
      </c>
      <c r="X434" s="1">
        <f>IF(W434=1,L434,0)</f>
        <v>0</v>
      </c>
      <c r="Y434" s="1">
        <f>IF(L434&gt;0,1,0)</f>
        <v>0</v>
      </c>
      <c r="Z434" s="1">
        <f>IF(Y434=1,L434,0)</f>
        <v>0</v>
      </c>
      <c r="AA434" s="1">
        <f>IF(X434&lt;-100000000/100,1,0)</f>
        <v>0</v>
      </c>
      <c r="AB434" s="1">
        <f>IF(Z434&gt;100000000/100,1,0)</f>
        <v>0</v>
      </c>
    </row>
    <row r="435" spans="1:28" s="1" customFormat="1">
      <c r="A435" s="3">
        <v>45623</v>
      </c>
      <c r="B435" s="2" t="s">
        <v>14</v>
      </c>
      <c r="C435" s="1">
        <f>SUM(PL!E435:H435)</f>
        <v>0</v>
      </c>
      <c r="D435" s="1">
        <f>SUM(PL!I435:L435)</f>
        <v>0</v>
      </c>
      <c r="E435" s="1">
        <f>SUM(C435:D435)</f>
        <v>0</v>
      </c>
      <c r="F435" s="1">
        <f>IF(C435 + F434 &lt; 0, C435 + F434, 0)</f>
        <v>0</v>
      </c>
      <c r="G435" s="1">
        <f>IF(D435 + G434 &lt; 0, D435 + G434, 0)</f>
        <v>0</v>
      </c>
      <c r="H435" s="1">
        <f>IF(E435 + H434 &lt; 0, E435 + H434, 0)</f>
        <v>0</v>
      </c>
      <c r="I435" s="1">
        <f>IF(H435 &lt; 0, 1 + I434, 0)</f>
        <v>0</v>
      </c>
      <c r="J435" s="1">
        <f>C435-((ABS(SUM(PL!E435:H435)))*0.125)</f>
        <v>0</v>
      </c>
      <c r="K435" s="1">
        <f>D435-((ABS(SUM(PL!I435:L435)))*0.125)</f>
        <v>0</v>
      </c>
      <c r="L435" s="1">
        <f>J435 + K435</f>
        <v>0</v>
      </c>
      <c r="M435" s="1">
        <f>IF(J435 + M434 &lt; 0, J435 + M434, 0)</f>
        <v>0</v>
      </c>
      <c r="N435" s="1">
        <f>IF(K435 + N434 &lt; 0, K435 + N434, 0)</f>
        <v>0</v>
      </c>
      <c r="O435" s="1">
        <f>IF(L435 + O434 &lt; 0, L435 + O434, 0)</f>
        <v>0</v>
      </c>
      <c r="P435" s="1">
        <f>IF(O435 &lt; 0, 1 + P434, 0)</f>
        <v>0</v>
      </c>
      <c r="Q435" s="1">
        <f>IF(E435&lt;0,1,0)</f>
        <v>0</v>
      </c>
      <c r="R435" s="1">
        <f>IF(Q435=1,E435,0)</f>
        <v>0</v>
      </c>
      <c r="S435" s="1">
        <f>IF(E435&gt;0,1,0)</f>
        <v>0</v>
      </c>
      <c r="T435" s="1">
        <f>IF(S435=1,E435,0)</f>
        <v>0</v>
      </c>
      <c r="U435" s="1">
        <f>IF(R435&lt;-100000000/100,1,0)</f>
        <v>0</v>
      </c>
      <c r="V435" s="1">
        <f>IF(T435&gt;100000000/100,1,0)</f>
        <v>0</v>
      </c>
      <c r="W435" s="1">
        <f>IF(L435&lt;0,1,0)</f>
        <v>0</v>
      </c>
      <c r="X435" s="1">
        <f>IF(W435=1,L435,0)</f>
        <v>0</v>
      </c>
      <c r="Y435" s="1">
        <f>IF(L435&gt;0,1,0)</f>
        <v>0</v>
      </c>
      <c r="Z435" s="1">
        <f>IF(Y435=1,L435,0)</f>
        <v>0</v>
      </c>
      <c r="AA435" s="1">
        <f>IF(X435&lt;-100000000/100,1,0)</f>
        <v>0</v>
      </c>
      <c r="AB435" s="1">
        <f>IF(Z435&gt;100000000/100,1,0)</f>
        <v>0</v>
      </c>
    </row>
    <row r="436" spans="1:28" s="1" customFormat="1">
      <c r="A436" s="3">
        <v>45624</v>
      </c>
      <c r="B436" s="2" t="s">
        <v>16</v>
      </c>
      <c r="C436" s="1">
        <f>SUM(PL!E436:H436)</f>
        <v>0</v>
      </c>
      <c r="D436" s="1">
        <f>SUM(PL!I436:L436)</f>
        <v>0</v>
      </c>
      <c r="E436" s="1">
        <f>SUM(C436:D436)</f>
        <v>0</v>
      </c>
      <c r="F436" s="1">
        <f>IF(C436 + F435 &lt; 0, C436 + F435, 0)</f>
        <v>0</v>
      </c>
      <c r="G436" s="1">
        <f>IF(D436 + G435 &lt; 0, D436 + G435, 0)</f>
        <v>0</v>
      </c>
      <c r="H436" s="1">
        <f>IF(E436 + H435 &lt; 0, E436 + H435, 0)</f>
        <v>0</v>
      </c>
      <c r="I436" s="1">
        <f>IF(H436 &lt; 0, 1 + I435, 0)</f>
        <v>0</v>
      </c>
      <c r="J436" s="1">
        <f>C436-((ABS(SUM(PL!E436:H436)))*0.125)</f>
        <v>0</v>
      </c>
      <c r="K436" s="1">
        <f>D436-((ABS(SUM(PL!I436:L436)))*0.125)</f>
        <v>0</v>
      </c>
      <c r="L436" s="1">
        <f>J436 + K436</f>
        <v>0</v>
      </c>
      <c r="M436" s="1">
        <f>IF(J436 + M435 &lt; 0, J436 + M435, 0)</f>
        <v>0</v>
      </c>
      <c r="N436" s="1">
        <f>IF(K436 + N435 &lt; 0, K436 + N435, 0)</f>
        <v>0</v>
      </c>
      <c r="O436" s="1">
        <f>IF(L436 + O435 &lt; 0, L436 + O435, 0)</f>
        <v>0</v>
      </c>
      <c r="P436" s="1">
        <f>IF(O436 &lt; 0, 1 + P435, 0)</f>
        <v>0</v>
      </c>
      <c r="Q436" s="1">
        <f>IF(E436&lt;0,1,0)</f>
        <v>0</v>
      </c>
      <c r="R436" s="1">
        <f>IF(Q436=1,E436,0)</f>
        <v>0</v>
      </c>
      <c r="S436" s="1">
        <f>IF(E436&gt;0,1,0)</f>
        <v>0</v>
      </c>
      <c r="T436" s="1">
        <f>IF(S436=1,E436,0)</f>
        <v>0</v>
      </c>
      <c r="U436" s="1">
        <f>IF(R436&lt;-100000000/100,1,0)</f>
        <v>0</v>
      </c>
      <c r="V436" s="1">
        <f>IF(T436&gt;100000000/100,1,0)</f>
        <v>0</v>
      </c>
      <c r="W436" s="1">
        <f>IF(L436&lt;0,1,0)</f>
        <v>0</v>
      </c>
      <c r="X436" s="1">
        <f>IF(W436=1,L436,0)</f>
        <v>0</v>
      </c>
      <c r="Y436" s="1">
        <f>IF(L436&gt;0,1,0)</f>
        <v>0</v>
      </c>
      <c r="Z436" s="1">
        <f>IF(Y436=1,L436,0)</f>
        <v>0</v>
      </c>
      <c r="AA436" s="1">
        <f>IF(X436&lt;-100000000/100,1,0)</f>
        <v>0</v>
      </c>
      <c r="AB436" s="1">
        <f>IF(Z436&gt;100000000/100,1,0)</f>
        <v>0</v>
      </c>
    </row>
    <row r="437" spans="1:28" s="1" customFormat="1">
      <c r="A437" s="3">
        <v>45625</v>
      </c>
      <c r="B437" s="2" t="s">
        <v>15</v>
      </c>
      <c r="C437" s="1">
        <f>SUM(PL!E437:H437)</f>
        <v>0</v>
      </c>
      <c r="D437" s="1">
        <f>SUM(PL!I437:L437)</f>
        <v>0</v>
      </c>
      <c r="E437" s="1">
        <f>SUM(C437:D437)</f>
        <v>0</v>
      </c>
      <c r="F437" s="1">
        <f>IF(C437 + F436 &lt; 0, C437 + F436, 0)</f>
        <v>0</v>
      </c>
      <c r="G437" s="1">
        <f>IF(D437 + G436 &lt; 0, D437 + G436, 0)</f>
        <v>0</v>
      </c>
      <c r="H437" s="1">
        <f>IF(E437 + H436 &lt; 0, E437 + H436, 0)</f>
        <v>0</v>
      </c>
      <c r="I437" s="1">
        <f>IF(H437 &lt; 0, 1 + I436, 0)</f>
        <v>0</v>
      </c>
      <c r="J437" s="1">
        <f>C437-((ABS(SUM(PL!E437:H437)))*0.125)</f>
        <v>0</v>
      </c>
      <c r="K437" s="1">
        <f>D437-((ABS(SUM(PL!I437:L437)))*0.125)</f>
        <v>0</v>
      </c>
      <c r="L437" s="1">
        <f>J437 + K437</f>
        <v>0</v>
      </c>
      <c r="M437" s="1">
        <f>IF(J437 + M436 &lt; 0, J437 + M436, 0)</f>
        <v>0</v>
      </c>
      <c r="N437" s="1">
        <f>IF(K437 + N436 &lt; 0, K437 + N436, 0)</f>
        <v>0</v>
      </c>
      <c r="O437" s="1">
        <f>IF(L437 + O436 &lt; 0, L437 + O436, 0)</f>
        <v>0</v>
      </c>
      <c r="P437" s="1">
        <f>IF(O437 &lt; 0, 1 + P436, 0)</f>
        <v>0</v>
      </c>
      <c r="Q437" s="1">
        <f>IF(E437&lt;0,1,0)</f>
        <v>0</v>
      </c>
      <c r="R437" s="1">
        <f>IF(Q437=1,E437,0)</f>
        <v>0</v>
      </c>
      <c r="S437" s="1">
        <f>IF(E437&gt;0,1,0)</f>
        <v>0</v>
      </c>
      <c r="T437" s="1">
        <f>IF(S437=1,E437,0)</f>
        <v>0</v>
      </c>
      <c r="U437" s="1">
        <f>IF(R437&lt;-100000000/100,1,0)</f>
        <v>0</v>
      </c>
      <c r="V437" s="1">
        <f>IF(T437&gt;100000000/100,1,0)</f>
        <v>0</v>
      </c>
      <c r="W437" s="1">
        <f>IF(L437&lt;0,1,0)</f>
        <v>0</v>
      </c>
      <c r="X437" s="1">
        <f>IF(W437=1,L437,0)</f>
        <v>0</v>
      </c>
      <c r="Y437" s="1">
        <f>IF(L437&gt;0,1,0)</f>
        <v>0</v>
      </c>
      <c r="Z437" s="1">
        <f>IF(Y437=1,L437,0)</f>
        <v>0</v>
      </c>
      <c r="AA437" s="1">
        <f>IF(X437&lt;-100000000/100,1,0)</f>
        <v>0</v>
      </c>
      <c r="AB437" s="1">
        <f>IF(Z437&gt;100000000/100,1,0)</f>
        <v>0</v>
      </c>
    </row>
    <row r="438" spans="1:28" s="1" customFormat="1">
      <c r="A438" s="3">
        <v>45628</v>
      </c>
      <c r="B438" s="2" t="s">
        <v>12</v>
      </c>
      <c r="C438" s="1">
        <f>SUM(PL!E438:H438)</f>
        <v>0</v>
      </c>
      <c r="D438" s="1">
        <f>SUM(PL!I438:L438)</f>
        <v>0</v>
      </c>
      <c r="E438" s="1">
        <f>SUM(C438:D438)</f>
        <v>0</v>
      </c>
      <c r="F438" s="1">
        <f>IF(C438 + F437 &lt; 0, C438 + F437, 0)</f>
        <v>0</v>
      </c>
      <c r="G438" s="1">
        <f>IF(D438 + G437 &lt; 0, D438 + G437, 0)</f>
        <v>0</v>
      </c>
      <c r="H438" s="1">
        <f>IF(E438 + H437 &lt; 0, E438 + H437, 0)</f>
        <v>0</v>
      </c>
      <c r="I438" s="1">
        <f>IF(H438 &lt; 0, 1 + I437, 0)</f>
        <v>0</v>
      </c>
      <c r="J438" s="1">
        <f>C438-((ABS(SUM(PL!E438:H438)))*0.125)</f>
        <v>0</v>
      </c>
      <c r="K438" s="1">
        <f>D438-((ABS(SUM(PL!I438:L438)))*0.125)</f>
        <v>0</v>
      </c>
      <c r="L438" s="1">
        <f>J438 + K438</f>
        <v>0</v>
      </c>
      <c r="M438" s="1">
        <f>IF(J438 + M437 &lt; 0, J438 + M437, 0)</f>
        <v>0</v>
      </c>
      <c r="N438" s="1">
        <f>IF(K438 + N437 &lt; 0, K438 + N437, 0)</f>
        <v>0</v>
      </c>
      <c r="O438" s="1">
        <f>IF(L438 + O437 &lt; 0, L438 + O437, 0)</f>
        <v>0</v>
      </c>
      <c r="P438" s="1">
        <f>IF(O438 &lt; 0, 1 + P437, 0)</f>
        <v>0</v>
      </c>
      <c r="Q438" s="1">
        <f>IF(E438&lt;0,1,0)</f>
        <v>0</v>
      </c>
      <c r="R438" s="1">
        <f>IF(Q438=1,E438,0)</f>
        <v>0</v>
      </c>
      <c r="S438" s="1">
        <f>IF(E438&gt;0,1,0)</f>
        <v>0</v>
      </c>
      <c r="T438" s="1">
        <f>IF(S438=1,E438,0)</f>
        <v>0</v>
      </c>
      <c r="U438" s="1">
        <f>IF(R438&lt;-100000000/100,1,0)</f>
        <v>0</v>
      </c>
      <c r="V438" s="1">
        <f>IF(T438&gt;100000000/100,1,0)</f>
        <v>0</v>
      </c>
      <c r="W438" s="1">
        <f>IF(L438&lt;0,1,0)</f>
        <v>0</v>
      </c>
      <c r="X438" s="1">
        <f>IF(W438=1,L438,0)</f>
        <v>0</v>
      </c>
      <c r="Y438" s="1">
        <f>IF(L438&gt;0,1,0)</f>
        <v>0</v>
      </c>
      <c r="Z438" s="1">
        <f>IF(Y438=1,L438,0)</f>
        <v>0</v>
      </c>
      <c r="AA438" s="1">
        <f>IF(X438&lt;-100000000/100,1,0)</f>
        <v>0</v>
      </c>
      <c r="AB438" s="1">
        <f>IF(Z438&gt;100000000/100,1,0)</f>
        <v>0</v>
      </c>
    </row>
    <row r="439" spans="1:28" s="1" customFormat="1">
      <c r="A439" s="3">
        <v>45629</v>
      </c>
      <c r="B439" s="2" t="s">
        <v>13</v>
      </c>
      <c r="C439" s="1">
        <f>SUM(PL!E439:H439)</f>
        <v>0</v>
      </c>
      <c r="D439" s="1">
        <f>SUM(PL!I439:L439)</f>
        <v>0</v>
      </c>
      <c r="E439" s="1">
        <f>SUM(C439:D439)</f>
        <v>0</v>
      </c>
      <c r="F439" s="1">
        <f>IF(C439 + F438 &lt; 0, C439 + F438, 0)</f>
        <v>0</v>
      </c>
      <c r="G439" s="1">
        <f>IF(D439 + G438 &lt; 0, D439 + G438, 0)</f>
        <v>0</v>
      </c>
      <c r="H439" s="1">
        <f>IF(E439 + H438 &lt; 0, E439 + H438, 0)</f>
        <v>0</v>
      </c>
      <c r="I439" s="1">
        <f>IF(H439 &lt; 0, 1 + I438, 0)</f>
        <v>0</v>
      </c>
      <c r="J439" s="1">
        <f>C439-((ABS(SUM(PL!E439:H439)))*0.125)</f>
        <v>0</v>
      </c>
      <c r="K439" s="1">
        <f>D439-((ABS(SUM(PL!I439:L439)))*0.125)</f>
        <v>0</v>
      </c>
      <c r="L439" s="1">
        <f>J439 + K439</f>
        <v>0</v>
      </c>
      <c r="M439" s="1">
        <f>IF(J439 + M438 &lt; 0, J439 + M438, 0)</f>
        <v>0</v>
      </c>
      <c r="N439" s="1">
        <f>IF(K439 + N438 &lt; 0, K439 + N438, 0)</f>
        <v>0</v>
      </c>
      <c r="O439" s="1">
        <f>IF(L439 + O438 &lt; 0, L439 + O438, 0)</f>
        <v>0</v>
      </c>
      <c r="P439" s="1">
        <f>IF(O439 &lt; 0, 1 + P438, 0)</f>
        <v>0</v>
      </c>
      <c r="Q439" s="1">
        <f>IF(E439&lt;0,1,0)</f>
        <v>0</v>
      </c>
      <c r="R439" s="1">
        <f>IF(Q439=1,E439,0)</f>
        <v>0</v>
      </c>
      <c r="S439" s="1">
        <f>IF(E439&gt;0,1,0)</f>
        <v>0</v>
      </c>
      <c r="T439" s="1">
        <f>IF(S439=1,E439,0)</f>
        <v>0</v>
      </c>
      <c r="U439" s="1">
        <f>IF(R439&lt;-100000000/100,1,0)</f>
        <v>0</v>
      </c>
      <c r="V439" s="1">
        <f>IF(T439&gt;100000000/100,1,0)</f>
        <v>0</v>
      </c>
      <c r="W439" s="1">
        <f>IF(L439&lt;0,1,0)</f>
        <v>0</v>
      </c>
      <c r="X439" s="1">
        <f>IF(W439=1,L439,0)</f>
        <v>0</v>
      </c>
      <c r="Y439" s="1">
        <f>IF(L439&gt;0,1,0)</f>
        <v>0</v>
      </c>
      <c r="Z439" s="1">
        <f>IF(Y439=1,L439,0)</f>
        <v>0</v>
      </c>
      <c r="AA439" s="1">
        <f>IF(X439&lt;-100000000/100,1,0)</f>
        <v>0</v>
      </c>
      <c r="AB439" s="1">
        <f>IF(Z439&gt;100000000/100,1,0)</f>
        <v>0</v>
      </c>
    </row>
    <row r="440" spans="1:28" s="1" customFormat="1">
      <c r="A440" s="3">
        <v>45630</v>
      </c>
      <c r="B440" s="2" t="s">
        <v>14</v>
      </c>
      <c r="C440" s="1">
        <f>SUM(PL!E440:H440)</f>
        <v>0</v>
      </c>
      <c r="D440" s="1">
        <f>SUM(PL!I440:L440)</f>
        <v>0</v>
      </c>
      <c r="E440" s="1">
        <f>SUM(C440:D440)</f>
        <v>0</v>
      </c>
      <c r="F440" s="1">
        <f>IF(C440 + F439 &lt; 0, C440 + F439, 0)</f>
        <v>0</v>
      </c>
      <c r="G440" s="1">
        <f>IF(D440 + G439 &lt; 0, D440 + G439, 0)</f>
        <v>0</v>
      </c>
      <c r="H440" s="1">
        <f>IF(E440 + H439 &lt; 0, E440 + H439, 0)</f>
        <v>0</v>
      </c>
      <c r="I440" s="1">
        <f>IF(H440 &lt; 0, 1 + I439, 0)</f>
        <v>0</v>
      </c>
      <c r="J440" s="1">
        <f>C440-((ABS(SUM(PL!E440:H440)))*0.125)</f>
        <v>0</v>
      </c>
      <c r="K440" s="1">
        <f>D440-((ABS(SUM(PL!I440:L440)))*0.125)</f>
        <v>0</v>
      </c>
      <c r="L440" s="1">
        <f>J440 + K440</f>
        <v>0</v>
      </c>
      <c r="M440" s="1">
        <f>IF(J440 + M439 &lt; 0, J440 + M439, 0)</f>
        <v>0</v>
      </c>
      <c r="N440" s="1">
        <f>IF(K440 + N439 &lt; 0, K440 + N439, 0)</f>
        <v>0</v>
      </c>
      <c r="O440" s="1">
        <f>IF(L440 + O439 &lt; 0, L440 + O439, 0)</f>
        <v>0</v>
      </c>
      <c r="P440" s="1">
        <f>IF(O440 &lt; 0, 1 + P439, 0)</f>
        <v>0</v>
      </c>
      <c r="Q440" s="1">
        <f>IF(E440&lt;0,1,0)</f>
        <v>0</v>
      </c>
      <c r="R440" s="1">
        <f>IF(Q440=1,E440,0)</f>
        <v>0</v>
      </c>
      <c r="S440" s="1">
        <f>IF(E440&gt;0,1,0)</f>
        <v>0</v>
      </c>
      <c r="T440" s="1">
        <f>IF(S440=1,E440,0)</f>
        <v>0</v>
      </c>
      <c r="U440" s="1">
        <f>IF(R440&lt;-100000000/100,1,0)</f>
        <v>0</v>
      </c>
      <c r="V440" s="1">
        <f>IF(T440&gt;100000000/100,1,0)</f>
        <v>0</v>
      </c>
      <c r="W440" s="1">
        <f>IF(L440&lt;0,1,0)</f>
        <v>0</v>
      </c>
      <c r="X440" s="1">
        <f>IF(W440=1,L440,0)</f>
        <v>0</v>
      </c>
      <c r="Y440" s="1">
        <f>IF(L440&gt;0,1,0)</f>
        <v>0</v>
      </c>
      <c r="Z440" s="1">
        <f>IF(Y440=1,L440,0)</f>
        <v>0</v>
      </c>
      <c r="AA440" s="1">
        <f>IF(X440&lt;-100000000/100,1,0)</f>
        <v>0</v>
      </c>
      <c r="AB440" s="1">
        <f>IF(Z440&gt;100000000/100,1,0)</f>
        <v>0</v>
      </c>
    </row>
    <row r="441" spans="1:28" s="1" customFormat="1">
      <c r="A441" s="3">
        <v>45631</v>
      </c>
      <c r="B441" s="2" t="s">
        <v>16</v>
      </c>
      <c r="C441" s="1">
        <f>SUM(PL!E441:H441)</f>
        <v>0</v>
      </c>
      <c r="D441" s="1">
        <f>SUM(PL!I441:L441)</f>
        <v>0</v>
      </c>
      <c r="E441" s="1">
        <f>SUM(C441:D441)</f>
        <v>0</v>
      </c>
      <c r="F441" s="1">
        <f>IF(C441 + F440 &lt; 0, C441 + F440, 0)</f>
        <v>0</v>
      </c>
      <c r="G441" s="1">
        <f>IF(D441 + G440 &lt; 0, D441 + G440, 0)</f>
        <v>0</v>
      </c>
      <c r="H441" s="1">
        <f>IF(E441 + H440 &lt; 0, E441 + H440, 0)</f>
        <v>0</v>
      </c>
      <c r="I441" s="1">
        <f>IF(H441 &lt; 0, 1 + I440, 0)</f>
        <v>0</v>
      </c>
      <c r="J441" s="1">
        <f>C441-((ABS(SUM(PL!E441:H441)))*0.125)</f>
        <v>0</v>
      </c>
      <c r="K441" s="1">
        <f>D441-((ABS(SUM(PL!I441:L441)))*0.125)</f>
        <v>0</v>
      </c>
      <c r="L441" s="1">
        <f>J441 + K441</f>
        <v>0</v>
      </c>
      <c r="M441" s="1">
        <f>IF(J441 + M440 &lt; 0, J441 + M440, 0)</f>
        <v>0</v>
      </c>
      <c r="N441" s="1">
        <f>IF(K441 + N440 &lt; 0, K441 + N440, 0)</f>
        <v>0</v>
      </c>
      <c r="O441" s="1">
        <f>IF(L441 + O440 &lt; 0, L441 + O440, 0)</f>
        <v>0</v>
      </c>
      <c r="P441" s="1">
        <f>IF(O441 &lt; 0, 1 + P440, 0)</f>
        <v>0</v>
      </c>
      <c r="Q441" s="1">
        <f>IF(E441&lt;0,1,0)</f>
        <v>0</v>
      </c>
      <c r="R441" s="1">
        <f>IF(Q441=1,E441,0)</f>
        <v>0</v>
      </c>
      <c r="S441" s="1">
        <f>IF(E441&gt;0,1,0)</f>
        <v>0</v>
      </c>
      <c r="T441" s="1">
        <f>IF(S441=1,E441,0)</f>
        <v>0</v>
      </c>
      <c r="U441" s="1">
        <f>IF(R441&lt;-100000000/100,1,0)</f>
        <v>0</v>
      </c>
      <c r="V441" s="1">
        <f>IF(T441&gt;100000000/100,1,0)</f>
        <v>0</v>
      </c>
      <c r="W441" s="1">
        <f>IF(L441&lt;0,1,0)</f>
        <v>0</v>
      </c>
      <c r="X441" s="1">
        <f>IF(W441=1,L441,0)</f>
        <v>0</v>
      </c>
      <c r="Y441" s="1">
        <f>IF(L441&gt;0,1,0)</f>
        <v>0</v>
      </c>
      <c r="Z441" s="1">
        <f>IF(Y441=1,L441,0)</f>
        <v>0</v>
      </c>
      <c r="AA441" s="1">
        <f>IF(X441&lt;-100000000/100,1,0)</f>
        <v>0</v>
      </c>
      <c r="AB441" s="1">
        <f>IF(Z441&gt;100000000/100,1,0)</f>
        <v>0</v>
      </c>
    </row>
    <row r="442" spans="1:28" s="1" customFormat="1">
      <c r="A442" s="3">
        <v>45632</v>
      </c>
      <c r="B442" s="2" t="s">
        <v>15</v>
      </c>
      <c r="C442" s="1">
        <f>SUM(PL!E442:H442)</f>
        <v>0</v>
      </c>
      <c r="D442" s="1">
        <f>SUM(PL!I442:L442)</f>
        <v>0</v>
      </c>
      <c r="E442" s="1">
        <f>SUM(C442:D442)</f>
        <v>0</v>
      </c>
      <c r="F442" s="1">
        <f>IF(C442 + F441 &lt; 0, C442 + F441, 0)</f>
        <v>0</v>
      </c>
      <c r="G442" s="1">
        <f>IF(D442 + G441 &lt; 0, D442 + G441, 0)</f>
        <v>0</v>
      </c>
      <c r="H442" s="1">
        <f>IF(E442 + H441 &lt; 0, E442 + H441, 0)</f>
        <v>0</v>
      </c>
      <c r="I442" s="1">
        <f>IF(H442 &lt; 0, 1 + I441, 0)</f>
        <v>0</v>
      </c>
      <c r="J442" s="1">
        <f>C442-((ABS(SUM(PL!E442:H442)))*0.125)</f>
        <v>0</v>
      </c>
      <c r="K442" s="1">
        <f>D442-((ABS(SUM(PL!I442:L442)))*0.125)</f>
        <v>0</v>
      </c>
      <c r="L442" s="1">
        <f>J442 + K442</f>
        <v>0</v>
      </c>
      <c r="M442" s="1">
        <f>IF(J442 + M441 &lt; 0, J442 + M441, 0)</f>
        <v>0</v>
      </c>
      <c r="N442" s="1">
        <f>IF(K442 + N441 &lt; 0, K442 + N441, 0)</f>
        <v>0</v>
      </c>
      <c r="O442" s="1">
        <f>IF(L442 + O441 &lt; 0, L442 + O441, 0)</f>
        <v>0</v>
      </c>
      <c r="P442" s="1">
        <f>IF(O442 &lt; 0, 1 + P441, 0)</f>
        <v>0</v>
      </c>
      <c r="Q442" s="1">
        <f>IF(E442&lt;0,1,0)</f>
        <v>0</v>
      </c>
      <c r="R442" s="1">
        <f>IF(Q442=1,E442,0)</f>
        <v>0</v>
      </c>
      <c r="S442" s="1">
        <f>IF(E442&gt;0,1,0)</f>
        <v>0</v>
      </c>
      <c r="T442" s="1">
        <f>IF(S442=1,E442,0)</f>
        <v>0</v>
      </c>
      <c r="U442" s="1">
        <f>IF(R442&lt;-100000000/100,1,0)</f>
        <v>0</v>
      </c>
      <c r="V442" s="1">
        <f>IF(T442&gt;100000000/100,1,0)</f>
        <v>0</v>
      </c>
      <c r="W442" s="1">
        <f>IF(L442&lt;0,1,0)</f>
        <v>0</v>
      </c>
      <c r="X442" s="1">
        <f>IF(W442=1,L442,0)</f>
        <v>0</v>
      </c>
      <c r="Y442" s="1">
        <f>IF(L442&gt;0,1,0)</f>
        <v>0</v>
      </c>
      <c r="Z442" s="1">
        <f>IF(Y442=1,L442,0)</f>
        <v>0</v>
      </c>
      <c r="AA442" s="1">
        <f>IF(X442&lt;-100000000/100,1,0)</f>
        <v>0</v>
      </c>
      <c r="AB442" s="1">
        <f>IF(Z442&gt;100000000/100,1,0)</f>
        <v>0</v>
      </c>
    </row>
    <row r="443" spans="1:28" s="1" customFormat="1">
      <c r="A443" s="3">
        <v>45635</v>
      </c>
      <c r="B443" s="2" t="s">
        <v>12</v>
      </c>
      <c r="C443" s="1">
        <f>SUM(PL!E443:H443)</f>
        <v>0</v>
      </c>
      <c r="D443" s="1">
        <f>SUM(PL!I443:L443)</f>
        <v>0</v>
      </c>
      <c r="E443" s="1">
        <f>SUM(C443:D443)</f>
        <v>0</v>
      </c>
      <c r="F443" s="1">
        <f>IF(C443 + F442 &lt; 0, C443 + F442, 0)</f>
        <v>0</v>
      </c>
      <c r="G443" s="1">
        <f>IF(D443 + G442 &lt; 0, D443 + G442, 0)</f>
        <v>0</v>
      </c>
      <c r="H443" s="1">
        <f>IF(E443 + H442 &lt; 0, E443 + H442, 0)</f>
        <v>0</v>
      </c>
      <c r="I443" s="1">
        <f>IF(H443 &lt; 0, 1 + I442, 0)</f>
        <v>0</v>
      </c>
      <c r="J443" s="1">
        <f>C443-((ABS(SUM(PL!E443:H443)))*0.125)</f>
        <v>0</v>
      </c>
      <c r="K443" s="1">
        <f>D443-((ABS(SUM(PL!I443:L443)))*0.125)</f>
        <v>0</v>
      </c>
      <c r="L443" s="1">
        <f>J443 + K443</f>
        <v>0</v>
      </c>
      <c r="M443" s="1">
        <f>IF(J443 + M442 &lt; 0, J443 + M442, 0)</f>
        <v>0</v>
      </c>
      <c r="N443" s="1">
        <f>IF(K443 + N442 &lt; 0, K443 + N442, 0)</f>
        <v>0</v>
      </c>
      <c r="O443" s="1">
        <f>IF(L443 + O442 &lt; 0, L443 + O442, 0)</f>
        <v>0</v>
      </c>
      <c r="P443" s="1">
        <f>IF(O443 &lt; 0, 1 + P442, 0)</f>
        <v>0</v>
      </c>
      <c r="Q443" s="1">
        <f>IF(E443&lt;0,1,0)</f>
        <v>0</v>
      </c>
      <c r="R443" s="1">
        <f>IF(Q443=1,E443,0)</f>
        <v>0</v>
      </c>
      <c r="S443" s="1">
        <f>IF(E443&gt;0,1,0)</f>
        <v>0</v>
      </c>
      <c r="T443" s="1">
        <f>IF(S443=1,E443,0)</f>
        <v>0</v>
      </c>
      <c r="U443" s="1">
        <f>IF(R443&lt;-100000000/100,1,0)</f>
        <v>0</v>
      </c>
      <c r="V443" s="1">
        <f>IF(T443&gt;100000000/100,1,0)</f>
        <v>0</v>
      </c>
      <c r="W443" s="1">
        <f>IF(L443&lt;0,1,0)</f>
        <v>0</v>
      </c>
      <c r="X443" s="1">
        <f>IF(W443=1,L443,0)</f>
        <v>0</v>
      </c>
      <c r="Y443" s="1">
        <f>IF(L443&gt;0,1,0)</f>
        <v>0</v>
      </c>
      <c r="Z443" s="1">
        <f>IF(Y443=1,L443,0)</f>
        <v>0</v>
      </c>
      <c r="AA443" s="1">
        <f>IF(X443&lt;-100000000/100,1,0)</f>
        <v>0</v>
      </c>
      <c r="AB443" s="1">
        <f>IF(Z443&gt;100000000/100,1,0)</f>
        <v>0</v>
      </c>
    </row>
    <row r="444" spans="1:28" s="1" customFormat="1">
      <c r="A444" s="3">
        <v>45636</v>
      </c>
      <c r="B444" s="2" t="s">
        <v>13</v>
      </c>
      <c r="C444" s="1">
        <f>SUM(PL!E444:H444)</f>
        <v>0</v>
      </c>
      <c r="D444" s="1">
        <f>SUM(PL!I444:L444)</f>
        <v>0</v>
      </c>
      <c r="E444" s="1">
        <f>SUM(C444:D444)</f>
        <v>0</v>
      </c>
      <c r="F444" s="1">
        <f>IF(C444 + F443 &lt; 0, C444 + F443, 0)</f>
        <v>0</v>
      </c>
      <c r="G444" s="1">
        <f>IF(D444 + G443 &lt; 0, D444 + G443, 0)</f>
        <v>0</v>
      </c>
      <c r="H444" s="1">
        <f>IF(E444 + H443 &lt; 0, E444 + H443, 0)</f>
        <v>0</v>
      </c>
      <c r="I444" s="1">
        <f>IF(H444 &lt; 0, 1 + I443, 0)</f>
        <v>0</v>
      </c>
      <c r="J444" s="1">
        <f>C444-((ABS(SUM(PL!E444:H444)))*0.125)</f>
        <v>0</v>
      </c>
      <c r="K444" s="1">
        <f>D444-((ABS(SUM(PL!I444:L444)))*0.125)</f>
        <v>0</v>
      </c>
      <c r="L444" s="1">
        <f>J444 + K444</f>
        <v>0</v>
      </c>
      <c r="M444" s="1">
        <f>IF(J444 + M443 &lt; 0, J444 + M443, 0)</f>
        <v>0</v>
      </c>
      <c r="N444" s="1">
        <f>IF(K444 + N443 &lt; 0, K444 + N443, 0)</f>
        <v>0</v>
      </c>
      <c r="O444" s="1">
        <f>IF(L444 + O443 &lt; 0, L444 + O443, 0)</f>
        <v>0</v>
      </c>
      <c r="P444" s="1">
        <f>IF(O444 &lt; 0, 1 + P443, 0)</f>
        <v>0</v>
      </c>
      <c r="Q444" s="1">
        <f>IF(E444&lt;0,1,0)</f>
        <v>0</v>
      </c>
      <c r="R444" s="1">
        <f>IF(Q444=1,E444,0)</f>
        <v>0</v>
      </c>
      <c r="S444" s="1">
        <f>IF(E444&gt;0,1,0)</f>
        <v>0</v>
      </c>
      <c r="T444" s="1">
        <f>IF(S444=1,E444,0)</f>
        <v>0</v>
      </c>
      <c r="U444" s="1">
        <f>IF(R444&lt;-100000000/100,1,0)</f>
        <v>0</v>
      </c>
      <c r="V444" s="1">
        <f>IF(T444&gt;100000000/100,1,0)</f>
        <v>0</v>
      </c>
      <c r="W444" s="1">
        <f>IF(L444&lt;0,1,0)</f>
        <v>0</v>
      </c>
      <c r="X444" s="1">
        <f>IF(W444=1,L444,0)</f>
        <v>0</v>
      </c>
      <c r="Y444" s="1">
        <f>IF(L444&gt;0,1,0)</f>
        <v>0</v>
      </c>
      <c r="Z444" s="1">
        <f>IF(Y444=1,L444,0)</f>
        <v>0</v>
      </c>
      <c r="AA444" s="1">
        <f>IF(X444&lt;-100000000/100,1,0)</f>
        <v>0</v>
      </c>
      <c r="AB444" s="1">
        <f>IF(Z444&gt;100000000/100,1,0)</f>
        <v>0</v>
      </c>
    </row>
    <row r="445" spans="1:28" s="1" customFormat="1">
      <c r="A445" s="3">
        <v>45637</v>
      </c>
      <c r="B445" s="2" t="s">
        <v>14</v>
      </c>
      <c r="C445" s="1">
        <f>SUM(PL!E445:H445)</f>
        <v>0</v>
      </c>
      <c r="D445" s="1">
        <f>SUM(PL!I445:L445)</f>
        <v>0</v>
      </c>
      <c r="E445" s="1">
        <f>SUM(C445:D445)</f>
        <v>0</v>
      </c>
      <c r="F445" s="1">
        <f>IF(C445 + F444 &lt; 0, C445 + F444, 0)</f>
        <v>0</v>
      </c>
      <c r="G445" s="1">
        <f>IF(D445 + G444 &lt; 0, D445 + G444, 0)</f>
        <v>0</v>
      </c>
      <c r="H445" s="1">
        <f>IF(E445 + H444 &lt; 0, E445 + H444, 0)</f>
        <v>0</v>
      </c>
      <c r="I445" s="1">
        <f>IF(H445 &lt; 0, 1 + I444, 0)</f>
        <v>0</v>
      </c>
      <c r="J445" s="1">
        <f>C445-((ABS(SUM(PL!E445:H445)))*0.125)</f>
        <v>0</v>
      </c>
      <c r="K445" s="1">
        <f>D445-((ABS(SUM(PL!I445:L445)))*0.125)</f>
        <v>0</v>
      </c>
      <c r="L445" s="1">
        <f>J445 + K445</f>
        <v>0</v>
      </c>
      <c r="M445" s="1">
        <f>IF(J445 + M444 &lt; 0, J445 + M444, 0)</f>
        <v>0</v>
      </c>
      <c r="N445" s="1">
        <f>IF(K445 + N444 &lt; 0, K445 + N444, 0)</f>
        <v>0</v>
      </c>
      <c r="O445" s="1">
        <f>IF(L445 + O444 &lt; 0, L445 + O444, 0)</f>
        <v>0</v>
      </c>
      <c r="P445" s="1">
        <f>IF(O445 &lt; 0, 1 + P444, 0)</f>
        <v>0</v>
      </c>
      <c r="Q445" s="1">
        <f>IF(E445&lt;0,1,0)</f>
        <v>0</v>
      </c>
      <c r="R445" s="1">
        <f>IF(Q445=1,E445,0)</f>
        <v>0</v>
      </c>
      <c r="S445" s="1">
        <f>IF(E445&gt;0,1,0)</f>
        <v>0</v>
      </c>
      <c r="T445" s="1">
        <f>IF(S445=1,E445,0)</f>
        <v>0</v>
      </c>
      <c r="U445" s="1">
        <f>IF(R445&lt;-100000000/100,1,0)</f>
        <v>0</v>
      </c>
      <c r="V445" s="1">
        <f>IF(T445&gt;100000000/100,1,0)</f>
        <v>0</v>
      </c>
      <c r="W445" s="1">
        <f>IF(L445&lt;0,1,0)</f>
        <v>0</v>
      </c>
      <c r="X445" s="1">
        <f>IF(W445=1,L445,0)</f>
        <v>0</v>
      </c>
      <c r="Y445" s="1">
        <f>IF(L445&gt;0,1,0)</f>
        <v>0</v>
      </c>
      <c r="Z445" s="1">
        <f>IF(Y445=1,L445,0)</f>
        <v>0</v>
      </c>
      <c r="AA445" s="1">
        <f>IF(X445&lt;-100000000/100,1,0)</f>
        <v>0</v>
      </c>
      <c r="AB445" s="1">
        <f>IF(Z445&gt;100000000/100,1,0)</f>
        <v>0</v>
      </c>
    </row>
    <row r="446" spans="1:28" s="1" customFormat="1">
      <c r="A446" s="3">
        <v>45638</v>
      </c>
      <c r="B446" s="2" t="s">
        <v>16</v>
      </c>
      <c r="C446" s="1">
        <f>SUM(PL!E446:H446)</f>
        <v>0</v>
      </c>
      <c r="D446" s="1">
        <f>SUM(PL!I446:L446)</f>
        <v>0</v>
      </c>
      <c r="E446" s="1">
        <f>SUM(C446:D446)</f>
        <v>0</v>
      </c>
      <c r="F446" s="1">
        <f>IF(C446 + F445 &lt; 0, C446 + F445, 0)</f>
        <v>0</v>
      </c>
      <c r="G446" s="1">
        <f>IF(D446 + G445 &lt; 0, D446 + G445, 0)</f>
        <v>0</v>
      </c>
      <c r="H446" s="1">
        <f>IF(E446 + H445 &lt; 0, E446 + H445, 0)</f>
        <v>0</v>
      </c>
      <c r="I446" s="1">
        <f>IF(H446 &lt; 0, 1 + I445, 0)</f>
        <v>0</v>
      </c>
      <c r="J446" s="1">
        <f>C446-((ABS(SUM(PL!E446:H446)))*0.125)</f>
        <v>0</v>
      </c>
      <c r="K446" s="1">
        <f>D446-((ABS(SUM(PL!I446:L446)))*0.125)</f>
        <v>0</v>
      </c>
      <c r="L446" s="1">
        <f>J446 + K446</f>
        <v>0</v>
      </c>
      <c r="M446" s="1">
        <f>IF(J446 + M445 &lt; 0, J446 + M445, 0)</f>
        <v>0</v>
      </c>
      <c r="N446" s="1">
        <f>IF(K446 + N445 &lt; 0, K446 + N445, 0)</f>
        <v>0</v>
      </c>
      <c r="O446" s="1">
        <f>IF(L446 + O445 &lt; 0, L446 + O445, 0)</f>
        <v>0</v>
      </c>
      <c r="P446" s="1">
        <f>IF(O446 &lt; 0, 1 + P445, 0)</f>
        <v>0</v>
      </c>
      <c r="Q446" s="1">
        <f>IF(E446&lt;0,1,0)</f>
        <v>0</v>
      </c>
      <c r="R446" s="1">
        <f>IF(Q446=1,E446,0)</f>
        <v>0</v>
      </c>
      <c r="S446" s="1">
        <f>IF(E446&gt;0,1,0)</f>
        <v>0</v>
      </c>
      <c r="T446" s="1">
        <f>IF(S446=1,E446,0)</f>
        <v>0</v>
      </c>
      <c r="U446" s="1">
        <f>IF(R446&lt;-100000000/100,1,0)</f>
        <v>0</v>
      </c>
      <c r="V446" s="1">
        <f>IF(T446&gt;100000000/100,1,0)</f>
        <v>0</v>
      </c>
      <c r="W446" s="1">
        <f>IF(L446&lt;0,1,0)</f>
        <v>0</v>
      </c>
      <c r="X446" s="1">
        <f>IF(W446=1,L446,0)</f>
        <v>0</v>
      </c>
      <c r="Y446" s="1">
        <f>IF(L446&gt;0,1,0)</f>
        <v>0</v>
      </c>
      <c r="Z446" s="1">
        <f>IF(Y446=1,L446,0)</f>
        <v>0</v>
      </c>
      <c r="AA446" s="1">
        <f>IF(X446&lt;-100000000/100,1,0)</f>
        <v>0</v>
      </c>
      <c r="AB446" s="1">
        <f>IF(Z446&gt;100000000/100,1,0)</f>
        <v>0</v>
      </c>
    </row>
    <row r="447" spans="1:28" s="1" customFormat="1">
      <c r="A447" s="3">
        <v>45639</v>
      </c>
      <c r="B447" s="2" t="s">
        <v>15</v>
      </c>
      <c r="C447" s="1">
        <f>SUM(PL!E447:H447)</f>
        <v>0</v>
      </c>
      <c r="D447" s="1">
        <f>SUM(PL!I447:L447)</f>
        <v>0</v>
      </c>
      <c r="E447" s="1">
        <f>SUM(C447:D447)</f>
        <v>0</v>
      </c>
      <c r="F447" s="1">
        <f>IF(C447 + F446 &lt; 0, C447 + F446, 0)</f>
        <v>0</v>
      </c>
      <c r="G447" s="1">
        <f>IF(D447 + G446 &lt; 0, D447 + G446, 0)</f>
        <v>0</v>
      </c>
      <c r="H447" s="1">
        <f>IF(E447 + H446 &lt; 0, E447 + H446, 0)</f>
        <v>0</v>
      </c>
      <c r="I447" s="1">
        <f>IF(H447 &lt; 0, 1 + I446, 0)</f>
        <v>0</v>
      </c>
      <c r="J447" s="1">
        <f>C447-((ABS(SUM(PL!E447:H447)))*0.125)</f>
        <v>0</v>
      </c>
      <c r="K447" s="1">
        <f>D447-((ABS(SUM(PL!I447:L447)))*0.125)</f>
        <v>0</v>
      </c>
      <c r="L447" s="1">
        <f>J447 + K447</f>
        <v>0</v>
      </c>
      <c r="M447" s="1">
        <f>IF(J447 + M446 &lt; 0, J447 + M446, 0)</f>
        <v>0</v>
      </c>
      <c r="N447" s="1">
        <f>IF(K447 + N446 &lt; 0, K447 + N446, 0)</f>
        <v>0</v>
      </c>
      <c r="O447" s="1">
        <f>IF(L447 + O446 &lt; 0, L447 + O446, 0)</f>
        <v>0</v>
      </c>
      <c r="P447" s="1">
        <f>IF(O447 &lt; 0, 1 + P446, 0)</f>
        <v>0</v>
      </c>
      <c r="Q447" s="1">
        <f>IF(E447&lt;0,1,0)</f>
        <v>0</v>
      </c>
      <c r="R447" s="1">
        <f>IF(Q447=1,E447,0)</f>
        <v>0</v>
      </c>
      <c r="S447" s="1">
        <f>IF(E447&gt;0,1,0)</f>
        <v>0</v>
      </c>
      <c r="T447" s="1">
        <f>IF(S447=1,E447,0)</f>
        <v>0</v>
      </c>
      <c r="U447" s="1">
        <f>IF(R447&lt;-100000000/100,1,0)</f>
        <v>0</v>
      </c>
      <c r="V447" s="1">
        <f>IF(T447&gt;100000000/100,1,0)</f>
        <v>0</v>
      </c>
      <c r="W447" s="1">
        <f>IF(L447&lt;0,1,0)</f>
        <v>0</v>
      </c>
      <c r="X447" s="1">
        <f>IF(W447=1,L447,0)</f>
        <v>0</v>
      </c>
      <c r="Y447" s="1">
        <f>IF(L447&gt;0,1,0)</f>
        <v>0</v>
      </c>
      <c r="Z447" s="1">
        <f>IF(Y447=1,L447,0)</f>
        <v>0</v>
      </c>
      <c r="AA447" s="1">
        <f>IF(X447&lt;-100000000/100,1,0)</f>
        <v>0</v>
      </c>
      <c r="AB447" s="1">
        <f>IF(Z447&gt;100000000/100,1,0)</f>
        <v>0</v>
      </c>
    </row>
    <row r="448" spans="1:28" s="1" customFormat="1">
      <c r="A448" s="3">
        <v>45642</v>
      </c>
      <c r="B448" s="2" t="s">
        <v>12</v>
      </c>
      <c r="C448" s="1">
        <f>SUM(PL!E448:H448)</f>
        <v>0</v>
      </c>
      <c r="D448" s="1">
        <f>SUM(PL!I448:L448)</f>
        <v>0</v>
      </c>
      <c r="E448" s="1">
        <f>SUM(C448:D448)</f>
        <v>0</v>
      </c>
      <c r="F448" s="1">
        <f>IF(C448 + F447 &lt; 0, C448 + F447, 0)</f>
        <v>0</v>
      </c>
      <c r="G448" s="1">
        <f>IF(D448 + G447 &lt; 0, D448 + G447, 0)</f>
        <v>0</v>
      </c>
      <c r="H448" s="1">
        <f>IF(E448 + H447 &lt; 0, E448 + H447, 0)</f>
        <v>0</v>
      </c>
      <c r="I448" s="1">
        <f>IF(H448 &lt; 0, 1 + I447, 0)</f>
        <v>0</v>
      </c>
      <c r="J448" s="1">
        <f>C448-((ABS(SUM(PL!E448:H448)))*0.125)</f>
        <v>0</v>
      </c>
      <c r="K448" s="1">
        <f>D448-((ABS(SUM(PL!I448:L448)))*0.125)</f>
        <v>0</v>
      </c>
      <c r="L448" s="1">
        <f>J448 + K448</f>
        <v>0</v>
      </c>
      <c r="M448" s="1">
        <f>IF(J448 + M447 &lt; 0, J448 + M447, 0)</f>
        <v>0</v>
      </c>
      <c r="N448" s="1">
        <f>IF(K448 + N447 &lt; 0, K448 + N447, 0)</f>
        <v>0</v>
      </c>
      <c r="O448" s="1">
        <f>IF(L448 + O447 &lt; 0, L448 + O447, 0)</f>
        <v>0</v>
      </c>
      <c r="P448" s="1">
        <f>IF(O448 &lt; 0, 1 + P447, 0)</f>
        <v>0</v>
      </c>
      <c r="Q448" s="1">
        <f>IF(E448&lt;0,1,0)</f>
        <v>0</v>
      </c>
      <c r="R448" s="1">
        <f>IF(Q448=1,E448,0)</f>
        <v>0</v>
      </c>
      <c r="S448" s="1">
        <f>IF(E448&gt;0,1,0)</f>
        <v>0</v>
      </c>
      <c r="T448" s="1">
        <f>IF(S448=1,E448,0)</f>
        <v>0</v>
      </c>
      <c r="U448" s="1">
        <f>IF(R448&lt;-100000000/100,1,0)</f>
        <v>0</v>
      </c>
      <c r="V448" s="1">
        <f>IF(T448&gt;100000000/100,1,0)</f>
        <v>0</v>
      </c>
      <c r="W448" s="1">
        <f>IF(L448&lt;0,1,0)</f>
        <v>0</v>
      </c>
      <c r="X448" s="1">
        <f>IF(W448=1,L448,0)</f>
        <v>0</v>
      </c>
      <c r="Y448" s="1">
        <f>IF(L448&gt;0,1,0)</f>
        <v>0</v>
      </c>
      <c r="Z448" s="1">
        <f>IF(Y448=1,L448,0)</f>
        <v>0</v>
      </c>
      <c r="AA448" s="1">
        <f>IF(X448&lt;-100000000/100,1,0)</f>
        <v>0</v>
      </c>
      <c r="AB448" s="1">
        <f>IF(Z448&gt;100000000/100,1,0)</f>
        <v>0</v>
      </c>
    </row>
    <row r="449" spans="1:28" s="1" customFormat="1">
      <c r="A449" s="3">
        <v>45643</v>
      </c>
      <c r="B449" s="2" t="s">
        <v>13</v>
      </c>
      <c r="C449" s="1">
        <f>SUM(PL!E449:H449)</f>
        <v>0</v>
      </c>
      <c r="D449" s="1">
        <f>SUM(PL!I449:L449)</f>
        <v>0</v>
      </c>
      <c r="E449" s="1">
        <f>SUM(C449:D449)</f>
        <v>0</v>
      </c>
      <c r="F449" s="1">
        <f>IF(C449 + F448 &lt; 0, C449 + F448, 0)</f>
        <v>0</v>
      </c>
      <c r="G449" s="1">
        <f>IF(D449 + G448 &lt; 0, D449 + G448, 0)</f>
        <v>0</v>
      </c>
      <c r="H449" s="1">
        <f>IF(E449 + H448 &lt; 0, E449 + H448, 0)</f>
        <v>0</v>
      </c>
      <c r="I449" s="1">
        <f>IF(H449 &lt; 0, 1 + I448, 0)</f>
        <v>0</v>
      </c>
      <c r="J449" s="1">
        <f>C449-((ABS(SUM(PL!E449:H449)))*0.125)</f>
        <v>0</v>
      </c>
      <c r="K449" s="1">
        <f>D449-((ABS(SUM(PL!I449:L449)))*0.125)</f>
        <v>0</v>
      </c>
      <c r="L449" s="1">
        <f>J449 + K449</f>
        <v>0</v>
      </c>
      <c r="M449" s="1">
        <f>IF(J449 + M448 &lt; 0, J449 + M448, 0)</f>
        <v>0</v>
      </c>
      <c r="N449" s="1">
        <f>IF(K449 + N448 &lt; 0, K449 + N448, 0)</f>
        <v>0</v>
      </c>
      <c r="O449" s="1">
        <f>IF(L449 + O448 &lt; 0, L449 + O448, 0)</f>
        <v>0</v>
      </c>
      <c r="P449" s="1">
        <f>IF(O449 &lt; 0, 1 + P448, 0)</f>
        <v>0</v>
      </c>
      <c r="Q449" s="1">
        <f>IF(E449&lt;0,1,0)</f>
        <v>0</v>
      </c>
      <c r="R449" s="1">
        <f>IF(Q449=1,E449,0)</f>
        <v>0</v>
      </c>
      <c r="S449" s="1">
        <f>IF(E449&gt;0,1,0)</f>
        <v>0</v>
      </c>
      <c r="T449" s="1">
        <f>IF(S449=1,E449,0)</f>
        <v>0</v>
      </c>
      <c r="U449" s="1">
        <f>IF(R449&lt;-100000000/100,1,0)</f>
        <v>0</v>
      </c>
      <c r="V449" s="1">
        <f>IF(T449&gt;100000000/100,1,0)</f>
        <v>0</v>
      </c>
      <c r="W449" s="1">
        <f>IF(L449&lt;0,1,0)</f>
        <v>0</v>
      </c>
      <c r="X449" s="1">
        <f>IF(W449=1,L449,0)</f>
        <v>0</v>
      </c>
      <c r="Y449" s="1">
        <f>IF(L449&gt;0,1,0)</f>
        <v>0</v>
      </c>
      <c r="Z449" s="1">
        <f>IF(Y449=1,L449,0)</f>
        <v>0</v>
      </c>
      <c r="AA449" s="1">
        <f>IF(X449&lt;-100000000/100,1,0)</f>
        <v>0</v>
      </c>
      <c r="AB449" s="1">
        <f>IF(Z449&gt;100000000/100,1,0)</f>
        <v>0</v>
      </c>
    </row>
    <row r="450" spans="1:28" s="1" customFormat="1">
      <c r="A450" s="3">
        <v>45644</v>
      </c>
      <c r="B450" s="2" t="s">
        <v>14</v>
      </c>
      <c r="C450" s="1">
        <f>SUM(PL!E450:H450)</f>
        <v>0</v>
      </c>
      <c r="D450" s="1">
        <f>SUM(PL!I450:L450)</f>
        <v>0</v>
      </c>
      <c r="E450" s="1">
        <f>SUM(C450:D450)</f>
        <v>0</v>
      </c>
      <c r="F450" s="1">
        <f>IF(C450 + F449 &lt; 0, C450 + F449, 0)</f>
        <v>0</v>
      </c>
      <c r="G450" s="1">
        <f>IF(D450 + G449 &lt; 0, D450 + G449, 0)</f>
        <v>0</v>
      </c>
      <c r="H450" s="1">
        <f>IF(E450 + H449 &lt; 0, E450 + H449, 0)</f>
        <v>0</v>
      </c>
      <c r="I450" s="1">
        <f>IF(H450 &lt; 0, 1 + I449, 0)</f>
        <v>0</v>
      </c>
      <c r="J450" s="1">
        <f>C450-((ABS(SUM(PL!E450:H450)))*0.125)</f>
        <v>0</v>
      </c>
      <c r="K450" s="1">
        <f>D450-((ABS(SUM(PL!I450:L450)))*0.125)</f>
        <v>0</v>
      </c>
      <c r="L450" s="1">
        <f>J450 + K450</f>
        <v>0</v>
      </c>
      <c r="M450" s="1">
        <f>IF(J450 + M449 &lt; 0, J450 + M449, 0)</f>
        <v>0</v>
      </c>
      <c r="N450" s="1">
        <f>IF(K450 + N449 &lt; 0, K450 + N449, 0)</f>
        <v>0</v>
      </c>
      <c r="O450" s="1">
        <f>IF(L450 + O449 &lt; 0, L450 + O449, 0)</f>
        <v>0</v>
      </c>
      <c r="P450" s="1">
        <f>IF(O450 &lt; 0, 1 + P449, 0)</f>
        <v>0</v>
      </c>
      <c r="Q450" s="1">
        <f>IF(E450&lt;0,1,0)</f>
        <v>0</v>
      </c>
      <c r="R450" s="1">
        <f>IF(Q450=1,E450,0)</f>
        <v>0</v>
      </c>
      <c r="S450" s="1">
        <f>IF(E450&gt;0,1,0)</f>
        <v>0</v>
      </c>
      <c r="T450" s="1">
        <f>IF(S450=1,E450,0)</f>
        <v>0</v>
      </c>
      <c r="U450" s="1">
        <f>IF(R450&lt;-100000000/100,1,0)</f>
        <v>0</v>
      </c>
      <c r="V450" s="1">
        <f>IF(T450&gt;100000000/100,1,0)</f>
        <v>0</v>
      </c>
      <c r="W450" s="1">
        <f>IF(L450&lt;0,1,0)</f>
        <v>0</v>
      </c>
      <c r="X450" s="1">
        <f>IF(W450=1,L450,0)</f>
        <v>0</v>
      </c>
      <c r="Y450" s="1">
        <f>IF(L450&gt;0,1,0)</f>
        <v>0</v>
      </c>
      <c r="Z450" s="1">
        <f>IF(Y450=1,L450,0)</f>
        <v>0</v>
      </c>
      <c r="AA450" s="1">
        <f>IF(X450&lt;-100000000/100,1,0)</f>
        <v>0</v>
      </c>
      <c r="AB450" s="1">
        <f>IF(Z450&gt;100000000/100,1,0)</f>
        <v>0</v>
      </c>
    </row>
    <row r="451" spans="1:28" s="1" customFormat="1">
      <c r="A451" s="3">
        <v>45645</v>
      </c>
      <c r="B451" s="2" t="s">
        <v>16</v>
      </c>
      <c r="C451" s="1">
        <f>SUM(PL!E451:H451)</f>
        <v>0</v>
      </c>
      <c r="D451" s="1">
        <f>SUM(PL!I451:L451)</f>
        <v>0</v>
      </c>
      <c r="E451" s="1">
        <f>SUM(C451:D451)</f>
        <v>0</v>
      </c>
      <c r="F451" s="1">
        <f>IF(C451 + F450 &lt; 0, C451 + F450, 0)</f>
        <v>0</v>
      </c>
      <c r="G451" s="1">
        <f>IF(D451 + G450 &lt; 0, D451 + G450, 0)</f>
        <v>0</v>
      </c>
      <c r="H451" s="1">
        <f>IF(E451 + H450 &lt; 0, E451 + H450, 0)</f>
        <v>0</v>
      </c>
      <c r="I451" s="1">
        <f>IF(H451 &lt; 0, 1 + I450, 0)</f>
        <v>0</v>
      </c>
      <c r="J451" s="1">
        <f>C451-((ABS(SUM(PL!E451:H451)))*0.125)</f>
        <v>0</v>
      </c>
      <c r="K451" s="1">
        <f>D451-((ABS(SUM(PL!I451:L451)))*0.125)</f>
        <v>0</v>
      </c>
      <c r="L451" s="1">
        <f>J451 + K451</f>
        <v>0</v>
      </c>
      <c r="M451" s="1">
        <f>IF(J451 + M450 &lt; 0, J451 + M450, 0)</f>
        <v>0</v>
      </c>
      <c r="N451" s="1">
        <f>IF(K451 + N450 &lt; 0, K451 + N450, 0)</f>
        <v>0</v>
      </c>
      <c r="O451" s="1">
        <f>IF(L451 + O450 &lt; 0, L451 + O450, 0)</f>
        <v>0</v>
      </c>
      <c r="P451" s="1">
        <f>IF(O451 &lt; 0, 1 + P450, 0)</f>
        <v>0</v>
      </c>
      <c r="Q451" s="1">
        <f>IF(E451&lt;0,1,0)</f>
        <v>0</v>
      </c>
      <c r="R451" s="1">
        <f>IF(Q451=1,E451,0)</f>
        <v>0</v>
      </c>
      <c r="S451" s="1">
        <f>IF(E451&gt;0,1,0)</f>
        <v>0</v>
      </c>
      <c r="T451" s="1">
        <f>IF(S451=1,E451,0)</f>
        <v>0</v>
      </c>
      <c r="U451" s="1">
        <f>IF(R451&lt;-100000000/100,1,0)</f>
        <v>0</v>
      </c>
      <c r="V451" s="1">
        <f>IF(T451&gt;100000000/100,1,0)</f>
        <v>0</v>
      </c>
      <c r="W451" s="1">
        <f>IF(L451&lt;0,1,0)</f>
        <v>0</v>
      </c>
      <c r="X451" s="1">
        <f>IF(W451=1,L451,0)</f>
        <v>0</v>
      </c>
      <c r="Y451" s="1">
        <f>IF(L451&gt;0,1,0)</f>
        <v>0</v>
      </c>
      <c r="Z451" s="1">
        <f>IF(Y451=1,L451,0)</f>
        <v>0</v>
      </c>
      <c r="AA451" s="1">
        <f>IF(X451&lt;-100000000/100,1,0)</f>
        <v>0</v>
      </c>
      <c r="AB451" s="1">
        <f>IF(Z451&gt;100000000/100,1,0)</f>
        <v>0</v>
      </c>
    </row>
    <row r="452" spans="1:28" s="1" customFormat="1">
      <c r="A452" s="3">
        <v>45646</v>
      </c>
      <c r="B452" s="2" t="s">
        <v>15</v>
      </c>
      <c r="C452" s="1">
        <f>SUM(PL!E452:H452)</f>
        <v>0</v>
      </c>
      <c r="D452" s="1">
        <f>SUM(PL!I452:L452)</f>
        <v>0</v>
      </c>
      <c r="E452" s="1">
        <f>SUM(C452:D452)</f>
        <v>0</v>
      </c>
      <c r="F452" s="1">
        <f>IF(C452 + F451 &lt; 0, C452 + F451, 0)</f>
        <v>0</v>
      </c>
      <c r="G452" s="1">
        <f>IF(D452 + G451 &lt; 0, D452 + G451, 0)</f>
        <v>0</v>
      </c>
      <c r="H452" s="1">
        <f>IF(E452 + H451 &lt; 0, E452 + H451, 0)</f>
        <v>0</v>
      </c>
      <c r="I452" s="1">
        <f>IF(H452 &lt; 0, 1 + I451, 0)</f>
        <v>0</v>
      </c>
      <c r="J452" s="1">
        <f>C452-((ABS(SUM(PL!E452:H452)))*0.125)</f>
        <v>0</v>
      </c>
      <c r="K452" s="1">
        <f>D452-((ABS(SUM(PL!I452:L452)))*0.125)</f>
        <v>0</v>
      </c>
      <c r="L452" s="1">
        <f>J452 + K452</f>
        <v>0</v>
      </c>
      <c r="M452" s="1">
        <f>IF(J452 + M451 &lt; 0, J452 + M451, 0)</f>
        <v>0</v>
      </c>
      <c r="N452" s="1">
        <f>IF(K452 + N451 &lt; 0, K452 + N451, 0)</f>
        <v>0</v>
      </c>
      <c r="O452" s="1">
        <f>IF(L452 + O451 &lt; 0, L452 + O451, 0)</f>
        <v>0</v>
      </c>
      <c r="P452" s="1">
        <f>IF(O452 &lt; 0, 1 + P451, 0)</f>
        <v>0</v>
      </c>
      <c r="Q452" s="1">
        <f>IF(E452&lt;0,1,0)</f>
        <v>0</v>
      </c>
      <c r="R452" s="1">
        <f>IF(Q452=1,E452,0)</f>
        <v>0</v>
      </c>
      <c r="S452" s="1">
        <f>IF(E452&gt;0,1,0)</f>
        <v>0</v>
      </c>
      <c r="T452" s="1">
        <f>IF(S452=1,E452,0)</f>
        <v>0</v>
      </c>
      <c r="U452" s="1">
        <f>IF(R452&lt;-100000000/100,1,0)</f>
        <v>0</v>
      </c>
      <c r="V452" s="1">
        <f>IF(T452&gt;100000000/100,1,0)</f>
        <v>0</v>
      </c>
      <c r="W452" s="1">
        <f>IF(L452&lt;0,1,0)</f>
        <v>0</v>
      </c>
      <c r="X452" s="1">
        <f>IF(W452=1,L452,0)</f>
        <v>0</v>
      </c>
      <c r="Y452" s="1">
        <f>IF(L452&gt;0,1,0)</f>
        <v>0</v>
      </c>
      <c r="Z452" s="1">
        <f>IF(Y452=1,L452,0)</f>
        <v>0</v>
      </c>
      <c r="AA452" s="1">
        <f>IF(X452&lt;-100000000/100,1,0)</f>
        <v>0</v>
      </c>
      <c r="AB452" s="1">
        <f>IF(Z452&gt;100000000/100,1,0)</f>
        <v>0</v>
      </c>
    </row>
    <row r="453" spans="1:28" s="1" customFormat="1">
      <c r="A453" s="3">
        <v>45649</v>
      </c>
      <c r="B453" s="2" t="s">
        <v>12</v>
      </c>
      <c r="C453" s="1">
        <f>SUM(PL!E453:H453)</f>
        <v>0</v>
      </c>
      <c r="D453" s="1">
        <f>SUM(PL!I453:L453)</f>
        <v>0</v>
      </c>
      <c r="E453" s="1">
        <f>SUM(C453:D453)</f>
        <v>0</v>
      </c>
      <c r="F453" s="1">
        <f>IF(C453 + F452 &lt; 0, C453 + F452, 0)</f>
        <v>0</v>
      </c>
      <c r="G453" s="1">
        <f>IF(D453 + G452 &lt; 0, D453 + G452, 0)</f>
        <v>0</v>
      </c>
      <c r="H453" s="1">
        <f>IF(E453 + H452 &lt; 0, E453 + H452, 0)</f>
        <v>0</v>
      </c>
      <c r="I453" s="1">
        <f>IF(H453 &lt; 0, 1 + I452, 0)</f>
        <v>0</v>
      </c>
      <c r="J453" s="1">
        <f>C453-((ABS(SUM(PL!E453:H453)))*0.125)</f>
        <v>0</v>
      </c>
      <c r="K453" s="1">
        <f>D453-((ABS(SUM(PL!I453:L453)))*0.125)</f>
        <v>0</v>
      </c>
      <c r="L453" s="1">
        <f>J453 + K453</f>
        <v>0</v>
      </c>
      <c r="M453" s="1">
        <f>IF(J453 + M452 &lt; 0, J453 + M452, 0)</f>
        <v>0</v>
      </c>
      <c r="N453" s="1">
        <f>IF(K453 + N452 &lt; 0, K453 + N452, 0)</f>
        <v>0</v>
      </c>
      <c r="O453" s="1">
        <f>IF(L453 + O452 &lt; 0, L453 + O452, 0)</f>
        <v>0</v>
      </c>
      <c r="P453" s="1">
        <f>IF(O453 &lt; 0, 1 + P452, 0)</f>
        <v>0</v>
      </c>
      <c r="Q453" s="1">
        <f>IF(E453&lt;0,1,0)</f>
        <v>0</v>
      </c>
      <c r="R453" s="1">
        <f>IF(Q453=1,E453,0)</f>
        <v>0</v>
      </c>
      <c r="S453" s="1">
        <f>IF(E453&gt;0,1,0)</f>
        <v>0</v>
      </c>
      <c r="T453" s="1">
        <f>IF(S453=1,E453,0)</f>
        <v>0</v>
      </c>
      <c r="U453" s="1">
        <f>IF(R453&lt;-100000000/100,1,0)</f>
        <v>0</v>
      </c>
      <c r="V453" s="1">
        <f>IF(T453&gt;100000000/100,1,0)</f>
        <v>0</v>
      </c>
      <c r="W453" s="1">
        <f>IF(L453&lt;0,1,0)</f>
        <v>0</v>
      </c>
      <c r="X453" s="1">
        <f>IF(W453=1,L453,0)</f>
        <v>0</v>
      </c>
      <c r="Y453" s="1">
        <f>IF(L453&gt;0,1,0)</f>
        <v>0</v>
      </c>
      <c r="Z453" s="1">
        <f>IF(Y453=1,L453,0)</f>
        <v>0</v>
      </c>
      <c r="AA453" s="1">
        <f>IF(X453&lt;-100000000/100,1,0)</f>
        <v>0</v>
      </c>
      <c r="AB453" s="1">
        <f>IF(Z453&gt;100000000/100,1,0)</f>
        <v>0</v>
      </c>
    </row>
    <row r="454" spans="1:28" s="1" customFormat="1">
      <c r="A454" s="3">
        <v>45650</v>
      </c>
      <c r="B454" s="2" t="s">
        <v>13</v>
      </c>
      <c r="C454" s="1">
        <f>SUM(PL!E454:H454)</f>
        <v>0</v>
      </c>
      <c r="D454" s="1">
        <f>SUM(PL!I454:L454)</f>
        <v>0</v>
      </c>
      <c r="E454" s="1">
        <f>SUM(C454:D454)</f>
        <v>0</v>
      </c>
      <c r="F454" s="1">
        <f>IF(C454 + F453 &lt; 0, C454 + F453, 0)</f>
        <v>0</v>
      </c>
      <c r="G454" s="1">
        <f>IF(D454 + G453 &lt; 0, D454 + G453, 0)</f>
        <v>0</v>
      </c>
      <c r="H454" s="1">
        <f>IF(E454 + H453 &lt; 0, E454 + H453, 0)</f>
        <v>0</v>
      </c>
      <c r="I454" s="1">
        <f>IF(H454 &lt; 0, 1 + I453, 0)</f>
        <v>0</v>
      </c>
      <c r="J454" s="1">
        <f>C454-((ABS(SUM(PL!E454:H454)))*0.125)</f>
        <v>0</v>
      </c>
      <c r="K454" s="1">
        <f>D454-((ABS(SUM(PL!I454:L454)))*0.125)</f>
        <v>0</v>
      </c>
      <c r="L454" s="1">
        <f>J454 + K454</f>
        <v>0</v>
      </c>
      <c r="M454" s="1">
        <f>IF(J454 + M453 &lt; 0, J454 + M453, 0)</f>
        <v>0</v>
      </c>
      <c r="N454" s="1">
        <f>IF(K454 + N453 &lt; 0, K454 + N453, 0)</f>
        <v>0</v>
      </c>
      <c r="O454" s="1">
        <f>IF(L454 + O453 &lt; 0, L454 + O453, 0)</f>
        <v>0</v>
      </c>
      <c r="P454" s="1">
        <f>IF(O454 &lt; 0, 1 + P453, 0)</f>
        <v>0</v>
      </c>
      <c r="Q454" s="1">
        <f>IF(E454&lt;0,1,0)</f>
        <v>0</v>
      </c>
      <c r="R454" s="1">
        <f>IF(Q454=1,E454,0)</f>
        <v>0</v>
      </c>
      <c r="S454" s="1">
        <f>IF(E454&gt;0,1,0)</f>
        <v>0</v>
      </c>
      <c r="T454" s="1">
        <f>IF(S454=1,E454,0)</f>
        <v>0</v>
      </c>
      <c r="U454" s="1">
        <f>IF(R454&lt;-100000000/100,1,0)</f>
        <v>0</v>
      </c>
      <c r="V454" s="1">
        <f>IF(T454&gt;100000000/100,1,0)</f>
        <v>0</v>
      </c>
      <c r="W454" s="1">
        <f>IF(L454&lt;0,1,0)</f>
        <v>0</v>
      </c>
      <c r="X454" s="1">
        <f>IF(W454=1,L454,0)</f>
        <v>0</v>
      </c>
      <c r="Y454" s="1">
        <f>IF(L454&gt;0,1,0)</f>
        <v>0</v>
      </c>
      <c r="Z454" s="1">
        <f>IF(Y454=1,L454,0)</f>
        <v>0</v>
      </c>
      <c r="AA454" s="1">
        <f>IF(X454&lt;-100000000/100,1,0)</f>
        <v>0</v>
      </c>
      <c r="AB454" s="1">
        <f>IF(Z454&gt;100000000/100,1,0)</f>
        <v>0</v>
      </c>
    </row>
    <row r="455" spans="1:28" s="1" customFormat="1">
      <c r="A455" s="3">
        <v>45652</v>
      </c>
      <c r="B455" s="2" t="s">
        <v>16</v>
      </c>
      <c r="C455" s="1">
        <f>SUM(PL!E455:H455)</f>
        <v>0</v>
      </c>
      <c r="D455" s="1">
        <f>SUM(PL!I455:L455)</f>
        <v>0</v>
      </c>
      <c r="E455" s="1">
        <f>SUM(C455:D455)</f>
        <v>0</v>
      </c>
      <c r="F455" s="1">
        <f>IF(C455 + F454 &lt; 0, C455 + F454, 0)</f>
        <v>0</v>
      </c>
      <c r="G455" s="1">
        <f>IF(D455 + G454 &lt; 0, D455 + G454, 0)</f>
        <v>0</v>
      </c>
      <c r="H455" s="1">
        <f>IF(E455 + H454 &lt; 0, E455 + H454, 0)</f>
        <v>0</v>
      </c>
      <c r="I455" s="1">
        <f>IF(H455 &lt; 0, 1 + I454, 0)</f>
        <v>0</v>
      </c>
      <c r="J455" s="1">
        <f>C455-((ABS(SUM(PL!E455:H455)))*0.125)</f>
        <v>0</v>
      </c>
      <c r="K455" s="1">
        <f>D455-((ABS(SUM(PL!I455:L455)))*0.125)</f>
        <v>0</v>
      </c>
      <c r="L455" s="1">
        <f>J455 + K455</f>
        <v>0</v>
      </c>
      <c r="M455" s="1">
        <f>IF(J455 + M454 &lt; 0, J455 + M454, 0)</f>
        <v>0</v>
      </c>
      <c r="N455" s="1">
        <f>IF(K455 + N454 &lt; 0, K455 + N454, 0)</f>
        <v>0</v>
      </c>
      <c r="O455" s="1">
        <f>IF(L455 + O454 &lt; 0, L455 + O454, 0)</f>
        <v>0</v>
      </c>
      <c r="P455" s="1">
        <f>IF(O455 &lt; 0, 1 + P454, 0)</f>
        <v>0</v>
      </c>
      <c r="Q455" s="1">
        <f>IF(E455&lt;0,1,0)</f>
        <v>0</v>
      </c>
      <c r="R455" s="1">
        <f>IF(Q455=1,E455,0)</f>
        <v>0</v>
      </c>
      <c r="S455" s="1">
        <f>IF(E455&gt;0,1,0)</f>
        <v>0</v>
      </c>
      <c r="T455" s="1">
        <f>IF(S455=1,E455,0)</f>
        <v>0</v>
      </c>
      <c r="U455" s="1">
        <f>IF(R455&lt;-100000000/100,1,0)</f>
        <v>0</v>
      </c>
      <c r="V455" s="1">
        <f>IF(T455&gt;100000000/100,1,0)</f>
        <v>0</v>
      </c>
      <c r="W455" s="1">
        <f>IF(L455&lt;0,1,0)</f>
        <v>0</v>
      </c>
      <c r="X455" s="1">
        <f>IF(W455=1,L455,0)</f>
        <v>0</v>
      </c>
      <c r="Y455" s="1">
        <f>IF(L455&gt;0,1,0)</f>
        <v>0</v>
      </c>
      <c r="Z455" s="1">
        <f>IF(Y455=1,L455,0)</f>
        <v>0</v>
      </c>
      <c r="AA455" s="1">
        <f>IF(X455&lt;-100000000/100,1,0)</f>
        <v>0</v>
      </c>
      <c r="AB455" s="1">
        <f>IF(Z455&gt;100000000/100,1,0)</f>
        <v>0</v>
      </c>
    </row>
    <row r="456" spans="1:28" s="1" customFormat="1">
      <c r="A456" s="3">
        <v>45653</v>
      </c>
      <c r="B456" s="2" t="s">
        <v>15</v>
      </c>
      <c r="C456" s="1">
        <f>SUM(PL!E456:H456)</f>
        <v>0</v>
      </c>
      <c r="D456" s="1">
        <f>SUM(PL!I456:L456)</f>
        <v>0</v>
      </c>
      <c r="E456" s="1">
        <f>SUM(C456:D456)</f>
        <v>0</v>
      </c>
      <c r="F456" s="1">
        <f>IF(C456 + F455 &lt; 0, C456 + F455, 0)</f>
        <v>0</v>
      </c>
      <c r="G456" s="1">
        <f>IF(D456 + G455 &lt; 0, D456 + G455, 0)</f>
        <v>0</v>
      </c>
      <c r="H456" s="1">
        <f>IF(E456 + H455 &lt; 0, E456 + H455, 0)</f>
        <v>0</v>
      </c>
      <c r="I456" s="1">
        <f>IF(H456 &lt; 0, 1 + I455, 0)</f>
        <v>0</v>
      </c>
      <c r="J456" s="1">
        <f>C456-((ABS(SUM(PL!E456:H456)))*0.125)</f>
        <v>0</v>
      </c>
      <c r="K456" s="1">
        <f>D456-((ABS(SUM(PL!I456:L456)))*0.125)</f>
        <v>0</v>
      </c>
      <c r="L456" s="1">
        <f>J456 + K456</f>
        <v>0</v>
      </c>
      <c r="M456" s="1">
        <f>IF(J456 + M455 &lt; 0, J456 + M455, 0)</f>
        <v>0</v>
      </c>
      <c r="N456" s="1">
        <f>IF(K456 + N455 &lt; 0, K456 + N455, 0)</f>
        <v>0</v>
      </c>
      <c r="O456" s="1">
        <f>IF(L456 + O455 &lt; 0, L456 + O455, 0)</f>
        <v>0</v>
      </c>
      <c r="P456" s="1">
        <f>IF(O456 &lt; 0, 1 + P455, 0)</f>
        <v>0</v>
      </c>
      <c r="Q456" s="1">
        <f>IF(E456&lt;0,1,0)</f>
        <v>0</v>
      </c>
      <c r="R456" s="1">
        <f>IF(Q456=1,E456,0)</f>
        <v>0</v>
      </c>
      <c r="S456" s="1">
        <f>IF(E456&gt;0,1,0)</f>
        <v>0</v>
      </c>
      <c r="T456" s="1">
        <f>IF(S456=1,E456,0)</f>
        <v>0</v>
      </c>
      <c r="U456" s="1">
        <f>IF(R456&lt;-100000000/100,1,0)</f>
        <v>0</v>
      </c>
      <c r="V456" s="1">
        <f>IF(T456&gt;100000000/100,1,0)</f>
        <v>0</v>
      </c>
      <c r="W456" s="1">
        <f>IF(L456&lt;0,1,0)</f>
        <v>0</v>
      </c>
      <c r="X456" s="1">
        <f>IF(W456=1,L456,0)</f>
        <v>0</v>
      </c>
      <c r="Y456" s="1">
        <f>IF(L456&gt;0,1,0)</f>
        <v>0</v>
      </c>
      <c r="Z456" s="1">
        <f>IF(Y456=1,L456,0)</f>
        <v>0</v>
      </c>
      <c r="AA456" s="1">
        <f>IF(X456&lt;-100000000/100,1,0)</f>
        <v>0</v>
      </c>
      <c r="AB456" s="1">
        <f>IF(Z456&gt;100000000/100,1,0)</f>
        <v>0</v>
      </c>
    </row>
    <row r="457" spans="1:28" s="1" customFormat="1">
      <c r="A457" s="3">
        <v>45656</v>
      </c>
      <c r="B457" s="2" t="s">
        <v>12</v>
      </c>
      <c r="C457" s="1">
        <f>SUM(PL!E457:H457)</f>
        <v>0</v>
      </c>
      <c r="D457" s="1">
        <f>SUM(PL!I457:L457)</f>
        <v>0</v>
      </c>
      <c r="E457" s="1">
        <f>SUM(C457:D457)</f>
        <v>0</v>
      </c>
      <c r="F457" s="1">
        <f>IF(C457 + F456 &lt; 0, C457 + F456, 0)</f>
        <v>0</v>
      </c>
      <c r="G457" s="1">
        <f>IF(D457 + G456 &lt; 0, D457 + G456, 0)</f>
        <v>0</v>
      </c>
      <c r="H457" s="1">
        <f>IF(E457 + H456 &lt; 0, E457 + H456, 0)</f>
        <v>0</v>
      </c>
      <c r="I457" s="1">
        <f>IF(H457 &lt; 0, 1 + I456, 0)</f>
        <v>0</v>
      </c>
      <c r="J457" s="1">
        <f>C457-((ABS(SUM(PL!E457:H457)))*0.125)</f>
        <v>0</v>
      </c>
      <c r="K457" s="1">
        <f>D457-((ABS(SUM(PL!I457:L457)))*0.125)</f>
        <v>0</v>
      </c>
      <c r="L457" s="1">
        <f>J457 + K457</f>
        <v>0</v>
      </c>
      <c r="M457" s="1">
        <f>IF(J457 + M456 &lt; 0, J457 + M456, 0)</f>
        <v>0</v>
      </c>
      <c r="N457" s="1">
        <f>IF(K457 + N456 &lt; 0, K457 + N456, 0)</f>
        <v>0</v>
      </c>
      <c r="O457" s="1">
        <f>IF(L457 + O456 &lt; 0, L457 + O456, 0)</f>
        <v>0</v>
      </c>
      <c r="P457" s="1">
        <f>IF(O457 &lt; 0, 1 + P456, 0)</f>
        <v>0</v>
      </c>
      <c r="Q457" s="1">
        <f>IF(E457&lt;0,1,0)</f>
        <v>0</v>
      </c>
      <c r="R457" s="1">
        <f>IF(Q457=1,E457,0)</f>
        <v>0</v>
      </c>
      <c r="S457" s="1">
        <f>IF(E457&gt;0,1,0)</f>
        <v>0</v>
      </c>
      <c r="T457" s="1">
        <f>IF(S457=1,E457,0)</f>
        <v>0</v>
      </c>
      <c r="U457" s="1">
        <f>IF(R457&lt;-100000000/100,1,0)</f>
        <v>0</v>
      </c>
      <c r="V457" s="1">
        <f>IF(T457&gt;100000000/100,1,0)</f>
        <v>0</v>
      </c>
      <c r="W457" s="1">
        <f>IF(L457&lt;0,1,0)</f>
        <v>0</v>
      </c>
      <c r="X457" s="1">
        <f>IF(W457=1,L457,0)</f>
        <v>0</v>
      </c>
      <c r="Y457" s="1">
        <f>IF(L457&gt;0,1,0)</f>
        <v>0</v>
      </c>
      <c r="Z457" s="1">
        <f>IF(Y457=1,L457,0)</f>
        <v>0</v>
      </c>
      <c r="AA457" s="1">
        <f>IF(X457&lt;-100000000/100,1,0)</f>
        <v>0</v>
      </c>
      <c r="AB457" s="1">
        <f>IF(Z457&gt;100000000/100,1,0)</f>
        <v>0</v>
      </c>
    </row>
    <row r="458" spans="1:28" s="1" customFormat="1">
      <c r="A458" s="3">
        <v>45657</v>
      </c>
      <c r="B458" s="2" t="s">
        <v>13</v>
      </c>
      <c r="C458" s="1">
        <f>SUM(PL!E458:H458)</f>
        <v>0</v>
      </c>
      <c r="D458" s="1">
        <f>SUM(PL!I458:L458)</f>
        <v>0</v>
      </c>
      <c r="E458" s="1">
        <f>SUM(C458:D458)</f>
        <v>0</v>
      </c>
      <c r="F458" s="1">
        <f>IF(C458 + F457 &lt; 0, C458 + F457, 0)</f>
        <v>0</v>
      </c>
      <c r="G458" s="1">
        <f>IF(D458 + G457 &lt; 0, D458 + G457, 0)</f>
        <v>0</v>
      </c>
      <c r="H458" s="1">
        <f>IF(E458 + H457 &lt; 0, E458 + H457, 0)</f>
        <v>0</v>
      </c>
      <c r="I458" s="1">
        <f>IF(H458 &lt; 0, 1 + I457, 0)</f>
        <v>0</v>
      </c>
      <c r="J458" s="1">
        <f>C458-((ABS(SUM(PL!E458:H458)))*0.125)</f>
        <v>0</v>
      </c>
      <c r="K458" s="1">
        <f>D458-((ABS(SUM(PL!I458:L458)))*0.125)</f>
        <v>0</v>
      </c>
      <c r="L458" s="1">
        <f>J458 + K458</f>
        <v>0</v>
      </c>
      <c r="M458" s="1">
        <f>IF(J458 + M457 &lt; 0, J458 + M457, 0)</f>
        <v>0</v>
      </c>
      <c r="N458" s="1">
        <f>IF(K458 + N457 &lt; 0, K458 + N457, 0)</f>
        <v>0</v>
      </c>
      <c r="O458" s="1">
        <f>IF(L458 + O457 &lt; 0, L458 + O457, 0)</f>
        <v>0</v>
      </c>
      <c r="P458" s="1">
        <f>IF(O458 &lt; 0, 1 + P457, 0)</f>
        <v>0</v>
      </c>
      <c r="Q458" s="1">
        <f>IF(E458&lt;0,1,0)</f>
        <v>0</v>
      </c>
      <c r="R458" s="1">
        <f>IF(Q458=1,E458,0)</f>
        <v>0</v>
      </c>
      <c r="S458" s="1">
        <f>IF(E458&gt;0,1,0)</f>
        <v>0</v>
      </c>
      <c r="T458" s="1">
        <f>IF(S458=1,E458,0)</f>
        <v>0</v>
      </c>
      <c r="U458" s="1">
        <f>IF(R458&lt;-100000000/100,1,0)</f>
        <v>0</v>
      </c>
      <c r="V458" s="1">
        <f>IF(T458&gt;100000000/100,1,0)</f>
        <v>0</v>
      </c>
      <c r="W458" s="1">
        <f>IF(L458&lt;0,1,0)</f>
        <v>0</v>
      </c>
      <c r="X458" s="1">
        <f>IF(W458=1,L458,0)</f>
        <v>0</v>
      </c>
      <c r="Y458" s="1">
        <f>IF(L458&gt;0,1,0)</f>
        <v>0</v>
      </c>
      <c r="Z458" s="1">
        <f>IF(Y458=1,L458,0)</f>
        <v>0</v>
      </c>
      <c r="AA458" s="1">
        <f>IF(X458&lt;-100000000/100,1,0)</f>
        <v>0</v>
      </c>
      <c r="AB458" s="1">
        <f>IF(Z458&gt;100000000/100,1,0)</f>
        <v>0</v>
      </c>
    </row>
    <row r="459" spans="1:28" s="1" customFormat="1">
      <c r="A459" s="3">
        <v>45658</v>
      </c>
      <c r="B459" s="2" t="s">
        <v>14</v>
      </c>
      <c r="C459" s="1">
        <f>SUM(PL!E459:H459)</f>
        <v>0</v>
      </c>
      <c r="D459" s="1">
        <f>SUM(PL!I459:L459)</f>
        <v>0</v>
      </c>
      <c r="E459" s="1">
        <f>SUM(C459:D459)</f>
        <v>0</v>
      </c>
      <c r="F459" s="1">
        <f>IF(C459 + F458 &lt; 0, C459 + F458, 0)</f>
        <v>0</v>
      </c>
      <c r="G459" s="1">
        <f>IF(D459 + G458 &lt; 0, D459 + G458, 0)</f>
        <v>0</v>
      </c>
      <c r="H459" s="1">
        <f>IF(E459 + H458 &lt; 0, E459 + H458, 0)</f>
        <v>0</v>
      </c>
      <c r="I459" s="1">
        <f>IF(H459 &lt; 0, 1 + I458, 0)</f>
        <v>0</v>
      </c>
      <c r="J459" s="1">
        <f>C459-((ABS(SUM(PL!E459:H459)))*0.125)</f>
        <v>0</v>
      </c>
      <c r="K459" s="1">
        <f>D459-((ABS(SUM(PL!I459:L459)))*0.125)</f>
        <v>0</v>
      </c>
      <c r="L459" s="1">
        <f>J459 + K459</f>
        <v>0</v>
      </c>
      <c r="M459" s="1">
        <f>IF(J459 + M458 &lt; 0, J459 + M458, 0)</f>
        <v>0</v>
      </c>
      <c r="N459" s="1">
        <f>IF(K459 + N458 &lt; 0, K459 + N458, 0)</f>
        <v>0</v>
      </c>
      <c r="O459" s="1">
        <f>IF(L459 + O458 &lt; 0, L459 + O458, 0)</f>
        <v>0</v>
      </c>
      <c r="P459" s="1">
        <f>IF(O459 &lt; 0, 1 + P458, 0)</f>
        <v>0</v>
      </c>
      <c r="Q459" s="1">
        <f>IF(E459&lt;0,1,0)</f>
        <v>0</v>
      </c>
      <c r="R459" s="1">
        <f>IF(Q459=1,E459,0)</f>
        <v>0</v>
      </c>
      <c r="S459" s="1">
        <f>IF(E459&gt;0,1,0)</f>
        <v>0</v>
      </c>
      <c r="T459" s="1">
        <f>IF(S459=1,E459,0)</f>
        <v>0</v>
      </c>
      <c r="U459" s="1">
        <f>IF(R459&lt;-100000000/100,1,0)</f>
        <v>0</v>
      </c>
      <c r="V459" s="1">
        <f>IF(T459&gt;100000000/100,1,0)</f>
        <v>0</v>
      </c>
      <c r="W459" s="1">
        <f>IF(L459&lt;0,1,0)</f>
        <v>0</v>
      </c>
      <c r="X459" s="1">
        <f>IF(W459=1,L459,0)</f>
        <v>0</v>
      </c>
      <c r="Y459" s="1">
        <f>IF(L459&gt;0,1,0)</f>
        <v>0</v>
      </c>
      <c r="Z459" s="1">
        <f>IF(Y459=1,L459,0)</f>
        <v>0</v>
      </c>
      <c r="AA459" s="1">
        <f>IF(X459&lt;-100000000/100,1,0)</f>
        <v>0</v>
      </c>
      <c r="AB459" s="1">
        <f>IF(Z459&gt;100000000/100,1,0)</f>
        <v>0</v>
      </c>
    </row>
    <row r="460" spans="1:28" s="1" customFormat="1">
      <c r="A460" s="3">
        <v>45659</v>
      </c>
      <c r="B460" s="2" t="s">
        <v>16</v>
      </c>
      <c r="C460" s="1">
        <f>SUM(PL!E460:H460)</f>
        <v>0</v>
      </c>
      <c r="D460" s="1">
        <f>SUM(PL!I460:L460)</f>
        <v>0</v>
      </c>
      <c r="E460" s="1">
        <f>SUM(C460:D460)</f>
        <v>0</v>
      </c>
      <c r="F460" s="1">
        <f>IF(C460 + F459 &lt; 0, C460 + F459, 0)</f>
        <v>0</v>
      </c>
      <c r="G460" s="1">
        <f>IF(D460 + G459 &lt; 0, D460 + G459, 0)</f>
        <v>0</v>
      </c>
      <c r="H460" s="1">
        <f>IF(E460 + H459 &lt; 0, E460 + H459, 0)</f>
        <v>0</v>
      </c>
      <c r="I460" s="1">
        <f>IF(H460 &lt; 0, 1 + I459, 0)</f>
        <v>0</v>
      </c>
      <c r="J460" s="1">
        <f>C460-((ABS(SUM(PL!E460:H460)))*0.125)</f>
        <v>0</v>
      </c>
      <c r="K460" s="1">
        <f>D460-((ABS(SUM(PL!I460:L460)))*0.125)</f>
        <v>0</v>
      </c>
      <c r="L460" s="1">
        <f>J460 + K460</f>
        <v>0</v>
      </c>
      <c r="M460" s="1">
        <f>IF(J460 + M459 &lt; 0, J460 + M459, 0)</f>
        <v>0</v>
      </c>
      <c r="N460" s="1">
        <f>IF(K460 + N459 &lt; 0, K460 + N459, 0)</f>
        <v>0</v>
      </c>
      <c r="O460" s="1">
        <f>IF(L460 + O459 &lt; 0, L460 + O459, 0)</f>
        <v>0</v>
      </c>
      <c r="P460" s="1">
        <f>IF(O460 &lt; 0, 1 + P459, 0)</f>
        <v>0</v>
      </c>
      <c r="Q460" s="1">
        <f>IF(E460&lt;0,1,0)</f>
        <v>0</v>
      </c>
      <c r="R460" s="1">
        <f>IF(Q460=1,E460,0)</f>
        <v>0</v>
      </c>
      <c r="S460" s="1">
        <f>IF(E460&gt;0,1,0)</f>
        <v>0</v>
      </c>
      <c r="T460" s="1">
        <f>IF(S460=1,E460,0)</f>
        <v>0</v>
      </c>
      <c r="U460" s="1">
        <f>IF(R460&lt;-100000000/100,1,0)</f>
        <v>0</v>
      </c>
      <c r="V460" s="1">
        <f>IF(T460&gt;100000000/100,1,0)</f>
        <v>0</v>
      </c>
      <c r="W460" s="1">
        <f>IF(L460&lt;0,1,0)</f>
        <v>0</v>
      </c>
      <c r="X460" s="1">
        <f>IF(W460=1,L460,0)</f>
        <v>0</v>
      </c>
      <c r="Y460" s="1">
        <f>IF(L460&gt;0,1,0)</f>
        <v>0</v>
      </c>
      <c r="Z460" s="1">
        <f>IF(Y460=1,L460,0)</f>
        <v>0</v>
      </c>
      <c r="AA460" s="1">
        <f>IF(X460&lt;-100000000/100,1,0)</f>
        <v>0</v>
      </c>
      <c r="AB460" s="1">
        <f>IF(Z460&gt;100000000/100,1,0)</f>
        <v>0</v>
      </c>
    </row>
    <row r="461" spans="1:28" s="1" customFormat="1">
      <c r="A461" s="3">
        <v>45660</v>
      </c>
      <c r="B461" s="2" t="s">
        <v>15</v>
      </c>
      <c r="C461" s="1">
        <f>SUM(PL!E461:H461)</f>
        <v>0</v>
      </c>
      <c r="D461" s="1">
        <f>SUM(PL!I461:L461)</f>
        <v>0</v>
      </c>
      <c r="E461" s="1">
        <f>SUM(C461:D461)</f>
        <v>0</v>
      </c>
      <c r="F461" s="1">
        <f>IF(C461 + F460 &lt; 0, C461 + F460, 0)</f>
        <v>0</v>
      </c>
      <c r="G461" s="1">
        <f>IF(D461 + G460 &lt; 0, D461 + G460, 0)</f>
        <v>0</v>
      </c>
      <c r="H461" s="1">
        <f>IF(E461 + H460 &lt; 0, E461 + H460, 0)</f>
        <v>0</v>
      </c>
      <c r="I461" s="1">
        <f>IF(H461 &lt; 0, 1 + I460, 0)</f>
        <v>0</v>
      </c>
      <c r="J461" s="1">
        <f>C461-((ABS(SUM(PL!E461:H461)))*0.125)</f>
        <v>0</v>
      </c>
      <c r="K461" s="1">
        <f>D461-((ABS(SUM(PL!I461:L461)))*0.125)</f>
        <v>0</v>
      </c>
      <c r="L461" s="1">
        <f>J461 + K461</f>
        <v>0</v>
      </c>
      <c r="M461" s="1">
        <f>IF(J461 + M460 &lt; 0, J461 + M460, 0)</f>
        <v>0</v>
      </c>
      <c r="N461" s="1">
        <f>IF(K461 + N460 &lt; 0, K461 + N460, 0)</f>
        <v>0</v>
      </c>
      <c r="O461" s="1">
        <f>IF(L461 + O460 &lt; 0, L461 + O460, 0)</f>
        <v>0</v>
      </c>
      <c r="P461" s="1">
        <f>IF(O461 &lt; 0, 1 + P460, 0)</f>
        <v>0</v>
      </c>
      <c r="Q461" s="1">
        <f>IF(E461&lt;0,1,0)</f>
        <v>0</v>
      </c>
      <c r="R461" s="1">
        <f>IF(Q461=1,E461,0)</f>
        <v>0</v>
      </c>
      <c r="S461" s="1">
        <f>IF(E461&gt;0,1,0)</f>
        <v>0</v>
      </c>
      <c r="T461" s="1">
        <f>IF(S461=1,E461,0)</f>
        <v>0</v>
      </c>
      <c r="U461" s="1">
        <f>IF(R461&lt;-100000000/100,1,0)</f>
        <v>0</v>
      </c>
      <c r="V461" s="1">
        <f>IF(T461&gt;100000000/100,1,0)</f>
        <v>0</v>
      </c>
      <c r="W461" s="1">
        <f>IF(L461&lt;0,1,0)</f>
        <v>0</v>
      </c>
      <c r="X461" s="1">
        <f>IF(W461=1,L461,0)</f>
        <v>0</v>
      </c>
      <c r="Y461" s="1">
        <f>IF(L461&gt;0,1,0)</f>
        <v>0</v>
      </c>
      <c r="Z461" s="1">
        <f>IF(Y461=1,L461,0)</f>
        <v>0</v>
      </c>
      <c r="AA461" s="1">
        <f>IF(X461&lt;-100000000/100,1,0)</f>
        <v>0</v>
      </c>
      <c r="AB461" s="1">
        <f>IF(Z461&gt;100000000/100,1,0)</f>
        <v>0</v>
      </c>
    </row>
    <row r="462" spans="1:28" s="1" customFormat="1">
      <c r="A462" s="3">
        <v>45663</v>
      </c>
      <c r="B462" s="2" t="s">
        <v>12</v>
      </c>
      <c r="C462" s="1">
        <f>SUM(PL!E462:H462)</f>
        <v>0</v>
      </c>
      <c r="D462" s="1">
        <f>SUM(PL!I462:L462)</f>
        <v>0</v>
      </c>
      <c r="E462" s="1">
        <f>SUM(C462:D462)</f>
        <v>0</v>
      </c>
      <c r="F462" s="1">
        <f>IF(C462 + F461 &lt; 0, C462 + F461, 0)</f>
        <v>0</v>
      </c>
      <c r="G462" s="1">
        <f>IF(D462 + G461 &lt; 0, D462 + G461, 0)</f>
        <v>0</v>
      </c>
      <c r="H462" s="1">
        <f>IF(E462 + H461 &lt; 0, E462 + H461, 0)</f>
        <v>0</v>
      </c>
      <c r="I462" s="1">
        <f>IF(H462 &lt; 0, 1 + I461, 0)</f>
        <v>0</v>
      </c>
      <c r="J462" s="1">
        <f>C462-((ABS(SUM(PL!E462:H462)))*0.125)</f>
        <v>0</v>
      </c>
      <c r="K462" s="1">
        <f>D462-((ABS(SUM(PL!I462:L462)))*0.125)</f>
        <v>0</v>
      </c>
      <c r="L462" s="1">
        <f>J462 + K462</f>
        <v>0</v>
      </c>
      <c r="M462" s="1">
        <f>IF(J462 + M461 &lt; 0, J462 + M461, 0)</f>
        <v>0</v>
      </c>
      <c r="N462" s="1">
        <f>IF(K462 + N461 &lt; 0, K462 + N461, 0)</f>
        <v>0</v>
      </c>
      <c r="O462" s="1">
        <f>IF(L462 + O461 &lt; 0, L462 + O461, 0)</f>
        <v>0</v>
      </c>
      <c r="P462" s="1">
        <f>IF(O462 &lt; 0, 1 + P461, 0)</f>
        <v>0</v>
      </c>
      <c r="Q462" s="1">
        <f>IF(E462&lt;0,1,0)</f>
        <v>0</v>
      </c>
      <c r="R462" s="1">
        <f>IF(Q462=1,E462,0)</f>
        <v>0</v>
      </c>
      <c r="S462" s="1">
        <f>IF(E462&gt;0,1,0)</f>
        <v>0</v>
      </c>
      <c r="T462" s="1">
        <f>IF(S462=1,E462,0)</f>
        <v>0</v>
      </c>
      <c r="U462" s="1">
        <f>IF(R462&lt;-100000000/100,1,0)</f>
        <v>0</v>
      </c>
      <c r="V462" s="1">
        <f>IF(T462&gt;100000000/100,1,0)</f>
        <v>0</v>
      </c>
      <c r="W462" s="1">
        <f>IF(L462&lt;0,1,0)</f>
        <v>0</v>
      </c>
      <c r="X462" s="1">
        <f>IF(W462=1,L462,0)</f>
        <v>0</v>
      </c>
      <c r="Y462" s="1">
        <f>IF(L462&gt;0,1,0)</f>
        <v>0</v>
      </c>
      <c r="Z462" s="1">
        <f>IF(Y462=1,L462,0)</f>
        <v>0</v>
      </c>
      <c r="AA462" s="1">
        <f>IF(X462&lt;-100000000/100,1,0)</f>
        <v>0</v>
      </c>
      <c r="AB462" s="1">
        <f>IF(Z462&gt;100000000/100,1,0)</f>
        <v>0</v>
      </c>
    </row>
    <row r="463" spans="1:28" s="1" customFormat="1">
      <c r="A463" s="3">
        <v>45664</v>
      </c>
      <c r="B463" s="2" t="s">
        <v>13</v>
      </c>
      <c r="C463" s="1">
        <f>SUM(PL!E463:H463)</f>
        <v>0</v>
      </c>
      <c r="D463" s="1">
        <f>SUM(PL!I463:L463)</f>
        <v>0</v>
      </c>
      <c r="E463" s="1">
        <f>SUM(C463:D463)</f>
        <v>0</v>
      </c>
      <c r="F463" s="1">
        <f>IF(C463 + F462 &lt; 0, C463 + F462, 0)</f>
        <v>0</v>
      </c>
      <c r="G463" s="1">
        <f>IF(D463 + G462 &lt; 0, D463 + G462, 0)</f>
        <v>0</v>
      </c>
      <c r="H463" s="1">
        <f>IF(E463 + H462 &lt; 0, E463 + H462, 0)</f>
        <v>0</v>
      </c>
      <c r="I463" s="1">
        <f>IF(H463 &lt; 0, 1 + I462, 0)</f>
        <v>0</v>
      </c>
      <c r="J463" s="1">
        <f>C463-((ABS(SUM(PL!E463:H463)))*0.125)</f>
        <v>0</v>
      </c>
      <c r="K463" s="1">
        <f>D463-((ABS(SUM(PL!I463:L463)))*0.125)</f>
        <v>0</v>
      </c>
      <c r="L463" s="1">
        <f>J463 + K463</f>
        <v>0</v>
      </c>
      <c r="M463" s="1">
        <f>IF(J463 + M462 &lt; 0, J463 + M462, 0)</f>
        <v>0</v>
      </c>
      <c r="N463" s="1">
        <f>IF(K463 + N462 &lt; 0, K463 + N462, 0)</f>
        <v>0</v>
      </c>
      <c r="O463" s="1">
        <f>IF(L463 + O462 &lt; 0, L463 + O462, 0)</f>
        <v>0</v>
      </c>
      <c r="P463" s="1">
        <f>IF(O463 &lt; 0, 1 + P462, 0)</f>
        <v>0</v>
      </c>
      <c r="Q463" s="1">
        <f>IF(E463&lt;0,1,0)</f>
        <v>0</v>
      </c>
      <c r="R463" s="1">
        <f>IF(Q463=1,E463,0)</f>
        <v>0</v>
      </c>
      <c r="S463" s="1">
        <f>IF(E463&gt;0,1,0)</f>
        <v>0</v>
      </c>
      <c r="T463" s="1">
        <f>IF(S463=1,E463,0)</f>
        <v>0</v>
      </c>
      <c r="U463" s="1">
        <f>IF(R463&lt;-100000000/100,1,0)</f>
        <v>0</v>
      </c>
      <c r="V463" s="1">
        <f>IF(T463&gt;100000000/100,1,0)</f>
        <v>0</v>
      </c>
      <c r="W463" s="1">
        <f>IF(L463&lt;0,1,0)</f>
        <v>0</v>
      </c>
      <c r="X463" s="1">
        <f>IF(W463=1,L463,0)</f>
        <v>0</v>
      </c>
      <c r="Y463" s="1">
        <f>IF(L463&gt;0,1,0)</f>
        <v>0</v>
      </c>
      <c r="Z463" s="1">
        <f>IF(Y463=1,L463,0)</f>
        <v>0</v>
      </c>
      <c r="AA463" s="1">
        <f>IF(X463&lt;-100000000/100,1,0)</f>
        <v>0</v>
      </c>
      <c r="AB463" s="1">
        <f>IF(Z463&gt;100000000/100,1,0)</f>
        <v>0</v>
      </c>
    </row>
    <row r="464" spans="1:28" s="1" customFormat="1">
      <c r="A464" s="3">
        <v>45665</v>
      </c>
      <c r="B464" s="2" t="s">
        <v>14</v>
      </c>
      <c r="C464" s="1">
        <f>SUM(PL!E464:H464)</f>
        <v>0</v>
      </c>
      <c r="D464" s="1">
        <f>SUM(PL!I464:L464)</f>
        <v>0</v>
      </c>
      <c r="E464" s="1">
        <f>SUM(C464:D464)</f>
        <v>0</v>
      </c>
      <c r="F464" s="1">
        <f>IF(C464 + F463 &lt; 0, C464 + F463, 0)</f>
        <v>0</v>
      </c>
      <c r="G464" s="1">
        <f>IF(D464 + G463 &lt; 0, D464 + G463, 0)</f>
        <v>0</v>
      </c>
      <c r="H464" s="1">
        <f>IF(E464 + H463 &lt; 0, E464 + H463, 0)</f>
        <v>0</v>
      </c>
      <c r="I464" s="1">
        <f>IF(H464 &lt; 0, 1 + I463, 0)</f>
        <v>0</v>
      </c>
      <c r="J464" s="1">
        <f>C464-((ABS(SUM(PL!E464:H464)))*0.125)</f>
        <v>0</v>
      </c>
      <c r="K464" s="1">
        <f>D464-((ABS(SUM(PL!I464:L464)))*0.125)</f>
        <v>0</v>
      </c>
      <c r="L464" s="1">
        <f>J464 + K464</f>
        <v>0</v>
      </c>
      <c r="M464" s="1">
        <f>IF(J464 + M463 &lt; 0, J464 + M463, 0)</f>
        <v>0</v>
      </c>
      <c r="N464" s="1">
        <f>IF(K464 + N463 &lt; 0, K464 + N463, 0)</f>
        <v>0</v>
      </c>
      <c r="O464" s="1">
        <f>IF(L464 + O463 &lt; 0, L464 + O463, 0)</f>
        <v>0</v>
      </c>
      <c r="P464" s="1">
        <f>IF(O464 &lt; 0, 1 + P463, 0)</f>
        <v>0</v>
      </c>
      <c r="Q464" s="1">
        <f>IF(E464&lt;0,1,0)</f>
        <v>0</v>
      </c>
      <c r="R464" s="1">
        <f>IF(Q464=1,E464,0)</f>
        <v>0</v>
      </c>
      <c r="S464" s="1">
        <f>IF(E464&gt;0,1,0)</f>
        <v>0</v>
      </c>
      <c r="T464" s="1">
        <f>IF(S464=1,E464,0)</f>
        <v>0</v>
      </c>
      <c r="U464" s="1">
        <f>IF(R464&lt;-100000000/100,1,0)</f>
        <v>0</v>
      </c>
      <c r="V464" s="1">
        <f>IF(T464&gt;100000000/100,1,0)</f>
        <v>0</v>
      </c>
      <c r="W464" s="1">
        <f>IF(L464&lt;0,1,0)</f>
        <v>0</v>
      </c>
      <c r="X464" s="1">
        <f>IF(W464=1,L464,0)</f>
        <v>0</v>
      </c>
      <c r="Y464" s="1">
        <f>IF(L464&gt;0,1,0)</f>
        <v>0</v>
      </c>
      <c r="Z464" s="1">
        <f>IF(Y464=1,L464,0)</f>
        <v>0</v>
      </c>
      <c r="AA464" s="1">
        <f>IF(X464&lt;-100000000/100,1,0)</f>
        <v>0</v>
      </c>
      <c r="AB464" s="1">
        <f>IF(Z464&gt;100000000/100,1,0)</f>
        <v>0</v>
      </c>
    </row>
    <row r="465" spans="1:28" s="1" customFormat="1">
      <c r="A465" s="3">
        <v>45666</v>
      </c>
      <c r="B465" s="2" t="s">
        <v>16</v>
      </c>
      <c r="C465" s="1">
        <f>SUM(PL!E465:H465)</f>
        <v>0</v>
      </c>
      <c r="D465" s="1">
        <f>SUM(PL!I465:L465)</f>
        <v>0</v>
      </c>
      <c r="E465" s="1">
        <f>SUM(C465:D465)</f>
        <v>0</v>
      </c>
      <c r="F465" s="1">
        <f>IF(C465 + F464 &lt; 0, C465 + F464, 0)</f>
        <v>0</v>
      </c>
      <c r="G465" s="1">
        <f>IF(D465 + G464 &lt; 0, D465 + G464, 0)</f>
        <v>0</v>
      </c>
      <c r="H465" s="1">
        <f>IF(E465 + H464 &lt; 0, E465 + H464, 0)</f>
        <v>0</v>
      </c>
      <c r="I465" s="1">
        <f>IF(H465 &lt; 0, 1 + I464, 0)</f>
        <v>0</v>
      </c>
      <c r="J465" s="1">
        <f>C465-((ABS(SUM(PL!E465:H465)))*0.125)</f>
        <v>0</v>
      </c>
      <c r="K465" s="1">
        <f>D465-((ABS(SUM(PL!I465:L465)))*0.125)</f>
        <v>0</v>
      </c>
      <c r="L465" s="1">
        <f>J465 + K465</f>
        <v>0</v>
      </c>
      <c r="M465" s="1">
        <f>IF(J465 + M464 &lt; 0, J465 + M464, 0)</f>
        <v>0</v>
      </c>
      <c r="N465" s="1">
        <f>IF(K465 + N464 &lt; 0, K465 + N464, 0)</f>
        <v>0</v>
      </c>
      <c r="O465" s="1">
        <f>IF(L465 + O464 &lt; 0, L465 + O464, 0)</f>
        <v>0</v>
      </c>
      <c r="P465" s="1">
        <f>IF(O465 &lt; 0, 1 + P464, 0)</f>
        <v>0</v>
      </c>
      <c r="Q465" s="1">
        <f>IF(E465&lt;0,1,0)</f>
        <v>0</v>
      </c>
      <c r="R465" s="1">
        <f>IF(Q465=1,E465,0)</f>
        <v>0</v>
      </c>
      <c r="S465" s="1">
        <f>IF(E465&gt;0,1,0)</f>
        <v>0</v>
      </c>
      <c r="T465" s="1">
        <f>IF(S465=1,E465,0)</f>
        <v>0</v>
      </c>
      <c r="U465" s="1">
        <f>IF(R465&lt;-100000000/100,1,0)</f>
        <v>0</v>
      </c>
      <c r="V465" s="1">
        <f>IF(T465&gt;100000000/100,1,0)</f>
        <v>0</v>
      </c>
      <c r="W465" s="1">
        <f>IF(L465&lt;0,1,0)</f>
        <v>0</v>
      </c>
      <c r="X465" s="1">
        <f>IF(W465=1,L465,0)</f>
        <v>0</v>
      </c>
      <c r="Y465" s="1">
        <f>IF(L465&gt;0,1,0)</f>
        <v>0</v>
      </c>
      <c r="Z465" s="1">
        <f>IF(Y465=1,L465,0)</f>
        <v>0</v>
      </c>
      <c r="AA465" s="1">
        <f>IF(X465&lt;-100000000/100,1,0)</f>
        <v>0</v>
      </c>
      <c r="AB465" s="1">
        <f>IF(Z465&gt;100000000/100,1,0)</f>
        <v>0</v>
      </c>
    </row>
    <row r="466" spans="1:28" s="1" customFormat="1">
      <c r="A466" s="3">
        <v>45667</v>
      </c>
      <c r="B466" s="2" t="s">
        <v>15</v>
      </c>
      <c r="C466" s="1">
        <f>SUM(PL!E466:H466)</f>
        <v>0</v>
      </c>
      <c r="D466" s="1">
        <f>SUM(PL!I466:L466)</f>
        <v>0</v>
      </c>
      <c r="E466" s="1">
        <f>SUM(C466:D466)</f>
        <v>0</v>
      </c>
      <c r="F466" s="1">
        <f>IF(C466 + F465 &lt; 0, C466 + F465, 0)</f>
        <v>0</v>
      </c>
      <c r="G466" s="1">
        <f>IF(D466 + G465 &lt; 0, D466 + G465, 0)</f>
        <v>0</v>
      </c>
      <c r="H466" s="1">
        <f>IF(E466 + H465 &lt; 0, E466 + H465, 0)</f>
        <v>0</v>
      </c>
      <c r="I466" s="1">
        <f>IF(H466 &lt; 0, 1 + I465, 0)</f>
        <v>0</v>
      </c>
      <c r="J466" s="1">
        <f>C466-((ABS(SUM(PL!E466:H466)))*0.125)</f>
        <v>0</v>
      </c>
      <c r="K466" s="1">
        <f>D466-((ABS(SUM(PL!I466:L466)))*0.125)</f>
        <v>0</v>
      </c>
      <c r="L466" s="1">
        <f>J466 + K466</f>
        <v>0</v>
      </c>
      <c r="M466" s="1">
        <f>IF(J466 + M465 &lt; 0, J466 + M465, 0)</f>
        <v>0</v>
      </c>
      <c r="N466" s="1">
        <f>IF(K466 + N465 &lt; 0, K466 + N465, 0)</f>
        <v>0</v>
      </c>
      <c r="O466" s="1">
        <f>IF(L466 + O465 &lt; 0, L466 + O465, 0)</f>
        <v>0</v>
      </c>
      <c r="P466" s="1">
        <f>IF(O466 &lt; 0, 1 + P465, 0)</f>
        <v>0</v>
      </c>
      <c r="Q466" s="1">
        <f>IF(E466&lt;0,1,0)</f>
        <v>0</v>
      </c>
      <c r="R466" s="1">
        <f>IF(Q466=1,E466,0)</f>
        <v>0</v>
      </c>
      <c r="S466" s="1">
        <f>IF(E466&gt;0,1,0)</f>
        <v>0</v>
      </c>
      <c r="T466" s="1">
        <f>IF(S466=1,E466,0)</f>
        <v>0</v>
      </c>
      <c r="U466" s="1">
        <f>IF(R466&lt;-100000000/100,1,0)</f>
        <v>0</v>
      </c>
      <c r="V466" s="1">
        <f>IF(T466&gt;100000000/100,1,0)</f>
        <v>0</v>
      </c>
      <c r="W466" s="1">
        <f>IF(L466&lt;0,1,0)</f>
        <v>0</v>
      </c>
      <c r="X466" s="1">
        <f>IF(W466=1,L466,0)</f>
        <v>0</v>
      </c>
      <c r="Y466" s="1">
        <f>IF(L466&gt;0,1,0)</f>
        <v>0</v>
      </c>
      <c r="Z466" s="1">
        <f>IF(Y466=1,L466,0)</f>
        <v>0</v>
      </c>
      <c r="AA466" s="1">
        <f>IF(X466&lt;-100000000/100,1,0)</f>
        <v>0</v>
      </c>
      <c r="AB466" s="1">
        <f>IF(Z466&gt;100000000/100,1,0)</f>
        <v>0</v>
      </c>
    </row>
    <row r="467" spans="1:28" s="1" customFormat="1">
      <c r="A467" s="3">
        <v>45670</v>
      </c>
      <c r="B467" s="2" t="s">
        <v>12</v>
      </c>
      <c r="C467" s="1">
        <f>SUM(PL!E467:H467)</f>
        <v>0</v>
      </c>
      <c r="D467" s="1">
        <f>SUM(PL!I467:L467)</f>
        <v>0</v>
      </c>
      <c r="E467" s="1">
        <f>SUM(C467:D467)</f>
        <v>0</v>
      </c>
      <c r="F467" s="1">
        <f>IF(C467 + F466 &lt; 0, C467 + F466, 0)</f>
        <v>0</v>
      </c>
      <c r="G467" s="1">
        <f>IF(D467 + G466 &lt; 0, D467 + G466, 0)</f>
        <v>0</v>
      </c>
      <c r="H467" s="1">
        <f>IF(E467 + H466 &lt; 0, E467 + H466, 0)</f>
        <v>0</v>
      </c>
      <c r="I467" s="1">
        <f>IF(H467 &lt; 0, 1 + I466, 0)</f>
        <v>0</v>
      </c>
      <c r="J467" s="1">
        <f>C467-((ABS(SUM(PL!E467:H467)))*0.125)</f>
        <v>0</v>
      </c>
      <c r="K467" s="1">
        <f>D467-((ABS(SUM(PL!I467:L467)))*0.125)</f>
        <v>0</v>
      </c>
      <c r="L467" s="1">
        <f>J467 + K467</f>
        <v>0</v>
      </c>
      <c r="M467" s="1">
        <f>IF(J467 + M466 &lt; 0, J467 + M466, 0)</f>
        <v>0</v>
      </c>
      <c r="N467" s="1">
        <f>IF(K467 + N466 &lt; 0, K467 + N466, 0)</f>
        <v>0</v>
      </c>
      <c r="O467" s="1">
        <f>IF(L467 + O466 &lt; 0, L467 + O466, 0)</f>
        <v>0</v>
      </c>
      <c r="P467" s="1">
        <f>IF(O467 &lt; 0, 1 + P466, 0)</f>
        <v>0</v>
      </c>
      <c r="Q467" s="1">
        <f>IF(E467&lt;0,1,0)</f>
        <v>0</v>
      </c>
      <c r="R467" s="1">
        <f>IF(Q467=1,E467,0)</f>
        <v>0</v>
      </c>
      <c r="S467" s="1">
        <f>IF(E467&gt;0,1,0)</f>
        <v>0</v>
      </c>
      <c r="T467" s="1">
        <f>IF(S467=1,E467,0)</f>
        <v>0</v>
      </c>
      <c r="U467" s="1">
        <f>IF(R467&lt;-100000000/100,1,0)</f>
        <v>0</v>
      </c>
      <c r="V467" s="1">
        <f>IF(T467&gt;100000000/100,1,0)</f>
        <v>0</v>
      </c>
      <c r="W467" s="1">
        <f>IF(L467&lt;0,1,0)</f>
        <v>0</v>
      </c>
      <c r="X467" s="1">
        <f>IF(W467=1,L467,0)</f>
        <v>0</v>
      </c>
      <c r="Y467" s="1">
        <f>IF(L467&gt;0,1,0)</f>
        <v>0</v>
      </c>
      <c r="Z467" s="1">
        <f>IF(Y467=1,L467,0)</f>
        <v>0</v>
      </c>
      <c r="AA467" s="1">
        <f>IF(X467&lt;-100000000/100,1,0)</f>
        <v>0</v>
      </c>
      <c r="AB467" s="1">
        <f>IF(Z467&gt;100000000/100,1,0)</f>
        <v>0</v>
      </c>
    </row>
    <row r="468" spans="1:28" s="1" customFormat="1">
      <c r="A468" s="3">
        <v>45671</v>
      </c>
      <c r="B468" s="2" t="s">
        <v>13</v>
      </c>
      <c r="C468" s="1">
        <f>SUM(PL!E468:H468)</f>
        <v>0</v>
      </c>
      <c r="D468" s="1">
        <f>SUM(PL!I468:L468)</f>
        <v>0</v>
      </c>
      <c r="E468" s="1">
        <f>SUM(C468:D468)</f>
        <v>0</v>
      </c>
      <c r="F468" s="1">
        <f>IF(C468 + F467 &lt; 0, C468 + F467, 0)</f>
        <v>0</v>
      </c>
      <c r="G468" s="1">
        <f>IF(D468 + G467 &lt; 0, D468 + G467, 0)</f>
        <v>0</v>
      </c>
      <c r="H468" s="1">
        <f>IF(E468 + H467 &lt; 0, E468 + H467, 0)</f>
        <v>0</v>
      </c>
      <c r="I468" s="1">
        <f>IF(H468 &lt; 0, 1 + I467, 0)</f>
        <v>0</v>
      </c>
      <c r="J468" s="1">
        <f>C468-((ABS(SUM(PL!E468:H468)))*0.125)</f>
        <v>0</v>
      </c>
      <c r="K468" s="1">
        <f>D468-((ABS(SUM(PL!I468:L468)))*0.125)</f>
        <v>0</v>
      </c>
      <c r="L468" s="1">
        <f>J468 + K468</f>
        <v>0</v>
      </c>
      <c r="M468" s="1">
        <f>IF(J468 + M467 &lt; 0, J468 + M467, 0)</f>
        <v>0</v>
      </c>
      <c r="N468" s="1">
        <f>IF(K468 + N467 &lt; 0, K468 + N467, 0)</f>
        <v>0</v>
      </c>
      <c r="O468" s="1">
        <f>IF(L468 + O467 &lt; 0, L468 + O467, 0)</f>
        <v>0</v>
      </c>
      <c r="P468" s="1">
        <f>IF(O468 &lt; 0, 1 + P467, 0)</f>
        <v>0</v>
      </c>
      <c r="Q468" s="1">
        <f>IF(E468&lt;0,1,0)</f>
        <v>0</v>
      </c>
      <c r="R468" s="1">
        <f>IF(Q468=1,E468,0)</f>
        <v>0</v>
      </c>
      <c r="S468" s="1">
        <f>IF(E468&gt;0,1,0)</f>
        <v>0</v>
      </c>
      <c r="T468" s="1">
        <f>IF(S468=1,E468,0)</f>
        <v>0</v>
      </c>
      <c r="U468" s="1">
        <f>IF(R468&lt;-100000000/100,1,0)</f>
        <v>0</v>
      </c>
      <c r="V468" s="1">
        <f>IF(T468&gt;100000000/100,1,0)</f>
        <v>0</v>
      </c>
      <c r="W468" s="1">
        <f>IF(L468&lt;0,1,0)</f>
        <v>0</v>
      </c>
      <c r="X468" s="1">
        <f>IF(W468=1,L468,0)</f>
        <v>0</v>
      </c>
      <c r="Y468" s="1">
        <f>IF(L468&gt;0,1,0)</f>
        <v>0</v>
      </c>
      <c r="Z468" s="1">
        <f>IF(Y468=1,L468,0)</f>
        <v>0</v>
      </c>
      <c r="AA468" s="1">
        <f>IF(X468&lt;-100000000/100,1,0)</f>
        <v>0</v>
      </c>
      <c r="AB468" s="1">
        <f>IF(Z468&gt;100000000/100,1,0)</f>
        <v>0</v>
      </c>
    </row>
    <row r="469" spans="1:28" s="1" customFormat="1">
      <c r="A469" s="3">
        <v>45672</v>
      </c>
      <c r="B469" s="2" t="s">
        <v>14</v>
      </c>
      <c r="C469" s="1">
        <f>SUM(PL!E469:H469)</f>
        <v>0</v>
      </c>
      <c r="D469" s="1">
        <f>SUM(PL!I469:L469)</f>
        <v>0</v>
      </c>
      <c r="E469" s="1">
        <f>SUM(C469:D469)</f>
        <v>0</v>
      </c>
      <c r="F469" s="1">
        <f>IF(C469 + F468 &lt; 0, C469 + F468, 0)</f>
        <v>0</v>
      </c>
      <c r="G469" s="1">
        <f>IF(D469 + G468 &lt; 0, D469 + G468, 0)</f>
        <v>0</v>
      </c>
      <c r="H469" s="1">
        <f>IF(E469 + H468 &lt; 0, E469 + H468, 0)</f>
        <v>0</v>
      </c>
      <c r="I469" s="1">
        <f>IF(H469 &lt; 0, 1 + I468, 0)</f>
        <v>0</v>
      </c>
      <c r="J469" s="1">
        <f>C469-((ABS(SUM(PL!E469:H469)))*0.125)</f>
        <v>0</v>
      </c>
      <c r="K469" s="1">
        <f>D469-((ABS(SUM(PL!I469:L469)))*0.125)</f>
        <v>0</v>
      </c>
      <c r="L469" s="1">
        <f>J469 + K469</f>
        <v>0</v>
      </c>
      <c r="M469" s="1">
        <f>IF(J469 + M468 &lt; 0, J469 + M468, 0)</f>
        <v>0</v>
      </c>
      <c r="N469" s="1">
        <f>IF(K469 + N468 &lt; 0, K469 + N468, 0)</f>
        <v>0</v>
      </c>
      <c r="O469" s="1">
        <f>IF(L469 + O468 &lt; 0, L469 + O468, 0)</f>
        <v>0</v>
      </c>
      <c r="P469" s="1">
        <f>IF(O469 &lt; 0, 1 + P468, 0)</f>
        <v>0</v>
      </c>
      <c r="Q469" s="1">
        <f>IF(E469&lt;0,1,0)</f>
        <v>0</v>
      </c>
      <c r="R469" s="1">
        <f>IF(Q469=1,E469,0)</f>
        <v>0</v>
      </c>
      <c r="S469" s="1">
        <f>IF(E469&gt;0,1,0)</f>
        <v>0</v>
      </c>
      <c r="T469" s="1">
        <f>IF(S469=1,E469,0)</f>
        <v>0</v>
      </c>
      <c r="U469" s="1">
        <f>IF(R469&lt;-100000000/100,1,0)</f>
        <v>0</v>
      </c>
      <c r="V469" s="1">
        <f>IF(T469&gt;100000000/100,1,0)</f>
        <v>0</v>
      </c>
      <c r="W469" s="1">
        <f>IF(L469&lt;0,1,0)</f>
        <v>0</v>
      </c>
      <c r="X469" s="1">
        <f>IF(W469=1,L469,0)</f>
        <v>0</v>
      </c>
      <c r="Y469" s="1">
        <f>IF(L469&gt;0,1,0)</f>
        <v>0</v>
      </c>
      <c r="Z469" s="1">
        <f>IF(Y469=1,L469,0)</f>
        <v>0</v>
      </c>
      <c r="AA469" s="1">
        <f>IF(X469&lt;-100000000/100,1,0)</f>
        <v>0</v>
      </c>
      <c r="AB469" s="1">
        <f>IF(Z469&gt;100000000/100,1,0)</f>
        <v>0</v>
      </c>
    </row>
    <row r="470" spans="1:28" s="1" customFormat="1">
      <c r="A470" s="3">
        <v>45673</v>
      </c>
      <c r="B470" s="2" t="s">
        <v>16</v>
      </c>
      <c r="C470" s="1">
        <f>SUM(PL!E470:H470)</f>
        <v>0</v>
      </c>
      <c r="D470" s="1">
        <f>SUM(PL!I470:L470)</f>
        <v>0</v>
      </c>
      <c r="E470" s="1">
        <f>SUM(C470:D470)</f>
        <v>0</v>
      </c>
      <c r="F470" s="1">
        <f>IF(C470 + F469 &lt; 0, C470 + F469, 0)</f>
        <v>0</v>
      </c>
      <c r="G470" s="1">
        <f>IF(D470 + G469 &lt; 0, D470 + G469, 0)</f>
        <v>0</v>
      </c>
      <c r="H470" s="1">
        <f>IF(E470 + H469 &lt; 0, E470 + H469, 0)</f>
        <v>0</v>
      </c>
      <c r="I470" s="1">
        <f>IF(H470 &lt; 0, 1 + I469, 0)</f>
        <v>0</v>
      </c>
      <c r="J470" s="1">
        <f>C470-((ABS(SUM(PL!E470:H470)))*0.125)</f>
        <v>0</v>
      </c>
      <c r="K470" s="1">
        <f>D470-((ABS(SUM(PL!I470:L470)))*0.125)</f>
        <v>0</v>
      </c>
      <c r="L470" s="1">
        <f>J470 + K470</f>
        <v>0</v>
      </c>
      <c r="M470" s="1">
        <f>IF(J470 + M469 &lt; 0, J470 + M469, 0)</f>
        <v>0</v>
      </c>
      <c r="N470" s="1">
        <f>IF(K470 + N469 &lt; 0, K470 + N469, 0)</f>
        <v>0</v>
      </c>
      <c r="O470" s="1">
        <f>IF(L470 + O469 &lt; 0, L470 + O469, 0)</f>
        <v>0</v>
      </c>
      <c r="P470" s="1">
        <f>IF(O470 &lt; 0, 1 + P469, 0)</f>
        <v>0</v>
      </c>
      <c r="Q470" s="1">
        <f>IF(E470&lt;0,1,0)</f>
        <v>0</v>
      </c>
      <c r="R470" s="1">
        <f>IF(Q470=1,E470,0)</f>
        <v>0</v>
      </c>
      <c r="S470" s="1">
        <f>IF(E470&gt;0,1,0)</f>
        <v>0</v>
      </c>
      <c r="T470" s="1">
        <f>IF(S470=1,E470,0)</f>
        <v>0</v>
      </c>
      <c r="U470" s="1">
        <f>IF(R470&lt;-100000000/100,1,0)</f>
        <v>0</v>
      </c>
      <c r="V470" s="1">
        <f>IF(T470&gt;100000000/100,1,0)</f>
        <v>0</v>
      </c>
      <c r="W470" s="1">
        <f>IF(L470&lt;0,1,0)</f>
        <v>0</v>
      </c>
      <c r="X470" s="1">
        <f>IF(W470=1,L470,0)</f>
        <v>0</v>
      </c>
      <c r="Y470" s="1">
        <f>IF(L470&gt;0,1,0)</f>
        <v>0</v>
      </c>
      <c r="Z470" s="1">
        <f>IF(Y470=1,L470,0)</f>
        <v>0</v>
      </c>
      <c r="AA470" s="1">
        <f>IF(X470&lt;-100000000/100,1,0)</f>
        <v>0</v>
      </c>
      <c r="AB470" s="1">
        <f>IF(Z470&gt;100000000/100,1,0)</f>
        <v>0</v>
      </c>
    </row>
    <row r="471" spans="1:28" s="1" customFormat="1">
      <c r="A471" s="3">
        <v>45674</v>
      </c>
      <c r="B471" s="2" t="s">
        <v>15</v>
      </c>
      <c r="C471" s="1">
        <f>SUM(PL!E471:H471)</f>
        <v>0</v>
      </c>
      <c r="D471" s="1">
        <f>SUM(PL!I471:L471)</f>
        <v>0</v>
      </c>
      <c r="E471" s="1">
        <f>SUM(C471:D471)</f>
        <v>0</v>
      </c>
      <c r="F471" s="1">
        <f>IF(C471 + F470 &lt; 0, C471 + F470, 0)</f>
        <v>0</v>
      </c>
      <c r="G471" s="1">
        <f>IF(D471 + G470 &lt; 0, D471 + G470, 0)</f>
        <v>0</v>
      </c>
      <c r="H471" s="1">
        <f>IF(E471 + H470 &lt; 0, E471 + H470, 0)</f>
        <v>0</v>
      </c>
      <c r="I471" s="1">
        <f>IF(H471 &lt; 0, 1 + I470, 0)</f>
        <v>0</v>
      </c>
      <c r="J471" s="1">
        <f>C471-((ABS(SUM(PL!E471:H471)))*0.125)</f>
        <v>0</v>
      </c>
      <c r="K471" s="1">
        <f>D471-((ABS(SUM(PL!I471:L471)))*0.125)</f>
        <v>0</v>
      </c>
      <c r="L471" s="1">
        <f>J471 + K471</f>
        <v>0</v>
      </c>
      <c r="M471" s="1">
        <f>IF(J471 + M470 &lt; 0, J471 + M470, 0)</f>
        <v>0</v>
      </c>
      <c r="N471" s="1">
        <f>IF(K471 + N470 &lt; 0, K471 + N470, 0)</f>
        <v>0</v>
      </c>
      <c r="O471" s="1">
        <f>IF(L471 + O470 &lt; 0, L471 + O470, 0)</f>
        <v>0</v>
      </c>
      <c r="P471" s="1">
        <f>IF(O471 &lt; 0, 1 + P470, 0)</f>
        <v>0</v>
      </c>
      <c r="Q471" s="1">
        <f>IF(E471&lt;0,1,0)</f>
        <v>0</v>
      </c>
      <c r="R471" s="1">
        <f>IF(Q471=1,E471,0)</f>
        <v>0</v>
      </c>
      <c r="S471" s="1">
        <f>IF(E471&gt;0,1,0)</f>
        <v>0</v>
      </c>
      <c r="T471" s="1">
        <f>IF(S471=1,E471,0)</f>
        <v>0</v>
      </c>
      <c r="U471" s="1">
        <f>IF(R471&lt;-100000000/100,1,0)</f>
        <v>0</v>
      </c>
      <c r="V471" s="1">
        <f>IF(T471&gt;100000000/100,1,0)</f>
        <v>0</v>
      </c>
      <c r="W471" s="1">
        <f>IF(L471&lt;0,1,0)</f>
        <v>0</v>
      </c>
      <c r="X471" s="1">
        <f>IF(W471=1,L471,0)</f>
        <v>0</v>
      </c>
      <c r="Y471" s="1">
        <f>IF(L471&gt;0,1,0)</f>
        <v>0</v>
      </c>
      <c r="Z471" s="1">
        <f>IF(Y471=1,L471,0)</f>
        <v>0</v>
      </c>
      <c r="AA471" s="1">
        <f>IF(X471&lt;-100000000/100,1,0)</f>
        <v>0</v>
      </c>
      <c r="AB471" s="1">
        <f>IF(Z471&gt;100000000/100,1,0)</f>
        <v>0</v>
      </c>
    </row>
    <row r="472" spans="1:28" s="1" customFormat="1">
      <c r="A472" s="3">
        <v>45677</v>
      </c>
      <c r="B472" s="2" t="s">
        <v>12</v>
      </c>
      <c r="C472" s="1">
        <f>SUM(PL!E472:H472)</f>
        <v>0</v>
      </c>
      <c r="D472" s="1">
        <f>SUM(PL!I472:L472)</f>
        <v>0</v>
      </c>
      <c r="E472" s="1">
        <f>SUM(C472:D472)</f>
        <v>0</v>
      </c>
      <c r="F472" s="1">
        <f>IF(C472 + F471 &lt; 0, C472 + F471, 0)</f>
        <v>0</v>
      </c>
      <c r="G472" s="1">
        <f>IF(D472 + G471 &lt; 0, D472 + G471, 0)</f>
        <v>0</v>
      </c>
      <c r="H472" s="1">
        <f>IF(E472 + H471 &lt; 0, E472 + H471, 0)</f>
        <v>0</v>
      </c>
      <c r="I472" s="1">
        <f>IF(H472 &lt; 0, 1 + I471, 0)</f>
        <v>0</v>
      </c>
      <c r="J472" s="1">
        <f>C472-((ABS(SUM(PL!E472:H472)))*0.125)</f>
        <v>0</v>
      </c>
      <c r="K472" s="1">
        <f>D472-((ABS(SUM(PL!I472:L472)))*0.125)</f>
        <v>0</v>
      </c>
      <c r="L472" s="1">
        <f>J472 + K472</f>
        <v>0</v>
      </c>
      <c r="M472" s="1">
        <f>IF(J472 + M471 &lt; 0, J472 + M471, 0)</f>
        <v>0</v>
      </c>
      <c r="N472" s="1">
        <f>IF(K472 + N471 &lt; 0, K472 + N471, 0)</f>
        <v>0</v>
      </c>
      <c r="O472" s="1">
        <f>IF(L472 + O471 &lt; 0, L472 + O471, 0)</f>
        <v>0</v>
      </c>
      <c r="P472" s="1">
        <f>IF(O472 &lt; 0, 1 + P471, 0)</f>
        <v>0</v>
      </c>
      <c r="Q472" s="1">
        <f>IF(E472&lt;0,1,0)</f>
        <v>0</v>
      </c>
      <c r="R472" s="1">
        <f>IF(Q472=1,E472,0)</f>
        <v>0</v>
      </c>
      <c r="S472" s="1">
        <f>IF(E472&gt;0,1,0)</f>
        <v>0</v>
      </c>
      <c r="T472" s="1">
        <f>IF(S472=1,E472,0)</f>
        <v>0</v>
      </c>
      <c r="U472" s="1">
        <f>IF(R472&lt;-100000000/100,1,0)</f>
        <v>0</v>
      </c>
      <c r="V472" s="1">
        <f>IF(T472&gt;100000000/100,1,0)</f>
        <v>0</v>
      </c>
      <c r="W472" s="1">
        <f>IF(L472&lt;0,1,0)</f>
        <v>0</v>
      </c>
      <c r="X472" s="1">
        <f>IF(W472=1,L472,0)</f>
        <v>0</v>
      </c>
      <c r="Y472" s="1">
        <f>IF(L472&gt;0,1,0)</f>
        <v>0</v>
      </c>
      <c r="Z472" s="1">
        <f>IF(Y472=1,L472,0)</f>
        <v>0</v>
      </c>
      <c r="AA472" s="1">
        <f>IF(X472&lt;-100000000/100,1,0)</f>
        <v>0</v>
      </c>
      <c r="AB472" s="1">
        <f>IF(Z472&gt;100000000/100,1,0)</f>
        <v>0</v>
      </c>
    </row>
    <row r="473" spans="1:28" s="1" customFormat="1">
      <c r="A473" s="3">
        <v>45678</v>
      </c>
      <c r="B473" s="2" t="s">
        <v>13</v>
      </c>
      <c r="C473" s="1">
        <f>SUM(PL!E473:H473)</f>
        <v>0</v>
      </c>
      <c r="D473" s="1">
        <f>SUM(PL!I473:L473)</f>
        <v>0</v>
      </c>
      <c r="E473" s="1">
        <f>SUM(C473:D473)</f>
        <v>0</v>
      </c>
      <c r="F473" s="1">
        <f>IF(C473 + F472 &lt; 0, C473 + F472, 0)</f>
        <v>0</v>
      </c>
      <c r="G473" s="1">
        <f>IF(D473 + G472 &lt; 0, D473 + G472, 0)</f>
        <v>0</v>
      </c>
      <c r="H473" s="1">
        <f>IF(E473 + H472 &lt; 0, E473 + H472, 0)</f>
        <v>0</v>
      </c>
      <c r="I473" s="1">
        <f>IF(H473 &lt; 0, 1 + I472, 0)</f>
        <v>0</v>
      </c>
      <c r="J473" s="1">
        <f>C473-((ABS(SUM(PL!E473:H473)))*0.125)</f>
        <v>0</v>
      </c>
      <c r="K473" s="1">
        <f>D473-((ABS(SUM(PL!I473:L473)))*0.125)</f>
        <v>0</v>
      </c>
      <c r="L473" s="1">
        <f>J473 + K473</f>
        <v>0</v>
      </c>
      <c r="M473" s="1">
        <f>IF(J473 + M472 &lt; 0, J473 + M472, 0)</f>
        <v>0</v>
      </c>
      <c r="N473" s="1">
        <f>IF(K473 + N472 &lt; 0, K473 + N472, 0)</f>
        <v>0</v>
      </c>
      <c r="O473" s="1">
        <f>IF(L473 + O472 &lt; 0, L473 + O472, 0)</f>
        <v>0</v>
      </c>
      <c r="P473" s="1">
        <f>IF(O473 &lt; 0, 1 + P472, 0)</f>
        <v>0</v>
      </c>
      <c r="Q473" s="1">
        <f>IF(E473&lt;0,1,0)</f>
        <v>0</v>
      </c>
      <c r="R473" s="1">
        <f>IF(Q473=1,E473,0)</f>
        <v>0</v>
      </c>
      <c r="S473" s="1">
        <f>IF(E473&gt;0,1,0)</f>
        <v>0</v>
      </c>
      <c r="T473" s="1">
        <f>IF(S473=1,E473,0)</f>
        <v>0</v>
      </c>
      <c r="U473" s="1">
        <f>IF(R473&lt;-100000000/100,1,0)</f>
        <v>0</v>
      </c>
      <c r="V473" s="1">
        <f>IF(T473&gt;100000000/100,1,0)</f>
        <v>0</v>
      </c>
      <c r="W473" s="1">
        <f>IF(L473&lt;0,1,0)</f>
        <v>0</v>
      </c>
      <c r="X473" s="1">
        <f>IF(W473=1,L473,0)</f>
        <v>0</v>
      </c>
      <c r="Y473" s="1">
        <f>IF(L473&gt;0,1,0)</f>
        <v>0</v>
      </c>
      <c r="Z473" s="1">
        <f>IF(Y473=1,L473,0)</f>
        <v>0</v>
      </c>
      <c r="AA473" s="1">
        <f>IF(X473&lt;-100000000/100,1,0)</f>
        <v>0</v>
      </c>
      <c r="AB473" s="1">
        <f>IF(Z473&gt;100000000/100,1,0)</f>
        <v>0</v>
      </c>
    </row>
    <row r="474" spans="1:28" s="1" customFormat="1">
      <c r="A474" s="3">
        <v>45679</v>
      </c>
      <c r="B474" s="2" t="s">
        <v>14</v>
      </c>
      <c r="C474" s="1">
        <f>SUM(PL!E474:H474)</f>
        <v>0</v>
      </c>
      <c r="D474" s="1">
        <f>SUM(PL!I474:L474)</f>
        <v>0</v>
      </c>
      <c r="E474" s="1">
        <f>SUM(C474:D474)</f>
        <v>0</v>
      </c>
      <c r="F474" s="1">
        <f>IF(C474 + F473 &lt; 0, C474 + F473, 0)</f>
        <v>0</v>
      </c>
      <c r="G474" s="1">
        <f>IF(D474 + G473 &lt; 0, D474 + G473, 0)</f>
        <v>0</v>
      </c>
      <c r="H474" s="1">
        <f>IF(E474 + H473 &lt; 0, E474 + H473, 0)</f>
        <v>0</v>
      </c>
      <c r="I474" s="1">
        <f>IF(H474 &lt; 0, 1 + I473, 0)</f>
        <v>0</v>
      </c>
      <c r="J474" s="1">
        <f>C474-((ABS(SUM(PL!E474:H474)))*0.125)</f>
        <v>0</v>
      </c>
      <c r="K474" s="1">
        <f>D474-((ABS(SUM(PL!I474:L474)))*0.125)</f>
        <v>0</v>
      </c>
      <c r="L474" s="1">
        <f>J474 + K474</f>
        <v>0</v>
      </c>
      <c r="M474" s="1">
        <f>IF(J474 + M473 &lt; 0, J474 + M473, 0)</f>
        <v>0</v>
      </c>
      <c r="N474" s="1">
        <f>IF(K474 + N473 &lt; 0, K474 + N473, 0)</f>
        <v>0</v>
      </c>
      <c r="O474" s="1">
        <f>IF(L474 + O473 &lt; 0, L474 + O473, 0)</f>
        <v>0</v>
      </c>
      <c r="P474" s="1">
        <f>IF(O474 &lt; 0, 1 + P473, 0)</f>
        <v>0</v>
      </c>
      <c r="Q474" s="1">
        <f>IF(E474&lt;0,1,0)</f>
        <v>0</v>
      </c>
      <c r="R474" s="1">
        <f>IF(Q474=1,E474,0)</f>
        <v>0</v>
      </c>
      <c r="S474" s="1">
        <f>IF(E474&gt;0,1,0)</f>
        <v>0</v>
      </c>
      <c r="T474" s="1">
        <f>IF(S474=1,E474,0)</f>
        <v>0</v>
      </c>
      <c r="U474" s="1">
        <f>IF(R474&lt;-100000000/100,1,0)</f>
        <v>0</v>
      </c>
      <c r="V474" s="1">
        <f>IF(T474&gt;100000000/100,1,0)</f>
        <v>0</v>
      </c>
      <c r="W474" s="1">
        <f>IF(L474&lt;0,1,0)</f>
        <v>0</v>
      </c>
      <c r="X474" s="1">
        <f>IF(W474=1,L474,0)</f>
        <v>0</v>
      </c>
      <c r="Y474" s="1">
        <f>IF(L474&gt;0,1,0)</f>
        <v>0</v>
      </c>
      <c r="Z474" s="1">
        <f>IF(Y474=1,L474,0)</f>
        <v>0</v>
      </c>
      <c r="AA474" s="1">
        <f>IF(X474&lt;-100000000/100,1,0)</f>
        <v>0</v>
      </c>
      <c r="AB474" s="1">
        <f>IF(Z474&gt;100000000/100,1,0)</f>
        <v>0</v>
      </c>
    </row>
    <row r="475" spans="1:28" s="1" customFormat="1">
      <c r="A475" s="3">
        <v>45680</v>
      </c>
      <c r="B475" s="2" t="s">
        <v>16</v>
      </c>
      <c r="C475" s="1">
        <f>SUM(PL!E475:H475)</f>
        <v>0</v>
      </c>
      <c r="D475" s="1">
        <f>SUM(PL!I475:L475)</f>
        <v>0</v>
      </c>
      <c r="E475" s="1">
        <f>SUM(C475:D475)</f>
        <v>0</v>
      </c>
      <c r="F475" s="1">
        <f>IF(C475 + F474 &lt; 0, C475 + F474, 0)</f>
        <v>0</v>
      </c>
      <c r="G475" s="1">
        <f>IF(D475 + G474 &lt; 0, D475 + G474, 0)</f>
        <v>0</v>
      </c>
      <c r="H475" s="1">
        <f>IF(E475 + H474 &lt; 0, E475 + H474, 0)</f>
        <v>0</v>
      </c>
      <c r="I475" s="1">
        <f>IF(H475 &lt; 0, 1 + I474, 0)</f>
        <v>0</v>
      </c>
      <c r="J475" s="1">
        <f>C475-((ABS(SUM(PL!E475:H475)))*0.125)</f>
        <v>0</v>
      </c>
      <c r="K475" s="1">
        <f>D475-((ABS(SUM(PL!I475:L475)))*0.125)</f>
        <v>0</v>
      </c>
      <c r="L475" s="1">
        <f>J475 + K475</f>
        <v>0</v>
      </c>
      <c r="M475" s="1">
        <f>IF(J475 + M474 &lt; 0, J475 + M474, 0)</f>
        <v>0</v>
      </c>
      <c r="N475" s="1">
        <f>IF(K475 + N474 &lt; 0, K475 + N474, 0)</f>
        <v>0</v>
      </c>
      <c r="O475" s="1">
        <f>IF(L475 + O474 &lt; 0, L475 + O474, 0)</f>
        <v>0</v>
      </c>
      <c r="P475" s="1">
        <f>IF(O475 &lt; 0, 1 + P474, 0)</f>
        <v>0</v>
      </c>
      <c r="Q475" s="1">
        <f>IF(E475&lt;0,1,0)</f>
        <v>0</v>
      </c>
      <c r="R475" s="1">
        <f>IF(Q475=1,E475,0)</f>
        <v>0</v>
      </c>
      <c r="S475" s="1">
        <f>IF(E475&gt;0,1,0)</f>
        <v>0</v>
      </c>
      <c r="T475" s="1">
        <f>IF(S475=1,E475,0)</f>
        <v>0</v>
      </c>
      <c r="U475" s="1">
        <f>IF(R475&lt;-100000000/100,1,0)</f>
        <v>0</v>
      </c>
      <c r="V475" s="1">
        <f>IF(T475&gt;100000000/100,1,0)</f>
        <v>0</v>
      </c>
      <c r="W475" s="1">
        <f>IF(L475&lt;0,1,0)</f>
        <v>0</v>
      </c>
      <c r="X475" s="1">
        <f>IF(W475=1,L475,0)</f>
        <v>0</v>
      </c>
      <c r="Y475" s="1">
        <f>IF(L475&gt;0,1,0)</f>
        <v>0</v>
      </c>
      <c r="Z475" s="1">
        <f>IF(Y475=1,L475,0)</f>
        <v>0</v>
      </c>
      <c r="AA475" s="1">
        <f>IF(X475&lt;-100000000/100,1,0)</f>
        <v>0</v>
      </c>
      <c r="AB475" s="1">
        <f>IF(Z475&gt;100000000/100,1,0)</f>
        <v>0</v>
      </c>
    </row>
    <row r="476" spans="1:28" s="1" customFormat="1">
      <c r="A476" s="3">
        <v>45681</v>
      </c>
      <c r="B476" s="2" t="s">
        <v>15</v>
      </c>
      <c r="C476" s="1">
        <f>SUM(PL!E476:H476)</f>
        <v>0</v>
      </c>
      <c r="D476" s="1">
        <f>SUM(PL!I476:L476)</f>
        <v>0</v>
      </c>
      <c r="E476" s="1">
        <f>SUM(C476:D476)</f>
        <v>0</v>
      </c>
      <c r="F476" s="1">
        <f>IF(C476 + F475 &lt; 0, C476 + F475, 0)</f>
        <v>0</v>
      </c>
      <c r="G476" s="1">
        <f>IF(D476 + G475 &lt; 0, D476 + G475, 0)</f>
        <v>0</v>
      </c>
      <c r="H476" s="1">
        <f>IF(E476 + H475 &lt; 0, E476 + H475, 0)</f>
        <v>0</v>
      </c>
      <c r="I476" s="1">
        <f>IF(H476 &lt; 0, 1 + I475, 0)</f>
        <v>0</v>
      </c>
      <c r="J476" s="1">
        <f>C476-((ABS(SUM(PL!E476:H476)))*0.125)</f>
        <v>0</v>
      </c>
      <c r="K476" s="1">
        <f>D476-((ABS(SUM(PL!I476:L476)))*0.125)</f>
        <v>0</v>
      </c>
      <c r="L476" s="1">
        <f>J476 + K476</f>
        <v>0</v>
      </c>
      <c r="M476" s="1">
        <f>IF(J476 + M475 &lt; 0, J476 + M475, 0)</f>
        <v>0</v>
      </c>
      <c r="N476" s="1">
        <f>IF(K476 + N475 &lt; 0, K476 + N475, 0)</f>
        <v>0</v>
      </c>
      <c r="O476" s="1">
        <f>IF(L476 + O475 &lt; 0, L476 + O475, 0)</f>
        <v>0</v>
      </c>
      <c r="P476" s="1">
        <f>IF(O476 &lt; 0, 1 + P475, 0)</f>
        <v>0</v>
      </c>
      <c r="Q476" s="1">
        <f>IF(E476&lt;0,1,0)</f>
        <v>0</v>
      </c>
      <c r="R476" s="1">
        <f>IF(Q476=1,E476,0)</f>
        <v>0</v>
      </c>
      <c r="S476" s="1">
        <f>IF(E476&gt;0,1,0)</f>
        <v>0</v>
      </c>
      <c r="T476" s="1">
        <f>IF(S476=1,E476,0)</f>
        <v>0</v>
      </c>
      <c r="U476" s="1">
        <f>IF(R476&lt;-100000000/100,1,0)</f>
        <v>0</v>
      </c>
      <c r="V476" s="1">
        <f>IF(T476&gt;100000000/100,1,0)</f>
        <v>0</v>
      </c>
      <c r="W476" s="1">
        <f>IF(L476&lt;0,1,0)</f>
        <v>0</v>
      </c>
      <c r="X476" s="1">
        <f>IF(W476=1,L476,0)</f>
        <v>0</v>
      </c>
      <c r="Y476" s="1">
        <f>IF(L476&gt;0,1,0)</f>
        <v>0</v>
      </c>
      <c r="Z476" s="1">
        <f>IF(Y476=1,L476,0)</f>
        <v>0</v>
      </c>
      <c r="AA476" s="1">
        <f>IF(X476&lt;-100000000/100,1,0)</f>
        <v>0</v>
      </c>
      <c r="AB476" s="1">
        <f>IF(Z476&gt;100000000/100,1,0)</f>
        <v>0</v>
      </c>
    </row>
    <row r="477" spans="1:28" s="1" customFormat="1">
      <c r="A477" s="3">
        <v>45684</v>
      </c>
      <c r="B477" s="2" t="s">
        <v>12</v>
      </c>
      <c r="C477" s="1">
        <f>SUM(PL!E477:H477)</f>
        <v>0</v>
      </c>
      <c r="D477" s="1">
        <f>SUM(PL!I477:L477)</f>
        <v>0</v>
      </c>
      <c r="E477" s="1">
        <f>SUM(C477:D477)</f>
        <v>0</v>
      </c>
      <c r="F477" s="1">
        <f>IF(C477 + F476 &lt; 0, C477 + F476, 0)</f>
        <v>0</v>
      </c>
      <c r="G477" s="1">
        <f>IF(D477 + G476 &lt; 0, D477 + G476, 0)</f>
        <v>0</v>
      </c>
      <c r="H477" s="1">
        <f>IF(E477 + H476 &lt; 0, E477 + H476, 0)</f>
        <v>0</v>
      </c>
      <c r="I477" s="1">
        <f>IF(H477 &lt; 0, 1 + I476, 0)</f>
        <v>0</v>
      </c>
      <c r="J477" s="1">
        <f>C477-((ABS(SUM(PL!E477:H477)))*0.125)</f>
        <v>0</v>
      </c>
      <c r="K477" s="1">
        <f>D477-((ABS(SUM(PL!I477:L477)))*0.125)</f>
        <v>0</v>
      </c>
      <c r="L477" s="1">
        <f>J477 + K477</f>
        <v>0</v>
      </c>
      <c r="M477" s="1">
        <f>IF(J477 + M476 &lt; 0, J477 + M476, 0)</f>
        <v>0</v>
      </c>
      <c r="N477" s="1">
        <f>IF(K477 + N476 &lt; 0, K477 + N476, 0)</f>
        <v>0</v>
      </c>
      <c r="O477" s="1">
        <f>IF(L477 + O476 &lt; 0, L477 + O476, 0)</f>
        <v>0</v>
      </c>
      <c r="P477" s="1">
        <f>IF(O477 &lt; 0, 1 + P476, 0)</f>
        <v>0</v>
      </c>
      <c r="Q477" s="1">
        <f>IF(E477&lt;0,1,0)</f>
        <v>0</v>
      </c>
      <c r="R477" s="1">
        <f>IF(Q477=1,E477,0)</f>
        <v>0</v>
      </c>
      <c r="S477" s="1">
        <f>IF(E477&gt;0,1,0)</f>
        <v>0</v>
      </c>
      <c r="T477" s="1">
        <f>IF(S477=1,E477,0)</f>
        <v>0</v>
      </c>
      <c r="U477" s="1">
        <f>IF(R477&lt;-100000000/100,1,0)</f>
        <v>0</v>
      </c>
      <c r="V477" s="1">
        <f>IF(T477&gt;100000000/100,1,0)</f>
        <v>0</v>
      </c>
      <c r="W477" s="1">
        <f>IF(L477&lt;0,1,0)</f>
        <v>0</v>
      </c>
      <c r="X477" s="1">
        <f>IF(W477=1,L477,0)</f>
        <v>0</v>
      </c>
      <c r="Y477" s="1">
        <f>IF(L477&gt;0,1,0)</f>
        <v>0</v>
      </c>
      <c r="Z477" s="1">
        <f>IF(Y477=1,L477,0)</f>
        <v>0</v>
      </c>
      <c r="AA477" s="1">
        <f>IF(X477&lt;-100000000/100,1,0)</f>
        <v>0</v>
      </c>
      <c r="AB477" s="1">
        <f>IF(Z477&gt;100000000/100,1,0)</f>
        <v>0</v>
      </c>
    </row>
    <row r="478" spans="1:28" s="1" customFormat="1">
      <c r="A478" s="3">
        <v>45685</v>
      </c>
      <c r="B478" s="2" t="s">
        <v>13</v>
      </c>
      <c r="C478" s="1">
        <f>SUM(PL!E478:H478)</f>
        <v>0</v>
      </c>
      <c r="D478" s="1">
        <f>SUM(PL!I478:L478)</f>
        <v>0</v>
      </c>
      <c r="E478" s="1">
        <f>SUM(C478:D478)</f>
        <v>0</v>
      </c>
      <c r="F478" s="1">
        <f>IF(C478 + F477 &lt; 0, C478 + F477, 0)</f>
        <v>0</v>
      </c>
      <c r="G478" s="1">
        <f>IF(D478 + G477 &lt; 0, D478 + G477, 0)</f>
        <v>0</v>
      </c>
      <c r="H478" s="1">
        <f>IF(E478 + H477 &lt; 0, E478 + H477, 0)</f>
        <v>0</v>
      </c>
      <c r="I478" s="1">
        <f>IF(H478 &lt; 0, 1 + I477, 0)</f>
        <v>0</v>
      </c>
      <c r="J478" s="1">
        <f>C478-((ABS(SUM(PL!E478:H478)))*0.125)</f>
        <v>0</v>
      </c>
      <c r="K478" s="1">
        <f>D478-((ABS(SUM(PL!I478:L478)))*0.125)</f>
        <v>0</v>
      </c>
      <c r="L478" s="1">
        <f>J478 + K478</f>
        <v>0</v>
      </c>
      <c r="M478" s="1">
        <f>IF(J478 + M477 &lt; 0, J478 + M477, 0)</f>
        <v>0</v>
      </c>
      <c r="N478" s="1">
        <f>IF(K478 + N477 &lt; 0, K478 + N477, 0)</f>
        <v>0</v>
      </c>
      <c r="O478" s="1">
        <f>IF(L478 + O477 &lt; 0, L478 + O477, 0)</f>
        <v>0</v>
      </c>
      <c r="P478" s="1">
        <f>IF(O478 &lt; 0, 1 + P477, 0)</f>
        <v>0</v>
      </c>
      <c r="Q478" s="1">
        <f>IF(E478&lt;0,1,0)</f>
        <v>0</v>
      </c>
      <c r="R478" s="1">
        <f>IF(Q478=1,E478,0)</f>
        <v>0</v>
      </c>
      <c r="S478" s="1">
        <f>IF(E478&gt;0,1,0)</f>
        <v>0</v>
      </c>
      <c r="T478" s="1">
        <f>IF(S478=1,E478,0)</f>
        <v>0</v>
      </c>
      <c r="U478" s="1">
        <f>IF(R478&lt;-100000000/100,1,0)</f>
        <v>0</v>
      </c>
      <c r="V478" s="1">
        <f>IF(T478&gt;100000000/100,1,0)</f>
        <v>0</v>
      </c>
      <c r="W478" s="1">
        <f>IF(L478&lt;0,1,0)</f>
        <v>0</v>
      </c>
      <c r="X478" s="1">
        <f>IF(W478=1,L478,0)</f>
        <v>0</v>
      </c>
      <c r="Y478" s="1">
        <f>IF(L478&gt;0,1,0)</f>
        <v>0</v>
      </c>
      <c r="Z478" s="1">
        <f>IF(Y478=1,L478,0)</f>
        <v>0</v>
      </c>
      <c r="AA478" s="1">
        <f>IF(X478&lt;-100000000/100,1,0)</f>
        <v>0</v>
      </c>
      <c r="AB478" s="1">
        <f>IF(Z478&gt;100000000/100,1,0)</f>
        <v>0</v>
      </c>
    </row>
    <row r="479" spans="1:28" s="1" customFormat="1">
      <c r="A479" s="3">
        <v>45686</v>
      </c>
      <c r="B479" s="2" t="s">
        <v>14</v>
      </c>
      <c r="C479" s="1">
        <f>SUM(PL!E479:H479)</f>
        <v>0</v>
      </c>
      <c r="D479" s="1">
        <f>SUM(PL!I479:L479)</f>
        <v>0</v>
      </c>
      <c r="E479" s="1">
        <f>SUM(C479:D479)</f>
        <v>0</v>
      </c>
      <c r="F479" s="1">
        <f>IF(C479 + F478 &lt; 0, C479 + F478, 0)</f>
        <v>0</v>
      </c>
      <c r="G479" s="1">
        <f>IF(D479 + G478 &lt; 0, D479 + G478, 0)</f>
        <v>0</v>
      </c>
      <c r="H479" s="1">
        <f>IF(E479 + H478 &lt; 0, E479 + H478, 0)</f>
        <v>0</v>
      </c>
      <c r="I479" s="1">
        <f>IF(H479 &lt; 0, 1 + I478, 0)</f>
        <v>0</v>
      </c>
      <c r="J479" s="1">
        <f>C479-((ABS(SUM(PL!E479:H479)))*0.125)</f>
        <v>0</v>
      </c>
      <c r="K479" s="1">
        <f>D479-((ABS(SUM(PL!I479:L479)))*0.125)</f>
        <v>0</v>
      </c>
      <c r="L479" s="1">
        <f>J479 + K479</f>
        <v>0</v>
      </c>
      <c r="M479" s="1">
        <f>IF(J479 + M478 &lt; 0, J479 + M478, 0)</f>
        <v>0</v>
      </c>
      <c r="N479" s="1">
        <f>IF(K479 + N478 &lt; 0, K479 + N478, 0)</f>
        <v>0</v>
      </c>
      <c r="O479" s="1">
        <f>IF(L479 + O478 &lt; 0, L479 + O478, 0)</f>
        <v>0</v>
      </c>
      <c r="P479" s="1">
        <f>IF(O479 &lt; 0, 1 + P478, 0)</f>
        <v>0</v>
      </c>
      <c r="Q479" s="1">
        <f>IF(E479&lt;0,1,0)</f>
        <v>0</v>
      </c>
      <c r="R479" s="1">
        <f>IF(Q479=1,E479,0)</f>
        <v>0</v>
      </c>
      <c r="S479" s="1">
        <f>IF(E479&gt;0,1,0)</f>
        <v>0</v>
      </c>
      <c r="T479" s="1">
        <f>IF(S479=1,E479,0)</f>
        <v>0</v>
      </c>
      <c r="U479" s="1">
        <f>IF(R479&lt;-100000000/100,1,0)</f>
        <v>0</v>
      </c>
      <c r="V479" s="1">
        <f>IF(T479&gt;100000000/100,1,0)</f>
        <v>0</v>
      </c>
      <c r="W479" s="1">
        <f>IF(L479&lt;0,1,0)</f>
        <v>0</v>
      </c>
      <c r="X479" s="1">
        <f>IF(W479=1,L479,0)</f>
        <v>0</v>
      </c>
      <c r="Y479" s="1">
        <f>IF(L479&gt;0,1,0)</f>
        <v>0</v>
      </c>
      <c r="Z479" s="1">
        <f>IF(Y479=1,L479,0)</f>
        <v>0</v>
      </c>
      <c r="AA479" s="1">
        <f>IF(X479&lt;-100000000/100,1,0)</f>
        <v>0</v>
      </c>
      <c r="AB479" s="1">
        <f>IF(Z479&gt;100000000/100,1,0)</f>
        <v>0</v>
      </c>
    </row>
    <row r="480" spans="1:28" s="1" customFormat="1">
      <c r="A480" s="3">
        <v>45687</v>
      </c>
      <c r="B480" s="2" t="s">
        <v>16</v>
      </c>
      <c r="C480" s="1">
        <f>SUM(PL!E480:H480)</f>
        <v>0</v>
      </c>
      <c r="D480" s="1">
        <f>SUM(PL!I480:L480)</f>
        <v>0</v>
      </c>
      <c r="E480" s="1">
        <f>SUM(C480:D480)</f>
        <v>0</v>
      </c>
      <c r="F480" s="1">
        <f>IF(C480 + F479 &lt; 0, C480 + F479, 0)</f>
        <v>0</v>
      </c>
      <c r="G480" s="1">
        <f>IF(D480 + G479 &lt; 0, D480 + G479, 0)</f>
        <v>0</v>
      </c>
      <c r="H480" s="1">
        <f>IF(E480 + H479 &lt; 0, E480 + H479, 0)</f>
        <v>0</v>
      </c>
      <c r="I480" s="1">
        <f>IF(H480 &lt; 0, 1 + I479, 0)</f>
        <v>0</v>
      </c>
      <c r="J480" s="1">
        <f>C480-((ABS(SUM(PL!E480:H480)))*0.125)</f>
        <v>0</v>
      </c>
      <c r="K480" s="1">
        <f>D480-((ABS(SUM(PL!I480:L480)))*0.125)</f>
        <v>0</v>
      </c>
      <c r="L480" s="1">
        <f>J480 + K480</f>
        <v>0</v>
      </c>
      <c r="M480" s="1">
        <f>IF(J480 + M479 &lt; 0, J480 + M479, 0)</f>
        <v>0</v>
      </c>
      <c r="N480" s="1">
        <f>IF(K480 + N479 &lt; 0, K480 + N479, 0)</f>
        <v>0</v>
      </c>
      <c r="O480" s="1">
        <f>IF(L480 + O479 &lt; 0, L480 + O479, 0)</f>
        <v>0</v>
      </c>
      <c r="P480" s="1">
        <f>IF(O480 &lt; 0, 1 + P479, 0)</f>
        <v>0</v>
      </c>
      <c r="Q480" s="1">
        <f>IF(E480&lt;0,1,0)</f>
        <v>0</v>
      </c>
      <c r="R480" s="1">
        <f>IF(Q480=1,E480,0)</f>
        <v>0</v>
      </c>
      <c r="S480" s="1">
        <f>IF(E480&gt;0,1,0)</f>
        <v>0</v>
      </c>
      <c r="T480" s="1">
        <f>IF(S480=1,E480,0)</f>
        <v>0</v>
      </c>
      <c r="U480" s="1">
        <f>IF(R480&lt;-100000000/100,1,0)</f>
        <v>0</v>
      </c>
      <c r="V480" s="1">
        <f>IF(T480&gt;100000000/100,1,0)</f>
        <v>0</v>
      </c>
      <c r="W480" s="1">
        <f>IF(L480&lt;0,1,0)</f>
        <v>0</v>
      </c>
      <c r="X480" s="1">
        <f>IF(W480=1,L480,0)</f>
        <v>0</v>
      </c>
      <c r="Y480" s="1">
        <f>IF(L480&gt;0,1,0)</f>
        <v>0</v>
      </c>
      <c r="Z480" s="1">
        <f>IF(Y480=1,L480,0)</f>
        <v>0</v>
      </c>
      <c r="AA480" s="1">
        <f>IF(X480&lt;-100000000/100,1,0)</f>
        <v>0</v>
      </c>
      <c r="AB480" s="1">
        <f>IF(Z480&gt;100000000/100,1,0)</f>
        <v>0</v>
      </c>
    </row>
    <row r="481" spans="1:28" s="1" customFormat="1">
      <c r="A481" s="3">
        <v>45688</v>
      </c>
      <c r="B481" s="2" t="s">
        <v>15</v>
      </c>
      <c r="C481" s="1">
        <f>SUM(PL!E481:H481)</f>
        <v>0</v>
      </c>
      <c r="D481" s="1">
        <f>SUM(PL!I481:L481)</f>
        <v>0</v>
      </c>
      <c r="E481" s="1">
        <f>SUM(C481:D481)</f>
        <v>0</v>
      </c>
      <c r="F481" s="1">
        <f>IF(C481 + F480 &lt; 0, C481 + F480, 0)</f>
        <v>0</v>
      </c>
      <c r="G481" s="1">
        <f>IF(D481 + G480 &lt; 0, D481 + G480, 0)</f>
        <v>0</v>
      </c>
      <c r="H481" s="1">
        <f>IF(E481 + H480 &lt; 0, E481 + H480, 0)</f>
        <v>0</v>
      </c>
      <c r="I481" s="1">
        <f>IF(H481 &lt; 0, 1 + I480, 0)</f>
        <v>0</v>
      </c>
      <c r="J481" s="1">
        <f>C481-((ABS(SUM(PL!E481:H481)))*0.125)</f>
        <v>0</v>
      </c>
      <c r="K481" s="1">
        <f>D481-((ABS(SUM(PL!I481:L481)))*0.125)</f>
        <v>0</v>
      </c>
      <c r="L481" s="1">
        <f>J481 + K481</f>
        <v>0</v>
      </c>
      <c r="M481" s="1">
        <f>IF(J481 + M480 &lt; 0, J481 + M480, 0)</f>
        <v>0</v>
      </c>
      <c r="N481" s="1">
        <f>IF(K481 + N480 &lt; 0, K481 + N480, 0)</f>
        <v>0</v>
      </c>
      <c r="O481" s="1">
        <f>IF(L481 + O480 &lt; 0, L481 + O480, 0)</f>
        <v>0</v>
      </c>
      <c r="P481" s="1">
        <f>IF(O481 &lt; 0, 1 + P480, 0)</f>
        <v>0</v>
      </c>
      <c r="Q481" s="1">
        <f>IF(E481&lt;0,1,0)</f>
        <v>0</v>
      </c>
      <c r="R481" s="1">
        <f>IF(Q481=1,E481,0)</f>
        <v>0</v>
      </c>
      <c r="S481" s="1">
        <f>IF(E481&gt;0,1,0)</f>
        <v>0</v>
      </c>
      <c r="T481" s="1">
        <f>IF(S481=1,E481,0)</f>
        <v>0</v>
      </c>
      <c r="U481" s="1">
        <f>IF(R481&lt;-100000000/100,1,0)</f>
        <v>0</v>
      </c>
      <c r="V481" s="1">
        <f>IF(T481&gt;100000000/100,1,0)</f>
        <v>0</v>
      </c>
      <c r="W481" s="1">
        <f>IF(L481&lt;0,1,0)</f>
        <v>0</v>
      </c>
      <c r="X481" s="1">
        <f>IF(W481=1,L481,0)</f>
        <v>0</v>
      </c>
      <c r="Y481" s="1">
        <f>IF(L481&gt;0,1,0)</f>
        <v>0</v>
      </c>
      <c r="Z481" s="1">
        <f>IF(Y481=1,L481,0)</f>
        <v>0</v>
      </c>
      <c r="AA481" s="1">
        <f>IF(X481&lt;-100000000/100,1,0)</f>
        <v>0</v>
      </c>
      <c r="AB481" s="1">
        <f>IF(Z481&gt;100000000/100,1,0)</f>
        <v>0</v>
      </c>
    </row>
    <row r="482" spans="1:28" s="1" customFormat="1">
      <c r="A482" s="3">
        <v>45689</v>
      </c>
      <c r="B482" s="2" t="s">
        <v>18</v>
      </c>
      <c r="C482" s="1">
        <f>SUM(PL!E482:H482)</f>
        <v>0</v>
      </c>
      <c r="D482" s="1">
        <f>SUM(PL!I482:L482)</f>
        <v>0</v>
      </c>
      <c r="E482" s="1">
        <f>SUM(C482:D482)</f>
        <v>0</v>
      </c>
      <c r="F482" s="1">
        <f>IF(C482 + F481 &lt; 0, C482 + F481, 0)</f>
        <v>0</v>
      </c>
      <c r="G482" s="1">
        <f>IF(D482 + G481 &lt; 0, D482 + G481, 0)</f>
        <v>0</v>
      </c>
      <c r="H482" s="1">
        <f>IF(E482 + H481 &lt; 0, E482 + H481, 0)</f>
        <v>0</v>
      </c>
      <c r="I482" s="1">
        <f>IF(H482 &lt; 0, 1 + I481, 0)</f>
        <v>0</v>
      </c>
      <c r="J482" s="1">
        <f>C482-((ABS(SUM(PL!E482:H482)))*0.125)</f>
        <v>0</v>
      </c>
      <c r="K482" s="1">
        <f>D482-((ABS(SUM(PL!I482:L482)))*0.125)</f>
        <v>0</v>
      </c>
      <c r="L482" s="1">
        <f>J482 + K482</f>
        <v>0</v>
      </c>
      <c r="M482" s="1">
        <f>IF(J482 + M481 &lt; 0, J482 + M481, 0)</f>
        <v>0</v>
      </c>
      <c r="N482" s="1">
        <f>IF(K482 + N481 &lt; 0, K482 + N481, 0)</f>
        <v>0</v>
      </c>
      <c r="O482" s="1">
        <f>IF(L482 + O481 &lt; 0, L482 + O481, 0)</f>
        <v>0</v>
      </c>
      <c r="P482" s="1">
        <f>IF(O482 &lt; 0, 1 + P481, 0)</f>
        <v>0</v>
      </c>
      <c r="Q482" s="1">
        <f>IF(E482&lt;0,1,0)</f>
        <v>0</v>
      </c>
      <c r="R482" s="1">
        <f>IF(Q482=1,E482,0)</f>
        <v>0</v>
      </c>
      <c r="S482" s="1">
        <f>IF(E482&gt;0,1,0)</f>
        <v>0</v>
      </c>
      <c r="T482" s="1">
        <f>IF(S482=1,E482,0)</f>
        <v>0</v>
      </c>
      <c r="U482" s="1">
        <f>IF(R482&lt;-100000000/100,1,0)</f>
        <v>0</v>
      </c>
      <c r="V482" s="1">
        <f>IF(T482&gt;100000000/100,1,0)</f>
        <v>0</v>
      </c>
      <c r="W482" s="1">
        <f>IF(L482&lt;0,1,0)</f>
        <v>0</v>
      </c>
      <c r="X482" s="1">
        <f>IF(W482=1,L482,0)</f>
        <v>0</v>
      </c>
      <c r="Y482" s="1">
        <f>IF(L482&gt;0,1,0)</f>
        <v>0</v>
      </c>
      <c r="Z482" s="1">
        <f>IF(Y482=1,L482,0)</f>
        <v>0</v>
      </c>
      <c r="AA482" s="1">
        <f>IF(X482&lt;-100000000/100,1,0)</f>
        <v>0</v>
      </c>
      <c r="AB482" s="1">
        <f>IF(Z482&gt;100000000/100,1,0)</f>
        <v>0</v>
      </c>
    </row>
    <row r="483" spans="1:28" s="1" customFormat="1">
      <c r="A483" s="3">
        <v>45691</v>
      </c>
      <c r="B483" s="2" t="s">
        <v>12</v>
      </c>
      <c r="C483" s="1">
        <f>SUM(PL!E483:H483)</f>
        <v>0</v>
      </c>
      <c r="D483" s="1">
        <f>SUM(PL!I483:L483)</f>
        <v>0</v>
      </c>
      <c r="E483" s="1">
        <f>SUM(C483:D483)</f>
        <v>0</v>
      </c>
      <c r="F483" s="1">
        <f>IF(C483 + F482 &lt; 0, C483 + F482, 0)</f>
        <v>0</v>
      </c>
      <c r="G483" s="1">
        <f>IF(D483 + G482 &lt; 0, D483 + G482, 0)</f>
        <v>0</v>
      </c>
      <c r="H483" s="1">
        <f>IF(E483 + H482 &lt; 0, E483 + H482, 0)</f>
        <v>0</v>
      </c>
      <c r="I483" s="1">
        <f>IF(H483 &lt; 0, 1 + I482, 0)</f>
        <v>0</v>
      </c>
      <c r="J483" s="1">
        <f>C483-((ABS(SUM(PL!E483:H483)))*0.125)</f>
        <v>0</v>
      </c>
      <c r="K483" s="1">
        <f>D483-((ABS(SUM(PL!I483:L483)))*0.125)</f>
        <v>0</v>
      </c>
      <c r="L483" s="1">
        <f>J483 + K483</f>
        <v>0</v>
      </c>
      <c r="M483" s="1">
        <f>IF(J483 + M482 &lt; 0, J483 + M482, 0)</f>
        <v>0</v>
      </c>
      <c r="N483" s="1">
        <f>IF(K483 + N482 &lt; 0, K483 + N482, 0)</f>
        <v>0</v>
      </c>
      <c r="O483" s="1">
        <f>IF(L483 + O482 &lt; 0, L483 + O482, 0)</f>
        <v>0</v>
      </c>
      <c r="P483" s="1">
        <f>IF(O483 &lt; 0, 1 + P482, 0)</f>
        <v>0</v>
      </c>
      <c r="Q483" s="1">
        <f>IF(E483&lt;0,1,0)</f>
        <v>0</v>
      </c>
      <c r="R483" s="1">
        <f>IF(Q483=1,E483,0)</f>
        <v>0</v>
      </c>
      <c r="S483" s="1">
        <f>IF(E483&gt;0,1,0)</f>
        <v>0</v>
      </c>
      <c r="T483" s="1">
        <f>IF(S483=1,E483,0)</f>
        <v>0</v>
      </c>
      <c r="U483" s="1">
        <f>IF(R483&lt;-100000000/100,1,0)</f>
        <v>0</v>
      </c>
      <c r="V483" s="1">
        <f>IF(T483&gt;100000000/100,1,0)</f>
        <v>0</v>
      </c>
      <c r="W483" s="1">
        <f>IF(L483&lt;0,1,0)</f>
        <v>0</v>
      </c>
      <c r="X483" s="1">
        <f>IF(W483=1,L483,0)</f>
        <v>0</v>
      </c>
      <c r="Y483" s="1">
        <f>IF(L483&gt;0,1,0)</f>
        <v>0</v>
      </c>
      <c r="Z483" s="1">
        <f>IF(Y483=1,L483,0)</f>
        <v>0</v>
      </c>
      <c r="AA483" s="1">
        <f>IF(X483&lt;-100000000/100,1,0)</f>
        <v>0</v>
      </c>
      <c r="AB483" s="1">
        <f>IF(Z483&gt;100000000/100,1,0)</f>
        <v>0</v>
      </c>
    </row>
    <row r="484" spans="1:28" s="1" customFormat="1">
      <c r="A484" s="3">
        <v>45692</v>
      </c>
      <c r="B484" s="2" t="s">
        <v>13</v>
      </c>
      <c r="C484" s="1">
        <f>SUM(PL!E484:H484)</f>
        <v>0</v>
      </c>
      <c r="D484" s="1">
        <f>SUM(PL!I484:L484)</f>
        <v>0</v>
      </c>
      <c r="E484" s="1">
        <f>SUM(C484:D484)</f>
        <v>0</v>
      </c>
      <c r="F484" s="1">
        <f>IF(C484 + F483 &lt; 0, C484 + F483, 0)</f>
        <v>0</v>
      </c>
      <c r="G484" s="1">
        <f>IF(D484 + G483 &lt; 0, D484 + G483, 0)</f>
        <v>0</v>
      </c>
      <c r="H484" s="1">
        <f>IF(E484 + H483 &lt; 0, E484 + H483, 0)</f>
        <v>0</v>
      </c>
      <c r="I484" s="1">
        <f>IF(H484 &lt; 0, 1 + I483, 0)</f>
        <v>0</v>
      </c>
      <c r="J484" s="1">
        <f>C484-((ABS(SUM(PL!E484:H484)))*0.125)</f>
        <v>0</v>
      </c>
      <c r="K484" s="1">
        <f>D484-((ABS(SUM(PL!I484:L484)))*0.125)</f>
        <v>0</v>
      </c>
      <c r="L484" s="1">
        <f>J484 + K484</f>
        <v>0</v>
      </c>
      <c r="M484" s="1">
        <f>IF(J484 + M483 &lt; 0, J484 + M483, 0)</f>
        <v>0</v>
      </c>
      <c r="N484" s="1">
        <f>IF(K484 + N483 &lt; 0, K484 + N483, 0)</f>
        <v>0</v>
      </c>
      <c r="O484" s="1">
        <f>IF(L484 + O483 &lt; 0, L484 + O483, 0)</f>
        <v>0</v>
      </c>
      <c r="P484" s="1">
        <f>IF(O484 &lt; 0, 1 + P483, 0)</f>
        <v>0</v>
      </c>
      <c r="Q484" s="1">
        <f>IF(E484&lt;0,1,0)</f>
        <v>0</v>
      </c>
      <c r="R484" s="1">
        <f>IF(Q484=1,E484,0)</f>
        <v>0</v>
      </c>
      <c r="S484" s="1">
        <f>IF(E484&gt;0,1,0)</f>
        <v>0</v>
      </c>
      <c r="T484" s="1">
        <f>IF(S484=1,E484,0)</f>
        <v>0</v>
      </c>
      <c r="U484" s="1">
        <f>IF(R484&lt;-100000000/100,1,0)</f>
        <v>0</v>
      </c>
      <c r="V484" s="1">
        <f>IF(T484&gt;100000000/100,1,0)</f>
        <v>0</v>
      </c>
      <c r="W484" s="1">
        <f>IF(L484&lt;0,1,0)</f>
        <v>0</v>
      </c>
      <c r="X484" s="1">
        <f>IF(W484=1,L484,0)</f>
        <v>0</v>
      </c>
      <c r="Y484" s="1">
        <f>IF(L484&gt;0,1,0)</f>
        <v>0</v>
      </c>
      <c r="Z484" s="1">
        <f>IF(Y484=1,L484,0)</f>
        <v>0</v>
      </c>
      <c r="AA484" s="1">
        <f>IF(X484&lt;-100000000/100,1,0)</f>
        <v>0</v>
      </c>
      <c r="AB484" s="1">
        <f>IF(Z484&gt;100000000/100,1,0)</f>
        <v>0</v>
      </c>
    </row>
    <row r="485" spans="1:28" s="1" customFormat="1">
      <c r="A485" s="3">
        <v>45693</v>
      </c>
      <c r="B485" s="2" t="s">
        <v>14</v>
      </c>
      <c r="C485" s="1">
        <f>SUM(PL!E485:H485)</f>
        <v>0</v>
      </c>
      <c r="D485" s="1">
        <f>SUM(PL!I485:L485)</f>
        <v>0</v>
      </c>
      <c r="E485" s="1">
        <f>SUM(C485:D485)</f>
        <v>0</v>
      </c>
      <c r="F485" s="1">
        <f>IF(C485 + F484 &lt; 0, C485 + F484, 0)</f>
        <v>0</v>
      </c>
      <c r="G485" s="1">
        <f>IF(D485 + G484 &lt; 0, D485 + G484, 0)</f>
        <v>0</v>
      </c>
      <c r="H485" s="1">
        <f>IF(E485 + H484 &lt; 0, E485 + H484, 0)</f>
        <v>0</v>
      </c>
      <c r="I485" s="1">
        <f>IF(H485 &lt; 0, 1 + I484, 0)</f>
        <v>0</v>
      </c>
      <c r="J485" s="1">
        <f>C485-((ABS(SUM(PL!E485:H485)))*0.125)</f>
        <v>0</v>
      </c>
      <c r="K485" s="1">
        <f>D485-((ABS(SUM(PL!I485:L485)))*0.125)</f>
        <v>0</v>
      </c>
      <c r="L485" s="1">
        <f>J485 + K485</f>
        <v>0</v>
      </c>
      <c r="M485" s="1">
        <f>IF(J485 + M484 &lt; 0, J485 + M484, 0)</f>
        <v>0</v>
      </c>
      <c r="N485" s="1">
        <f>IF(K485 + N484 &lt; 0, K485 + N484, 0)</f>
        <v>0</v>
      </c>
      <c r="O485" s="1">
        <f>IF(L485 + O484 &lt; 0, L485 + O484, 0)</f>
        <v>0</v>
      </c>
      <c r="P485" s="1">
        <f>IF(O485 &lt; 0, 1 + P484, 0)</f>
        <v>0</v>
      </c>
      <c r="Q485" s="1">
        <f>IF(E485&lt;0,1,0)</f>
        <v>0</v>
      </c>
      <c r="R485" s="1">
        <f>IF(Q485=1,E485,0)</f>
        <v>0</v>
      </c>
      <c r="S485" s="1">
        <f>IF(E485&gt;0,1,0)</f>
        <v>0</v>
      </c>
      <c r="T485" s="1">
        <f>IF(S485=1,E485,0)</f>
        <v>0</v>
      </c>
      <c r="U485" s="1">
        <f>IF(R485&lt;-100000000/100,1,0)</f>
        <v>0</v>
      </c>
      <c r="V485" s="1">
        <f>IF(T485&gt;100000000/100,1,0)</f>
        <v>0</v>
      </c>
      <c r="W485" s="1">
        <f>IF(L485&lt;0,1,0)</f>
        <v>0</v>
      </c>
      <c r="X485" s="1">
        <f>IF(W485=1,L485,0)</f>
        <v>0</v>
      </c>
      <c r="Y485" s="1">
        <f>IF(L485&gt;0,1,0)</f>
        <v>0</v>
      </c>
      <c r="Z485" s="1">
        <f>IF(Y485=1,L485,0)</f>
        <v>0</v>
      </c>
      <c r="AA485" s="1">
        <f>IF(X485&lt;-100000000/100,1,0)</f>
        <v>0</v>
      </c>
      <c r="AB485" s="1">
        <f>IF(Z485&gt;100000000/100,1,0)</f>
        <v>0</v>
      </c>
    </row>
    <row r="486" spans="1:28" s="1" customFormat="1">
      <c r="A486" s="3">
        <v>45694</v>
      </c>
      <c r="B486" s="2" t="s">
        <v>16</v>
      </c>
      <c r="C486" s="1">
        <f>SUM(PL!E486:H486)</f>
        <v>0</v>
      </c>
      <c r="D486" s="1">
        <f>SUM(PL!I486:L486)</f>
        <v>0</v>
      </c>
      <c r="E486" s="1">
        <f>SUM(C486:D486)</f>
        <v>0</v>
      </c>
      <c r="F486" s="1">
        <f>IF(C486 + F485 &lt; 0, C486 + F485, 0)</f>
        <v>0</v>
      </c>
      <c r="G486" s="1">
        <f>IF(D486 + G485 &lt; 0, D486 + G485, 0)</f>
        <v>0</v>
      </c>
      <c r="H486" s="1">
        <f>IF(E486 + H485 &lt; 0, E486 + H485, 0)</f>
        <v>0</v>
      </c>
      <c r="I486" s="1">
        <f>IF(H486 &lt; 0, 1 + I485, 0)</f>
        <v>0</v>
      </c>
      <c r="J486" s="1">
        <f>C486-((ABS(SUM(PL!E486:H486)))*0.125)</f>
        <v>0</v>
      </c>
      <c r="K486" s="1">
        <f>D486-((ABS(SUM(PL!I486:L486)))*0.125)</f>
        <v>0</v>
      </c>
      <c r="L486" s="1">
        <f>J486 + K486</f>
        <v>0</v>
      </c>
      <c r="M486" s="1">
        <f>IF(J486 + M485 &lt; 0, J486 + M485, 0)</f>
        <v>0</v>
      </c>
      <c r="N486" s="1">
        <f>IF(K486 + N485 &lt; 0, K486 + N485, 0)</f>
        <v>0</v>
      </c>
      <c r="O486" s="1">
        <f>IF(L486 + O485 &lt; 0, L486 + O485, 0)</f>
        <v>0</v>
      </c>
      <c r="P486" s="1">
        <f>IF(O486 &lt; 0, 1 + P485, 0)</f>
        <v>0</v>
      </c>
      <c r="Q486" s="1">
        <f>IF(E486&lt;0,1,0)</f>
        <v>0</v>
      </c>
      <c r="R486" s="1">
        <f>IF(Q486=1,E486,0)</f>
        <v>0</v>
      </c>
      <c r="S486" s="1">
        <f>IF(E486&gt;0,1,0)</f>
        <v>0</v>
      </c>
      <c r="T486" s="1">
        <f>IF(S486=1,E486,0)</f>
        <v>0</v>
      </c>
      <c r="U486" s="1">
        <f>IF(R486&lt;-100000000/100,1,0)</f>
        <v>0</v>
      </c>
      <c r="V486" s="1">
        <f>IF(T486&gt;100000000/100,1,0)</f>
        <v>0</v>
      </c>
      <c r="W486" s="1">
        <f>IF(L486&lt;0,1,0)</f>
        <v>0</v>
      </c>
      <c r="X486" s="1">
        <f>IF(W486=1,L486,0)</f>
        <v>0</v>
      </c>
      <c r="Y486" s="1">
        <f>IF(L486&gt;0,1,0)</f>
        <v>0</v>
      </c>
      <c r="Z486" s="1">
        <f>IF(Y486=1,L486,0)</f>
        <v>0</v>
      </c>
      <c r="AA486" s="1">
        <f>IF(X486&lt;-100000000/100,1,0)</f>
        <v>0</v>
      </c>
      <c r="AB486" s="1">
        <f>IF(Z486&gt;100000000/100,1,0)</f>
        <v>0</v>
      </c>
    </row>
    <row r="487" spans="1:28" s="1" customFormat="1">
      <c r="A487" s="3">
        <v>45695</v>
      </c>
      <c r="B487" s="2" t="s">
        <v>15</v>
      </c>
      <c r="C487" s="1">
        <f>SUM(PL!E487:H487)</f>
        <v>0</v>
      </c>
      <c r="D487" s="1">
        <f>SUM(PL!I487:L487)</f>
        <v>0</v>
      </c>
      <c r="E487" s="1">
        <f>SUM(C487:D487)</f>
        <v>0</v>
      </c>
      <c r="F487" s="1">
        <f>IF(C487 + F486 &lt; 0, C487 + F486, 0)</f>
        <v>0</v>
      </c>
      <c r="G487" s="1">
        <f>IF(D487 + G486 &lt; 0, D487 + G486, 0)</f>
        <v>0</v>
      </c>
      <c r="H487" s="1">
        <f>IF(E487 + H486 &lt; 0, E487 + H486, 0)</f>
        <v>0</v>
      </c>
      <c r="I487" s="1">
        <f>IF(H487 &lt; 0, 1 + I486, 0)</f>
        <v>0</v>
      </c>
      <c r="J487" s="1">
        <f>C487-((ABS(SUM(PL!E487:H487)))*0.125)</f>
        <v>0</v>
      </c>
      <c r="K487" s="1">
        <f>D487-((ABS(SUM(PL!I487:L487)))*0.125)</f>
        <v>0</v>
      </c>
      <c r="L487" s="1">
        <f>J487 + K487</f>
        <v>0</v>
      </c>
      <c r="M487" s="1">
        <f>IF(J487 + M486 &lt; 0, J487 + M486, 0)</f>
        <v>0</v>
      </c>
      <c r="N487" s="1">
        <f>IF(K487 + N486 &lt; 0, K487 + N486, 0)</f>
        <v>0</v>
      </c>
      <c r="O487" s="1">
        <f>IF(L487 + O486 &lt; 0, L487 + O486, 0)</f>
        <v>0</v>
      </c>
      <c r="P487" s="1">
        <f>IF(O487 &lt; 0, 1 + P486, 0)</f>
        <v>0</v>
      </c>
      <c r="Q487" s="1">
        <f>IF(E487&lt;0,1,0)</f>
        <v>0</v>
      </c>
      <c r="R487" s="1">
        <f>IF(Q487=1,E487,0)</f>
        <v>0</v>
      </c>
      <c r="S487" s="1">
        <f>IF(E487&gt;0,1,0)</f>
        <v>0</v>
      </c>
      <c r="T487" s="1">
        <f>IF(S487=1,E487,0)</f>
        <v>0</v>
      </c>
      <c r="U487" s="1">
        <f>IF(R487&lt;-100000000/100,1,0)</f>
        <v>0</v>
      </c>
      <c r="V487" s="1">
        <f>IF(T487&gt;100000000/100,1,0)</f>
        <v>0</v>
      </c>
      <c r="W487" s="1">
        <f>IF(L487&lt;0,1,0)</f>
        <v>0</v>
      </c>
      <c r="X487" s="1">
        <f>IF(W487=1,L487,0)</f>
        <v>0</v>
      </c>
      <c r="Y487" s="1">
        <f>IF(L487&gt;0,1,0)</f>
        <v>0</v>
      </c>
      <c r="Z487" s="1">
        <f>IF(Y487=1,L487,0)</f>
        <v>0</v>
      </c>
      <c r="AA487" s="1">
        <f>IF(X487&lt;-100000000/100,1,0)</f>
        <v>0</v>
      </c>
      <c r="AB487" s="1">
        <f>IF(Z487&gt;100000000/100,1,0)</f>
        <v>0</v>
      </c>
    </row>
    <row r="488" spans="1:28" s="1" customFormat="1">
      <c r="A488" s="3">
        <v>45698</v>
      </c>
      <c r="B488" s="2" t="s">
        <v>12</v>
      </c>
      <c r="C488" s="1">
        <f>SUM(PL!E488:H488)</f>
        <v>0</v>
      </c>
      <c r="D488" s="1">
        <f>SUM(PL!I488:L488)</f>
        <v>0</v>
      </c>
      <c r="E488" s="1">
        <f>SUM(C488:D488)</f>
        <v>0</v>
      </c>
      <c r="F488" s="1">
        <f>IF(C488 + F487 &lt; 0, C488 + F487, 0)</f>
        <v>0</v>
      </c>
      <c r="G488" s="1">
        <f>IF(D488 + G487 &lt; 0, D488 + G487, 0)</f>
        <v>0</v>
      </c>
      <c r="H488" s="1">
        <f>IF(E488 + H487 &lt; 0, E488 + H487, 0)</f>
        <v>0</v>
      </c>
      <c r="I488" s="1">
        <f>IF(H488 &lt; 0, 1 + I487, 0)</f>
        <v>0</v>
      </c>
      <c r="J488" s="1">
        <f>C488-((ABS(SUM(PL!E488:H488)))*0.125)</f>
        <v>0</v>
      </c>
      <c r="K488" s="1">
        <f>D488-((ABS(SUM(PL!I488:L488)))*0.125)</f>
        <v>0</v>
      </c>
      <c r="L488" s="1">
        <f>J488 + K488</f>
        <v>0</v>
      </c>
      <c r="M488" s="1">
        <f>IF(J488 + M487 &lt; 0, J488 + M487, 0)</f>
        <v>0</v>
      </c>
      <c r="N488" s="1">
        <f>IF(K488 + N487 &lt; 0, K488 + N487, 0)</f>
        <v>0</v>
      </c>
      <c r="O488" s="1">
        <f>IF(L488 + O487 &lt; 0, L488 + O487, 0)</f>
        <v>0</v>
      </c>
      <c r="P488" s="1">
        <f>IF(O488 &lt; 0, 1 + P487, 0)</f>
        <v>0</v>
      </c>
      <c r="Q488" s="1">
        <f>IF(E488&lt;0,1,0)</f>
        <v>0</v>
      </c>
      <c r="R488" s="1">
        <f>IF(Q488=1,E488,0)</f>
        <v>0</v>
      </c>
      <c r="S488" s="1">
        <f>IF(E488&gt;0,1,0)</f>
        <v>0</v>
      </c>
      <c r="T488" s="1">
        <f>IF(S488=1,E488,0)</f>
        <v>0</v>
      </c>
      <c r="U488" s="1">
        <f>IF(R488&lt;-100000000/100,1,0)</f>
        <v>0</v>
      </c>
      <c r="V488" s="1">
        <f>IF(T488&gt;100000000/100,1,0)</f>
        <v>0</v>
      </c>
      <c r="W488" s="1">
        <f>IF(L488&lt;0,1,0)</f>
        <v>0</v>
      </c>
      <c r="X488" s="1">
        <f>IF(W488=1,L488,0)</f>
        <v>0</v>
      </c>
      <c r="Y488" s="1">
        <f>IF(L488&gt;0,1,0)</f>
        <v>0</v>
      </c>
      <c r="Z488" s="1">
        <f>IF(Y488=1,L488,0)</f>
        <v>0</v>
      </c>
      <c r="AA488" s="1">
        <f>IF(X488&lt;-100000000/100,1,0)</f>
        <v>0</v>
      </c>
      <c r="AB488" s="1">
        <f>IF(Z488&gt;100000000/100,1,0)</f>
        <v>0</v>
      </c>
    </row>
    <row r="489" spans="1:28" s="1" customFormat="1">
      <c r="A489" s="3">
        <v>45699</v>
      </c>
      <c r="B489" s="2" t="s">
        <v>13</v>
      </c>
      <c r="C489" s="1">
        <f>SUM(PL!E489:H489)</f>
        <v>0</v>
      </c>
      <c r="D489" s="1">
        <f>SUM(PL!I489:L489)</f>
        <v>0</v>
      </c>
      <c r="E489" s="1">
        <f>SUM(C489:D489)</f>
        <v>0</v>
      </c>
      <c r="F489" s="1">
        <f>IF(C489 + F488 &lt; 0, C489 + F488, 0)</f>
        <v>0</v>
      </c>
      <c r="G489" s="1">
        <f>IF(D489 + G488 &lt; 0, D489 + G488, 0)</f>
        <v>0</v>
      </c>
      <c r="H489" s="1">
        <f>IF(E489 + H488 &lt; 0, E489 + H488, 0)</f>
        <v>0</v>
      </c>
      <c r="I489" s="1">
        <f>IF(H489 &lt; 0, 1 + I488, 0)</f>
        <v>0</v>
      </c>
      <c r="J489" s="1">
        <f>C489-((ABS(SUM(PL!E489:H489)))*0.125)</f>
        <v>0</v>
      </c>
      <c r="K489" s="1">
        <f>D489-((ABS(SUM(PL!I489:L489)))*0.125)</f>
        <v>0</v>
      </c>
      <c r="L489" s="1">
        <f>J489 + K489</f>
        <v>0</v>
      </c>
      <c r="M489" s="1">
        <f>IF(J489 + M488 &lt; 0, J489 + M488, 0)</f>
        <v>0</v>
      </c>
      <c r="N489" s="1">
        <f>IF(K489 + N488 &lt; 0, K489 + N488, 0)</f>
        <v>0</v>
      </c>
      <c r="O489" s="1">
        <f>IF(L489 + O488 &lt; 0, L489 + O488, 0)</f>
        <v>0</v>
      </c>
      <c r="P489" s="1">
        <f>IF(O489 &lt; 0, 1 + P488, 0)</f>
        <v>0</v>
      </c>
      <c r="Q489" s="1">
        <f>IF(E489&lt;0,1,0)</f>
        <v>0</v>
      </c>
      <c r="R489" s="1">
        <f>IF(Q489=1,E489,0)</f>
        <v>0</v>
      </c>
      <c r="S489" s="1">
        <f>IF(E489&gt;0,1,0)</f>
        <v>0</v>
      </c>
      <c r="T489" s="1">
        <f>IF(S489=1,E489,0)</f>
        <v>0</v>
      </c>
      <c r="U489" s="1">
        <f>IF(R489&lt;-100000000/100,1,0)</f>
        <v>0</v>
      </c>
      <c r="V489" s="1">
        <f>IF(T489&gt;100000000/100,1,0)</f>
        <v>0</v>
      </c>
      <c r="W489" s="1">
        <f>IF(L489&lt;0,1,0)</f>
        <v>0</v>
      </c>
      <c r="X489" s="1">
        <f>IF(W489=1,L489,0)</f>
        <v>0</v>
      </c>
      <c r="Y489" s="1">
        <f>IF(L489&gt;0,1,0)</f>
        <v>0</v>
      </c>
      <c r="Z489" s="1">
        <f>IF(Y489=1,L489,0)</f>
        <v>0</v>
      </c>
      <c r="AA489" s="1">
        <f>IF(X489&lt;-100000000/100,1,0)</f>
        <v>0</v>
      </c>
      <c r="AB489" s="1">
        <f>IF(Z489&gt;100000000/100,1,0)</f>
        <v>0</v>
      </c>
    </row>
    <row r="490" spans="1:28" s="1" customFormat="1">
      <c r="A490" s="3">
        <v>45700</v>
      </c>
      <c r="B490" s="2" t="s">
        <v>14</v>
      </c>
      <c r="C490" s="1">
        <f>SUM(PL!E490:H490)</f>
        <v>0</v>
      </c>
      <c r="D490" s="1">
        <f>SUM(PL!I490:L490)</f>
        <v>0</v>
      </c>
      <c r="E490" s="1">
        <f>SUM(C490:D490)</f>
        <v>0</v>
      </c>
      <c r="F490" s="1">
        <f>IF(C490 + F489 &lt; 0, C490 + F489, 0)</f>
        <v>0</v>
      </c>
      <c r="G490" s="1">
        <f>IF(D490 + G489 &lt; 0, D490 + G489, 0)</f>
        <v>0</v>
      </c>
      <c r="H490" s="1">
        <f>IF(E490 + H489 &lt; 0, E490 + H489, 0)</f>
        <v>0</v>
      </c>
      <c r="I490" s="1">
        <f>IF(H490 &lt; 0, 1 + I489, 0)</f>
        <v>0</v>
      </c>
      <c r="J490" s="1">
        <f>C490-((ABS(SUM(PL!E490:H490)))*0.125)</f>
        <v>0</v>
      </c>
      <c r="K490" s="1">
        <f>D490-((ABS(SUM(PL!I490:L490)))*0.125)</f>
        <v>0</v>
      </c>
      <c r="L490" s="1">
        <f>J490 + K490</f>
        <v>0</v>
      </c>
      <c r="M490" s="1">
        <f>IF(J490 + M489 &lt; 0, J490 + M489, 0)</f>
        <v>0</v>
      </c>
      <c r="N490" s="1">
        <f>IF(K490 + N489 &lt; 0, K490 + N489, 0)</f>
        <v>0</v>
      </c>
      <c r="O490" s="1">
        <f>IF(L490 + O489 &lt; 0, L490 + O489, 0)</f>
        <v>0</v>
      </c>
      <c r="P490" s="1">
        <f>IF(O490 &lt; 0, 1 + P489, 0)</f>
        <v>0</v>
      </c>
      <c r="Q490" s="1">
        <f>IF(E490&lt;0,1,0)</f>
        <v>0</v>
      </c>
      <c r="R490" s="1">
        <f>IF(Q490=1,E490,0)</f>
        <v>0</v>
      </c>
      <c r="S490" s="1">
        <f>IF(E490&gt;0,1,0)</f>
        <v>0</v>
      </c>
      <c r="T490" s="1">
        <f>IF(S490=1,E490,0)</f>
        <v>0</v>
      </c>
      <c r="U490" s="1">
        <f>IF(R490&lt;-100000000/100,1,0)</f>
        <v>0</v>
      </c>
      <c r="V490" s="1">
        <f>IF(T490&gt;100000000/100,1,0)</f>
        <v>0</v>
      </c>
      <c r="W490" s="1">
        <f>IF(L490&lt;0,1,0)</f>
        <v>0</v>
      </c>
      <c r="X490" s="1">
        <f>IF(W490=1,L490,0)</f>
        <v>0</v>
      </c>
      <c r="Y490" s="1">
        <f>IF(L490&gt;0,1,0)</f>
        <v>0</v>
      </c>
      <c r="Z490" s="1">
        <f>IF(Y490=1,L490,0)</f>
        <v>0</v>
      </c>
      <c r="AA490" s="1">
        <f>IF(X490&lt;-100000000/100,1,0)</f>
        <v>0</v>
      </c>
      <c r="AB490" s="1">
        <f>IF(Z490&gt;100000000/100,1,0)</f>
        <v>0</v>
      </c>
    </row>
    <row r="491" spans="1:28" s="1" customFormat="1">
      <c r="A491" s="3">
        <v>45701</v>
      </c>
      <c r="B491" s="2" t="s">
        <v>16</v>
      </c>
      <c r="C491" s="1">
        <f>SUM(PL!E491:H491)</f>
        <v>0</v>
      </c>
      <c r="D491" s="1">
        <f>SUM(PL!I491:L491)</f>
        <v>0</v>
      </c>
      <c r="E491" s="1">
        <f>SUM(C491:D491)</f>
        <v>0</v>
      </c>
      <c r="F491" s="1">
        <f>IF(C491 + F490 &lt; 0, C491 + F490, 0)</f>
        <v>0</v>
      </c>
      <c r="G491" s="1">
        <f>IF(D491 + G490 &lt; 0, D491 + G490, 0)</f>
        <v>0</v>
      </c>
      <c r="H491" s="1">
        <f>IF(E491 + H490 &lt; 0, E491 + H490, 0)</f>
        <v>0</v>
      </c>
      <c r="I491" s="1">
        <f>IF(H491 &lt; 0, 1 + I490, 0)</f>
        <v>0</v>
      </c>
      <c r="J491" s="1">
        <f>C491-((ABS(SUM(PL!E491:H491)))*0.125)</f>
        <v>0</v>
      </c>
      <c r="K491" s="1">
        <f>D491-((ABS(SUM(PL!I491:L491)))*0.125)</f>
        <v>0</v>
      </c>
      <c r="L491" s="1">
        <f>J491 + K491</f>
        <v>0</v>
      </c>
      <c r="M491" s="1">
        <f>IF(J491 + M490 &lt; 0, J491 + M490, 0)</f>
        <v>0</v>
      </c>
      <c r="N491" s="1">
        <f>IF(K491 + N490 &lt; 0, K491 + N490, 0)</f>
        <v>0</v>
      </c>
      <c r="O491" s="1">
        <f>IF(L491 + O490 &lt; 0, L491 + O490, 0)</f>
        <v>0</v>
      </c>
      <c r="P491" s="1">
        <f>IF(O491 &lt; 0, 1 + P490, 0)</f>
        <v>0</v>
      </c>
      <c r="Q491" s="1">
        <f>IF(E491&lt;0,1,0)</f>
        <v>0</v>
      </c>
      <c r="R491" s="1">
        <f>IF(Q491=1,E491,0)</f>
        <v>0</v>
      </c>
      <c r="S491" s="1">
        <f>IF(E491&gt;0,1,0)</f>
        <v>0</v>
      </c>
      <c r="T491" s="1">
        <f>IF(S491=1,E491,0)</f>
        <v>0</v>
      </c>
      <c r="U491" s="1">
        <f>IF(R491&lt;-100000000/100,1,0)</f>
        <v>0</v>
      </c>
      <c r="V491" s="1">
        <f>IF(T491&gt;100000000/100,1,0)</f>
        <v>0</v>
      </c>
      <c r="W491" s="1">
        <f>IF(L491&lt;0,1,0)</f>
        <v>0</v>
      </c>
      <c r="X491" s="1">
        <f>IF(W491=1,L491,0)</f>
        <v>0</v>
      </c>
      <c r="Y491" s="1">
        <f>IF(L491&gt;0,1,0)</f>
        <v>0</v>
      </c>
      <c r="Z491" s="1">
        <f>IF(Y491=1,L491,0)</f>
        <v>0</v>
      </c>
      <c r="AA491" s="1">
        <f>IF(X491&lt;-100000000/100,1,0)</f>
        <v>0</v>
      </c>
      <c r="AB491" s="1">
        <f>IF(Z491&gt;100000000/100,1,0)</f>
        <v>0</v>
      </c>
    </row>
    <row r="492" spans="1:28" s="1" customFormat="1">
      <c r="A492" s="3">
        <v>45702</v>
      </c>
      <c r="B492" s="2" t="s">
        <v>15</v>
      </c>
      <c r="C492" s="1">
        <f>SUM(PL!E492:H492)</f>
        <v>0</v>
      </c>
      <c r="D492" s="1">
        <f>SUM(PL!I492:L492)</f>
        <v>0</v>
      </c>
      <c r="E492" s="1">
        <f>SUM(C492:D492)</f>
        <v>0</v>
      </c>
      <c r="F492" s="1">
        <f>IF(C492 + F491 &lt; 0, C492 + F491, 0)</f>
        <v>0</v>
      </c>
      <c r="G492" s="1">
        <f>IF(D492 + G491 &lt; 0, D492 + G491, 0)</f>
        <v>0</v>
      </c>
      <c r="H492" s="1">
        <f>IF(E492 + H491 &lt; 0, E492 + H491, 0)</f>
        <v>0</v>
      </c>
      <c r="I492" s="1">
        <f>IF(H492 &lt; 0, 1 + I491, 0)</f>
        <v>0</v>
      </c>
      <c r="J492" s="1">
        <f>C492-((ABS(SUM(PL!E492:H492)))*0.125)</f>
        <v>0</v>
      </c>
      <c r="K492" s="1">
        <f>D492-((ABS(SUM(PL!I492:L492)))*0.125)</f>
        <v>0</v>
      </c>
      <c r="L492" s="1">
        <f>J492 + K492</f>
        <v>0</v>
      </c>
      <c r="M492" s="1">
        <f>IF(J492 + M491 &lt; 0, J492 + M491, 0)</f>
        <v>0</v>
      </c>
      <c r="N492" s="1">
        <f>IF(K492 + N491 &lt; 0, K492 + N491, 0)</f>
        <v>0</v>
      </c>
      <c r="O492" s="1">
        <f>IF(L492 + O491 &lt; 0, L492 + O491, 0)</f>
        <v>0</v>
      </c>
      <c r="P492" s="1">
        <f>IF(O492 &lt; 0, 1 + P491, 0)</f>
        <v>0</v>
      </c>
      <c r="Q492" s="1">
        <f>IF(E492&lt;0,1,0)</f>
        <v>0</v>
      </c>
      <c r="R492" s="1">
        <f>IF(Q492=1,E492,0)</f>
        <v>0</v>
      </c>
      <c r="S492" s="1">
        <f>IF(E492&gt;0,1,0)</f>
        <v>0</v>
      </c>
      <c r="T492" s="1">
        <f>IF(S492=1,E492,0)</f>
        <v>0</v>
      </c>
      <c r="U492" s="1">
        <f>IF(R492&lt;-100000000/100,1,0)</f>
        <v>0</v>
      </c>
      <c r="V492" s="1">
        <f>IF(T492&gt;100000000/100,1,0)</f>
        <v>0</v>
      </c>
      <c r="W492" s="1">
        <f>IF(L492&lt;0,1,0)</f>
        <v>0</v>
      </c>
      <c r="X492" s="1">
        <f>IF(W492=1,L492,0)</f>
        <v>0</v>
      </c>
      <c r="Y492" s="1">
        <f>IF(L492&gt;0,1,0)</f>
        <v>0</v>
      </c>
      <c r="Z492" s="1">
        <f>IF(Y492=1,L492,0)</f>
        <v>0</v>
      </c>
      <c r="AA492" s="1">
        <f>IF(X492&lt;-100000000/100,1,0)</f>
        <v>0</v>
      </c>
      <c r="AB492" s="1">
        <f>IF(Z492&gt;100000000/100,1,0)</f>
        <v>0</v>
      </c>
    </row>
    <row r="493" spans="1:28" s="1" customFormat="1">
      <c r="A493" s="3">
        <v>45705</v>
      </c>
      <c r="B493" s="2" t="s">
        <v>12</v>
      </c>
      <c r="C493" s="1">
        <f>SUM(PL!E493:H493)</f>
        <v>0</v>
      </c>
      <c r="D493" s="1">
        <f>SUM(PL!I493:L493)</f>
        <v>0</v>
      </c>
      <c r="E493" s="1">
        <f>SUM(C493:D493)</f>
        <v>0</v>
      </c>
      <c r="F493" s="1">
        <f>IF(C493 + F492 &lt; 0, C493 + F492, 0)</f>
        <v>0</v>
      </c>
      <c r="G493" s="1">
        <f>IF(D493 + G492 &lt; 0, D493 + G492, 0)</f>
        <v>0</v>
      </c>
      <c r="H493" s="1">
        <f>IF(E493 + H492 &lt; 0, E493 + H492, 0)</f>
        <v>0</v>
      </c>
      <c r="I493" s="1">
        <f>IF(H493 &lt; 0, 1 + I492, 0)</f>
        <v>0</v>
      </c>
      <c r="J493" s="1">
        <f>C493-((ABS(SUM(PL!E493:H493)))*0.125)</f>
        <v>0</v>
      </c>
      <c r="K493" s="1">
        <f>D493-((ABS(SUM(PL!I493:L493)))*0.125)</f>
        <v>0</v>
      </c>
      <c r="L493" s="1">
        <f>J493 + K493</f>
        <v>0</v>
      </c>
      <c r="M493" s="1">
        <f>IF(J493 + M492 &lt; 0, J493 + M492, 0)</f>
        <v>0</v>
      </c>
      <c r="N493" s="1">
        <f>IF(K493 + N492 &lt; 0, K493 + N492, 0)</f>
        <v>0</v>
      </c>
      <c r="O493" s="1">
        <f>IF(L493 + O492 &lt; 0, L493 + O492, 0)</f>
        <v>0</v>
      </c>
      <c r="P493" s="1">
        <f>IF(O493 &lt; 0, 1 + P492, 0)</f>
        <v>0</v>
      </c>
      <c r="Q493" s="1">
        <f>IF(E493&lt;0,1,0)</f>
        <v>0</v>
      </c>
      <c r="R493" s="1">
        <f>IF(Q493=1,E493,0)</f>
        <v>0</v>
      </c>
      <c r="S493" s="1">
        <f>IF(E493&gt;0,1,0)</f>
        <v>0</v>
      </c>
      <c r="T493" s="1">
        <f>IF(S493=1,E493,0)</f>
        <v>0</v>
      </c>
      <c r="U493" s="1">
        <f>IF(R493&lt;-100000000/100,1,0)</f>
        <v>0</v>
      </c>
      <c r="V493" s="1">
        <f>IF(T493&gt;100000000/100,1,0)</f>
        <v>0</v>
      </c>
      <c r="W493" s="1">
        <f>IF(L493&lt;0,1,0)</f>
        <v>0</v>
      </c>
      <c r="X493" s="1">
        <f>IF(W493=1,L493,0)</f>
        <v>0</v>
      </c>
      <c r="Y493" s="1">
        <f>IF(L493&gt;0,1,0)</f>
        <v>0</v>
      </c>
      <c r="Z493" s="1">
        <f>IF(Y493=1,L493,0)</f>
        <v>0</v>
      </c>
      <c r="AA493" s="1">
        <f>IF(X493&lt;-100000000/100,1,0)</f>
        <v>0</v>
      </c>
      <c r="AB493" s="1">
        <f>IF(Z493&gt;100000000/100,1,0)</f>
        <v>0</v>
      </c>
    </row>
    <row r="494" spans="1:28" s="1" customFormat="1">
      <c r="A494" s="3">
        <v>45706</v>
      </c>
      <c r="B494" s="2" t="s">
        <v>13</v>
      </c>
      <c r="C494" s="1">
        <f>SUM(PL!E494:H494)</f>
        <v>0</v>
      </c>
      <c r="D494" s="1">
        <f>SUM(PL!I494:L494)</f>
        <v>0</v>
      </c>
      <c r="E494" s="1">
        <f>SUM(C494:D494)</f>
        <v>0</v>
      </c>
      <c r="F494" s="1">
        <f>IF(C494 + F493 &lt; 0, C494 + F493, 0)</f>
        <v>0</v>
      </c>
      <c r="G494" s="1">
        <f>IF(D494 + G493 &lt; 0, D494 + G493, 0)</f>
        <v>0</v>
      </c>
      <c r="H494" s="1">
        <f>IF(E494 + H493 &lt; 0, E494 + H493, 0)</f>
        <v>0</v>
      </c>
      <c r="I494" s="1">
        <f>IF(H494 &lt; 0, 1 + I493, 0)</f>
        <v>0</v>
      </c>
      <c r="J494" s="1">
        <f>C494-((ABS(SUM(PL!E494:H494)))*0.125)</f>
        <v>0</v>
      </c>
      <c r="K494" s="1">
        <f>D494-((ABS(SUM(PL!I494:L494)))*0.125)</f>
        <v>0</v>
      </c>
      <c r="L494" s="1">
        <f>J494 + K494</f>
        <v>0</v>
      </c>
      <c r="M494" s="1">
        <f>IF(J494 + M493 &lt; 0, J494 + M493, 0)</f>
        <v>0</v>
      </c>
      <c r="N494" s="1">
        <f>IF(K494 + N493 &lt; 0, K494 + N493, 0)</f>
        <v>0</v>
      </c>
      <c r="O494" s="1">
        <f>IF(L494 + O493 &lt; 0, L494 + O493, 0)</f>
        <v>0</v>
      </c>
      <c r="P494" s="1">
        <f>IF(O494 &lt; 0, 1 + P493, 0)</f>
        <v>0</v>
      </c>
      <c r="Q494" s="1">
        <f>IF(E494&lt;0,1,0)</f>
        <v>0</v>
      </c>
      <c r="R494" s="1">
        <f>IF(Q494=1,E494,0)</f>
        <v>0</v>
      </c>
      <c r="S494" s="1">
        <f>IF(E494&gt;0,1,0)</f>
        <v>0</v>
      </c>
      <c r="T494" s="1">
        <f>IF(S494=1,E494,0)</f>
        <v>0</v>
      </c>
      <c r="U494" s="1">
        <f>IF(R494&lt;-100000000/100,1,0)</f>
        <v>0</v>
      </c>
      <c r="V494" s="1">
        <f>IF(T494&gt;100000000/100,1,0)</f>
        <v>0</v>
      </c>
      <c r="W494" s="1">
        <f>IF(L494&lt;0,1,0)</f>
        <v>0</v>
      </c>
      <c r="X494" s="1">
        <f>IF(W494=1,L494,0)</f>
        <v>0</v>
      </c>
      <c r="Y494" s="1">
        <f>IF(L494&gt;0,1,0)</f>
        <v>0</v>
      </c>
      <c r="Z494" s="1">
        <f>IF(Y494=1,L494,0)</f>
        <v>0</v>
      </c>
      <c r="AA494" s="1">
        <f>IF(X494&lt;-100000000/100,1,0)</f>
        <v>0</v>
      </c>
      <c r="AB494" s="1">
        <f>IF(Z494&gt;100000000/100,1,0)</f>
        <v>0</v>
      </c>
    </row>
    <row r="495" spans="1:28" s="1" customFormat="1">
      <c r="A495" s="3">
        <v>45707</v>
      </c>
      <c r="B495" s="2" t="s">
        <v>14</v>
      </c>
      <c r="C495" s="1">
        <f>SUM(PL!E495:H495)</f>
        <v>0</v>
      </c>
      <c r="D495" s="1">
        <f>SUM(PL!I495:L495)</f>
        <v>0</v>
      </c>
      <c r="E495" s="1">
        <f>SUM(C495:D495)</f>
        <v>0</v>
      </c>
      <c r="F495" s="1">
        <f>IF(C495 + F494 &lt; 0, C495 + F494, 0)</f>
        <v>0</v>
      </c>
      <c r="G495" s="1">
        <f>IF(D495 + G494 &lt; 0, D495 + G494, 0)</f>
        <v>0</v>
      </c>
      <c r="H495" s="1">
        <f>IF(E495 + H494 &lt; 0, E495 + H494, 0)</f>
        <v>0</v>
      </c>
      <c r="I495" s="1">
        <f>IF(H495 &lt; 0, 1 + I494, 0)</f>
        <v>0</v>
      </c>
      <c r="J495" s="1">
        <f>C495-((ABS(SUM(PL!E495:H495)))*0.125)</f>
        <v>0</v>
      </c>
      <c r="K495" s="1">
        <f>D495-((ABS(SUM(PL!I495:L495)))*0.125)</f>
        <v>0</v>
      </c>
      <c r="L495" s="1">
        <f>J495 + K495</f>
        <v>0</v>
      </c>
      <c r="M495" s="1">
        <f>IF(J495 + M494 &lt; 0, J495 + M494, 0)</f>
        <v>0</v>
      </c>
      <c r="N495" s="1">
        <f>IF(K495 + N494 &lt; 0, K495 + N494, 0)</f>
        <v>0</v>
      </c>
      <c r="O495" s="1">
        <f>IF(L495 + O494 &lt; 0, L495 + O494, 0)</f>
        <v>0</v>
      </c>
      <c r="P495" s="1">
        <f>IF(O495 &lt; 0, 1 + P494, 0)</f>
        <v>0</v>
      </c>
      <c r="Q495" s="1">
        <f>IF(E495&lt;0,1,0)</f>
        <v>0</v>
      </c>
      <c r="R495" s="1">
        <f>IF(Q495=1,E495,0)</f>
        <v>0</v>
      </c>
      <c r="S495" s="1">
        <f>IF(E495&gt;0,1,0)</f>
        <v>0</v>
      </c>
      <c r="T495" s="1">
        <f>IF(S495=1,E495,0)</f>
        <v>0</v>
      </c>
      <c r="U495" s="1">
        <f>IF(R495&lt;-100000000/100,1,0)</f>
        <v>0</v>
      </c>
      <c r="V495" s="1">
        <f>IF(T495&gt;100000000/100,1,0)</f>
        <v>0</v>
      </c>
      <c r="W495" s="1">
        <f>IF(L495&lt;0,1,0)</f>
        <v>0</v>
      </c>
      <c r="X495" s="1">
        <f>IF(W495=1,L495,0)</f>
        <v>0</v>
      </c>
      <c r="Y495" s="1">
        <f>IF(L495&gt;0,1,0)</f>
        <v>0</v>
      </c>
      <c r="Z495" s="1">
        <f>IF(Y495=1,L495,0)</f>
        <v>0</v>
      </c>
      <c r="AA495" s="1">
        <f>IF(X495&lt;-100000000/100,1,0)</f>
        <v>0</v>
      </c>
      <c r="AB495" s="1">
        <f>IF(Z495&gt;100000000/100,1,0)</f>
        <v>0</v>
      </c>
    </row>
    <row r="496" spans="1:28" s="1" customFormat="1">
      <c r="A496" s="3">
        <v>45708</v>
      </c>
      <c r="B496" s="2" t="s">
        <v>16</v>
      </c>
      <c r="C496" s="1">
        <f>SUM(PL!E496:H496)</f>
        <v>0</v>
      </c>
      <c r="D496" s="1">
        <f>SUM(PL!I496:L496)</f>
        <v>0</v>
      </c>
      <c r="E496" s="1">
        <f>SUM(C496:D496)</f>
        <v>0</v>
      </c>
      <c r="F496" s="1">
        <f>IF(C496 + F495 &lt; 0, C496 + F495, 0)</f>
        <v>0</v>
      </c>
      <c r="G496" s="1">
        <f>IF(D496 + G495 &lt; 0, D496 + G495, 0)</f>
        <v>0</v>
      </c>
      <c r="H496" s="1">
        <f>IF(E496 + H495 &lt; 0, E496 + H495, 0)</f>
        <v>0</v>
      </c>
      <c r="I496" s="1">
        <f>IF(H496 &lt; 0, 1 + I495, 0)</f>
        <v>0</v>
      </c>
      <c r="J496" s="1">
        <f>C496-((ABS(SUM(PL!E496:H496)))*0.125)</f>
        <v>0</v>
      </c>
      <c r="K496" s="1">
        <f>D496-((ABS(SUM(PL!I496:L496)))*0.125)</f>
        <v>0</v>
      </c>
      <c r="L496" s="1">
        <f>J496 + K496</f>
        <v>0</v>
      </c>
      <c r="M496" s="1">
        <f>IF(J496 + M495 &lt; 0, J496 + M495, 0)</f>
        <v>0</v>
      </c>
      <c r="N496" s="1">
        <f>IF(K496 + N495 &lt; 0, K496 + N495, 0)</f>
        <v>0</v>
      </c>
      <c r="O496" s="1">
        <f>IF(L496 + O495 &lt; 0, L496 + O495, 0)</f>
        <v>0</v>
      </c>
      <c r="P496" s="1">
        <f>IF(O496 &lt; 0, 1 + P495, 0)</f>
        <v>0</v>
      </c>
      <c r="Q496" s="1">
        <f>IF(E496&lt;0,1,0)</f>
        <v>0</v>
      </c>
      <c r="R496" s="1">
        <f>IF(Q496=1,E496,0)</f>
        <v>0</v>
      </c>
      <c r="S496" s="1">
        <f>IF(E496&gt;0,1,0)</f>
        <v>0</v>
      </c>
      <c r="T496" s="1">
        <f>IF(S496=1,E496,0)</f>
        <v>0</v>
      </c>
      <c r="U496" s="1">
        <f>IF(R496&lt;-100000000/100,1,0)</f>
        <v>0</v>
      </c>
      <c r="V496" s="1">
        <f>IF(T496&gt;100000000/100,1,0)</f>
        <v>0</v>
      </c>
      <c r="W496" s="1">
        <f>IF(L496&lt;0,1,0)</f>
        <v>0</v>
      </c>
      <c r="X496" s="1">
        <f>IF(W496=1,L496,0)</f>
        <v>0</v>
      </c>
      <c r="Y496" s="1">
        <f>IF(L496&gt;0,1,0)</f>
        <v>0</v>
      </c>
      <c r="Z496" s="1">
        <f>IF(Y496=1,L496,0)</f>
        <v>0</v>
      </c>
      <c r="AA496" s="1">
        <f>IF(X496&lt;-100000000/100,1,0)</f>
        <v>0</v>
      </c>
      <c r="AB496" s="1">
        <f>IF(Z496&gt;100000000/100,1,0)</f>
        <v>0</v>
      </c>
    </row>
    <row r="497" spans="1:28" s="1" customFormat="1">
      <c r="A497" s="3">
        <v>45709</v>
      </c>
      <c r="B497" s="2" t="s">
        <v>15</v>
      </c>
      <c r="C497" s="1">
        <f>SUM(PL!E497:H497)</f>
        <v>0</v>
      </c>
      <c r="D497" s="1">
        <f>SUM(PL!I497:L497)</f>
        <v>0</v>
      </c>
      <c r="E497" s="1">
        <f>SUM(C497:D497)</f>
        <v>0</v>
      </c>
      <c r="F497" s="1">
        <f>IF(C497 + F496 &lt; 0, C497 + F496, 0)</f>
        <v>0</v>
      </c>
      <c r="G497" s="1">
        <f>IF(D497 + G496 &lt; 0, D497 + G496, 0)</f>
        <v>0</v>
      </c>
      <c r="H497" s="1">
        <f>IF(E497 + H496 &lt; 0, E497 + H496, 0)</f>
        <v>0</v>
      </c>
      <c r="I497" s="1">
        <f>IF(H497 &lt; 0, 1 + I496, 0)</f>
        <v>0</v>
      </c>
      <c r="J497" s="1">
        <f>C497-((ABS(SUM(PL!E497:H497)))*0.125)</f>
        <v>0</v>
      </c>
      <c r="K497" s="1">
        <f>D497-((ABS(SUM(PL!I497:L497)))*0.125)</f>
        <v>0</v>
      </c>
      <c r="L497" s="1">
        <f>J497 + K497</f>
        <v>0</v>
      </c>
      <c r="M497" s="1">
        <f>IF(J497 + M496 &lt; 0, J497 + M496, 0)</f>
        <v>0</v>
      </c>
      <c r="N497" s="1">
        <f>IF(K497 + N496 &lt; 0, K497 + N496, 0)</f>
        <v>0</v>
      </c>
      <c r="O497" s="1">
        <f>IF(L497 + O496 &lt; 0, L497 + O496, 0)</f>
        <v>0</v>
      </c>
      <c r="P497" s="1">
        <f>IF(O497 &lt; 0, 1 + P496, 0)</f>
        <v>0</v>
      </c>
      <c r="Q497" s="1">
        <f>IF(E497&lt;0,1,0)</f>
        <v>0</v>
      </c>
      <c r="R497" s="1">
        <f>IF(Q497=1,E497,0)</f>
        <v>0</v>
      </c>
      <c r="S497" s="1">
        <f>IF(E497&gt;0,1,0)</f>
        <v>0</v>
      </c>
      <c r="T497" s="1">
        <f>IF(S497=1,E497,0)</f>
        <v>0</v>
      </c>
      <c r="U497" s="1">
        <f>IF(R497&lt;-100000000/100,1,0)</f>
        <v>0</v>
      </c>
      <c r="V497" s="1">
        <f>IF(T497&gt;100000000/100,1,0)</f>
        <v>0</v>
      </c>
      <c r="W497" s="1">
        <f>IF(L497&lt;0,1,0)</f>
        <v>0</v>
      </c>
      <c r="X497" s="1">
        <f>IF(W497=1,L497,0)</f>
        <v>0</v>
      </c>
      <c r="Y497" s="1">
        <f>IF(L497&gt;0,1,0)</f>
        <v>0</v>
      </c>
      <c r="Z497" s="1">
        <f>IF(Y497=1,L497,0)</f>
        <v>0</v>
      </c>
      <c r="AA497" s="1">
        <f>IF(X497&lt;-100000000/100,1,0)</f>
        <v>0</v>
      </c>
      <c r="AB497" s="1">
        <f>IF(Z497&gt;100000000/100,1,0)</f>
        <v>0</v>
      </c>
    </row>
    <row r="498" spans="1:28" s="1" customFormat="1">
      <c r="A498" s="3">
        <v>45712</v>
      </c>
      <c r="B498" s="2" t="s">
        <v>12</v>
      </c>
      <c r="C498" s="1">
        <f>SUM(PL!E498:H498)</f>
        <v>0</v>
      </c>
      <c r="D498" s="1">
        <f>SUM(PL!I498:L498)</f>
        <v>0</v>
      </c>
      <c r="E498" s="1">
        <f>SUM(C498:D498)</f>
        <v>0</v>
      </c>
      <c r="F498" s="1">
        <f>IF(C498 + F497 &lt; 0, C498 + F497, 0)</f>
        <v>0</v>
      </c>
      <c r="G498" s="1">
        <f>IF(D498 + G497 &lt; 0, D498 + G497, 0)</f>
        <v>0</v>
      </c>
      <c r="H498" s="1">
        <f>IF(E498 + H497 &lt; 0, E498 + H497, 0)</f>
        <v>0</v>
      </c>
      <c r="I498" s="1">
        <f>IF(H498 &lt; 0, 1 + I497, 0)</f>
        <v>0</v>
      </c>
      <c r="J498" s="1">
        <f>C498-((ABS(SUM(PL!E498:H498)))*0.125)</f>
        <v>0</v>
      </c>
      <c r="K498" s="1">
        <f>D498-((ABS(SUM(PL!I498:L498)))*0.125)</f>
        <v>0</v>
      </c>
      <c r="L498" s="1">
        <f>J498 + K498</f>
        <v>0</v>
      </c>
      <c r="M498" s="1">
        <f>IF(J498 + M497 &lt; 0, J498 + M497, 0)</f>
        <v>0</v>
      </c>
      <c r="N498" s="1">
        <f>IF(K498 + N497 &lt; 0, K498 + N497, 0)</f>
        <v>0</v>
      </c>
      <c r="O498" s="1">
        <f>IF(L498 + O497 &lt; 0, L498 + O497, 0)</f>
        <v>0</v>
      </c>
      <c r="P498" s="1">
        <f>IF(O498 &lt; 0, 1 + P497, 0)</f>
        <v>0</v>
      </c>
      <c r="Q498" s="1">
        <f>IF(E498&lt;0,1,0)</f>
        <v>0</v>
      </c>
      <c r="R498" s="1">
        <f>IF(Q498=1,E498,0)</f>
        <v>0</v>
      </c>
      <c r="S498" s="1">
        <f>IF(E498&gt;0,1,0)</f>
        <v>0</v>
      </c>
      <c r="T498" s="1">
        <f>IF(S498=1,E498,0)</f>
        <v>0</v>
      </c>
      <c r="U498" s="1">
        <f>IF(R498&lt;-100000000/100,1,0)</f>
        <v>0</v>
      </c>
      <c r="V498" s="1">
        <f>IF(T498&gt;100000000/100,1,0)</f>
        <v>0</v>
      </c>
      <c r="W498" s="1">
        <f>IF(L498&lt;0,1,0)</f>
        <v>0</v>
      </c>
      <c r="X498" s="1">
        <f>IF(W498=1,L498,0)</f>
        <v>0</v>
      </c>
      <c r="Y498" s="1">
        <f>IF(L498&gt;0,1,0)</f>
        <v>0</v>
      </c>
      <c r="Z498" s="1">
        <f>IF(Y498=1,L498,0)</f>
        <v>0</v>
      </c>
      <c r="AA498" s="1">
        <f>IF(X498&lt;-100000000/100,1,0)</f>
        <v>0</v>
      </c>
      <c r="AB498" s="1">
        <f>IF(Z498&gt;100000000/100,1,0)</f>
        <v>0</v>
      </c>
    </row>
    <row r="499" spans="1:28" s="1" customFormat="1">
      <c r="A499" s="3">
        <v>45713</v>
      </c>
      <c r="B499" s="2" t="s">
        <v>13</v>
      </c>
      <c r="C499" s="1">
        <f>SUM(PL!E499:H499)</f>
        <v>0</v>
      </c>
      <c r="D499" s="1">
        <f>SUM(PL!I499:L499)</f>
        <v>0</v>
      </c>
      <c r="E499" s="1">
        <f>SUM(C499:D499)</f>
        <v>0</v>
      </c>
      <c r="F499" s="1">
        <f>IF(C499 + F498 &lt; 0, C499 + F498, 0)</f>
        <v>0</v>
      </c>
      <c r="G499" s="1">
        <f>IF(D499 + G498 &lt; 0, D499 + G498, 0)</f>
        <v>0</v>
      </c>
      <c r="H499" s="1">
        <f>IF(E499 + H498 &lt; 0, E499 + H498, 0)</f>
        <v>0</v>
      </c>
      <c r="I499" s="1">
        <f>IF(H499 &lt; 0, 1 + I498, 0)</f>
        <v>0</v>
      </c>
      <c r="J499" s="1">
        <f>C499-((ABS(SUM(PL!E499:H499)))*0.125)</f>
        <v>0</v>
      </c>
      <c r="K499" s="1">
        <f>D499-((ABS(SUM(PL!I499:L499)))*0.125)</f>
        <v>0</v>
      </c>
      <c r="L499" s="1">
        <f>J499 + K499</f>
        <v>0</v>
      </c>
      <c r="M499" s="1">
        <f>IF(J499 + M498 &lt; 0, J499 + M498, 0)</f>
        <v>0</v>
      </c>
      <c r="N499" s="1">
        <f>IF(K499 + N498 &lt; 0, K499 + N498, 0)</f>
        <v>0</v>
      </c>
      <c r="O499" s="1">
        <f>IF(L499 + O498 &lt; 0, L499 + O498, 0)</f>
        <v>0</v>
      </c>
      <c r="P499" s="1">
        <f>IF(O499 &lt; 0, 1 + P498, 0)</f>
        <v>0</v>
      </c>
      <c r="Q499" s="1">
        <f>IF(E499&lt;0,1,0)</f>
        <v>0</v>
      </c>
      <c r="R499" s="1">
        <f>IF(Q499=1,E499,0)</f>
        <v>0</v>
      </c>
      <c r="S499" s="1">
        <f>IF(E499&gt;0,1,0)</f>
        <v>0</v>
      </c>
      <c r="T499" s="1">
        <f>IF(S499=1,E499,0)</f>
        <v>0</v>
      </c>
      <c r="U499" s="1">
        <f>IF(R499&lt;-100000000/100,1,0)</f>
        <v>0</v>
      </c>
      <c r="V499" s="1">
        <f>IF(T499&gt;100000000/100,1,0)</f>
        <v>0</v>
      </c>
      <c r="W499" s="1">
        <f>IF(L499&lt;0,1,0)</f>
        <v>0</v>
      </c>
      <c r="X499" s="1">
        <f>IF(W499=1,L499,0)</f>
        <v>0</v>
      </c>
      <c r="Y499" s="1">
        <f>IF(L499&gt;0,1,0)</f>
        <v>0</v>
      </c>
      <c r="Z499" s="1">
        <f>IF(Y499=1,L499,0)</f>
        <v>0</v>
      </c>
      <c r="AA499" s="1">
        <f>IF(X499&lt;-100000000/100,1,0)</f>
        <v>0</v>
      </c>
      <c r="AB499" s="1">
        <f>IF(Z499&gt;100000000/100,1,0)</f>
        <v>0</v>
      </c>
    </row>
    <row r="500" spans="1:28" s="1" customFormat="1">
      <c r="A500" s="3">
        <v>45714</v>
      </c>
      <c r="B500" s="2" t="s">
        <v>14</v>
      </c>
      <c r="C500" s="1">
        <f>SUM(PL!E500:H500)</f>
        <v>0</v>
      </c>
      <c r="D500" s="1">
        <f>SUM(PL!I500:L500)</f>
        <v>0</v>
      </c>
      <c r="E500" s="1">
        <f>SUM(C500:D500)</f>
        <v>0</v>
      </c>
      <c r="F500" s="1">
        <f>IF(C500 + F499 &lt; 0, C500 + F499, 0)</f>
        <v>0</v>
      </c>
      <c r="G500" s="1">
        <f>IF(D500 + G499 &lt; 0, D500 + G499, 0)</f>
        <v>0</v>
      </c>
      <c r="H500" s="1">
        <f>IF(E500 + H499 &lt; 0, E500 + H499, 0)</f>
        <v>0</v>
      </c>
      <c r="I500" s="1">
        <f>IF(H500 &lt; 0, 1 + I499, 0)</f>
        <v>0</v>
      </c>
      <c r="J500" s="1">
        <f>C500-((ABS(SUM(PL!E500:H500)))*0.125)</f>
        <v>0</v>
      </c>
      <c r="K500" s="1">
        <f>D500-((ABS(SUM(PL!I500:L500)))*0.125)</f>
        <v>0</v>
      </c>
      <c r="L500" s="1">
        <f>J500 + K500</f>
        <v>0</v>
      </c>
      <c r="M500" s="1">
        <f>IF(J500 + M499 &lt; 0, J500 + M499, 0)</f>
        <v>0</v>
      </c>
      <c r="N500" s="1">
        <f>IF(K500 + N499 &lt; 0, K500 + N499, 0)</f>
        <v>0</v>
      </c>
      <c r="O500" s="1">
        <f>IF(L500 + O499 &lt; 0, L500 + O499, 0)</f>
        <v>0</v>
      </c>
      <c r="P500" s="1">
        <f>IF(O500 &lt; 0, 1 + P499, 0)</f>
        <v>0</v>
      </c>
      <c r="Q500" s="1">
        <f>IF(E500&lt;0,1,0)</f>
        <v>0</v>
      </c>
      <c r="R500" s="1">
        <f>IF(Q500=1,E500,0)</f>
        <v>0</v>
      </c>
      <c r="S500" s="1">
        <f>IF(E500&gt;0,1,0)</f>
        <v>0</v>
      </c>
      <c r="T500" s="1">
        <f>IF(S500=1,E500,0)</f>
        <v>0</v>
      </c>
      <c r="U500" s="1">
        <f>IF(R500&lt;-100000000/100,1,0)</f>
        <v>0</v>
      </c>
      <c r="V500" s="1">
        <f>IF(T500&gt;100000000/100,1,0)</f>
        <v>0</v>
      </c>
      <c r="W500" s="1">
        <f>IF(L500&lt;0,1,0)</f>
        <v>0</v>
      </c>
      <c r="X500" s="1">
        <f>IF(W500=1,L500,0)</f>
        <v>0</v>
      </c>
      <c r="Y500" s="1">
        <f>IF(L500&gt;0,1,0)</f>
        <v>0</v>
      </c>
      <c r="Z500" s="1">
        <f>IF(Y500=1,L500,0)</f>
        <v>0</v>
      </c>
      <c r="AA500" s="1">
        <f>IF(X500&lt;-100000000/100,1,0)</f>
        <v>0</v>
      </c>
      <c r="AB500" s="1">
        <f>IF(Z500&gt;100000000/100,1,0)</f>
        <v>0</v>
      </c>
    </row>
    <row r="501" spans="1:28" s="1" customFormat="1">
      <c r="A501" s="3">
        <v>45715</v>
      </c>
      <c r="B501" s="2" t="s">
        <v>16</v>
      </c>
      <c r="C501" s="1">
        <f>SUM(PL!E501:H501)</f>
        <v>0</v>
      </c>
      <c r="D501" s="1">
        <f>SUM(PL!I501:L501)</f>
        <v>0</v>
      </c>
      <c r="E501" s="1">
        <f>SUM(C501:D501)</f>
        <v>0</v>
      </c>
      <c r="F501" s="1">
        <f>IF(C501 + F500 &lt; 0, C501 + F500, 0)</f>
        <v>0</v>
      </c>
      <c r="G501" s="1">
        <f>IF(D501 + G500 &lt; 0, D501 + G500, 0)</f>
        <v>0</v>
      </c>
      <c r="H501" s="1">
        <f>IF(E501 + H500 &lt; 0, E501 + H500, 0)</f>
        <v>0</v>
      </c>
      <c r="I501" s="1">
        <f>IF(H501 &lt; 0, 1 + I500, 0)</f>
        <v>0</v>
      </c>
      <c r="J501" s="1">
        <f>C501-((ABS(SUM(PL!E501:H501)))*0.125)</f>
        <v>0</v>
      </c>
      <c r="K501" s="1">
        <f>D501-((ABS(SUM(PL!I501:L501)))*0.125)</f>
        <v>0</v>
      </c>
      <c r="L501" s="1">
        <f>J501 + K501</f>
        <v>0</v>
      </c>
      <c r="M501" s="1">
        <f>IF(J501 + M500 &lt; 0, J501 + M500, 0)</f>
        <v>0</v>
      </c>
      <c r="N501" s="1">
        <f>IF(K501 + N500 &lt; 0, K501 + N500, 0)</f>
        <v>0</v>
      </c>
      <c r="O501" s="1">
        <f>IF(L501 + O500 &lt; 0, L501 + O500, 0)</f>
        <v>0</v>
      </c>
      <c r="P501" s="1">
        <f>IF(O501 &lt; 0, 1 + P500, 0)</f>
        <v>0</v>
      </c>
      <c r="Q501" s="1">
        <f>IF(E501&lt;0,1,0)</f>
        <v>0</v>
      </c>
      <c r="R501" s="1">
        <f>IF(Q501=1,E501,0)</f>
        <v>0</v>
      </c>
      <c r="S501" s="1">
        <f>IF(E501&gt;0,1,0)</f>
        <v>0</v>
      </c>
      <c r="T501" s="1">
        <f>IF(S501=1,E501,0)</f>
        <v>0</v>
      </c>
      <c r="U501" s="1">
        <f>IF(R501&lt;-100000000/100,1,0)</f>
        <v>0</v>
      </c>
      <c r="V501" s="1">
        <f>IF(T501&gt;100000000/100,1,0)</f>
        <v>0</v>
      </c>
      <c r="W501" s="1">
        <f>IF(L501&lt;0,1,0)</f>
        <v>0</v>
      </c>
      <c r="X501" s="1">
        <f>IF(W501=1,L501,0)</f>
        <v>0</v>
      </c>
      <c r="Y501" s="1">
        <f>IF(L501&gt;0,1,0)</f>
        <v>0</v>
      </c>
      <c r="Z501" s="1">
        <f>IF(Y501=1,L501,0)</f>
        <v>0</v>
      </c>
      <c r="AA501" s="1">
        <f>IF(X501&lt;-100000000/100,1,0)</f>
        <v>0</v>
      </c>
      <c r="AB501" s="1">
        <f>IF(Z501&gt;100000000/100,1,0)</f>
        <v>0</v>
      </c>
    </row>
    <row r="502" spans="1:28" s="1" customFormat="1">
      <c r="A502" s="3">
        <v>45716</v>
      </c>
      <c r="B502" s="2" t="s">
        <v>15</v>
      </c>
      <c r="C502" s="1">
        <f>SUM(PL!E502:H502)</f>
        <v>0</v>
      </c>
      <c r="D502" s="1">
        <f>SUM(PL!I502:L502)</f>
        <v>0</v>
      </c>
      <c r="E502" s="1">
        <f>SUM(C502:D502)</f>
        <v>0</v>
      </c>
      <c r="F502" s="1">
        <f>IF(C502 + F501 &lt; 0, C502 + F501, 0)</f>
        <v>0</v>
      </c>
      <c r="G502" s="1">
        <f>IF(D502 + G501 &lt; 0, D502 + G501, 0)</f>
        <v>0</v>
      </c>
      <c r="H502" s="1">
        <f>IF(E502 + H501 &lt; 0, E502 + H501, 0)</f>
        <v>0</v>
      </c>
      <c r="I502" s="1">
        <f>IF(H502 &lt; 0, 1 + I501, 0)</f>
        <v>0</v>
      </c>
      <c r="J502" s="1">
        <f>C502-((ABS(SUM(PL!E502:H502)))*0.125)</f>
        <v>0</v>
      </c>
      <c r="K502" s="1">
        <f>D502-((ABS(SUM(PL!I502:L502)))*0.125)</f>
        <v>0</v>
      </c>
      <c r="L502" s="1">
        <f>J502 + K502</f>
        <v>0</v>
      </c>
      <c r="M502" s="1">
        <f>IF(J502 + M501 &lt; 0, J502 + M501, 0)</f>
        <v>0</v>
      </c>
      <c r="N502" s="1">
        <f>IF(K502 + N501 &lt; 0, K502 + N501, 0)</f>
        <v>0</v>
      </c>
      <c r="O502" s="1">
        <f>IF(L502 + O501 &lt; 0, L502 + O501, 0)</f>
        <v>0</v>
      </c>
      <c r="P502" s="1">
        <f>IF(O502 &lt; 0, 1 + P501, 0)</f>
        <v>0</v>
      </c>
      <c r="Q502" s="1">
        <f>IF(E502&lt;0,1,0)</f>
        <v>0</v>
      </c>
      <c r="R502" s="1">
        <f>IF(Q502=1,E502,0)</f>
        <v>0</v>
      </c>
      <c r="S502" s="1">
        <f>IF(E502&gt;0,1,0)</f>
        <v>0</v>
      </c>
      <c r="T502" s="1">
        <f>IF(S502=1,E502,0)</f>
        <v>0</v>
      </c>
      <c r="U502" s="1">
        <f>IF(R502&lt;-100000000/100,1,0)</f>
        <v>0</v>
      </c>
      <c r="V502" s="1">
        <f>IF(T502&gt;100000000/100,1,0)</f>
        <v>0</v>
      </c>
      <c r="W502" s="1">
        <f>IF(L502&lt;0,1,0)</f>
        <v>0</v>
      </c>
      <c r="X502" s="1">
        <f>IF(W502=1,L502,0)</f>
        <v>0</v>
      </c>
      <c r="Y502" s="1">
        <f>IF(L502&gt;0,1,0)</f>
        <v>0</v>
      </c>
      <c r="Z502" s="1">
        <f>IF(Y502=1,L502,0)</f>
        <v>0</v>
      </c>
      <c r="AA502" s="1">
        <f>IF(X502&lt;-100000000/100,1,0)</f>
        <v>0</v>
      </c>
      <c r="AB502" s="1">
        <f>IF(Z502&gt;100000000/100,1,0)</f>
        <v>0</v>
      </c>
    </row>
    <row r="503" spans="1:28" s="1" customFormat="1">
      <c r="A503" s="3">
        <v>45719</v>
      </c>
      <c r="B503" s="2" t="s">
        <v>12</v>
      </c>
      <c r="C503" s="1">
        <f>SUM(PL!E503:H503)</f>
        <v>0</v>
      </c>
      <c r="D503" s="1">
        <f>SUM(PL!I503:L503)</f>
        <v>0</v>
      </c>
      <c r="E503" s="1">
        <f>SUM(C503:D503)</f>
        <v>0</v>
      </c>
      <c r="F503" s="1">
        <f>IF(C503 + F502 &lt; 0, C503 + F502, 0)</f>
        <v>0</v>
      </c>
      <c r="G503" s="1">
        <f>IF(D503 + G502 &lt; 0, D503 + G502, 0)</f>
        <v>0</v>
      </c>
      <c r="H503" s="1">
        <f>IF(E503 + H502 &lt; 0, E503 + H502, 0)</f>
        <v>0</v>
      </c>
      <c r="I503" s="1">
        <f>IF(H503 &lt; 0, 1 + I502, 0)</f>
        <v>0</v>
      </c>
      <c r="J503" s="1">
        <f>C503-((ABS(SUM(PL!E503:H503)))*0.125)</f>
        <v>0</v>
      </c>
      <c r="K503" s="1">
        <f>D503-((ABS(SUM(PL!I503:L503)))*0.125)</f>
        <v>0</v>
      </c>
      <c r="L503" s="1">
        <f>J503 + K503</f>
        <v>0</v>
      </c>
      <c r="M503" s="1">
        <f>IF(J503 + M502 &lt; 0, J503 + M502, 0)</f>
        <v>0</v>
      </c>
      <c r="N503" s="1">
        <f>IF(K503 + N502 &lt; 0, K503 + N502, 0)</f>
        <v>0</v>
      </c>
      <c r="O503" s="1">
        <f>IF(L503 + O502 &lt; 0, L503 + O502, 0)</f>
        <v>0</v>
      </c>
      <c r="P503" s="1">
        <f>IF(O503 &lt; 0, 1 + P502, 0)</f>
        <v>0</v>
      </c>
      <c r="Q503" s="1">
        <f>IF(E503&lt;0,1,0)</f>
        <v>0</v>
      </c>
      <c r="R503" s="1">
        <f>IF(Q503=1,E503,0)</f>
        <v>0</v>
      </c>
      <c r="S503" s="1">
        <f>IF(E503&gt;0,1,0)</f>
        <v>0</v>
      </c>
      <c r="T503" s="1">
        <f>IF(S503=1,E503,0)</f>
        <v>0</v>
      </c>
      <c r="U503" s="1">
        <f>IF(R503&lt;-100000000/100,1,0)</f>
        <v>0</v>
      </c>
      <c r="V503" s="1">
        <f>IF(T503&gt;100000000/100,1,0)</f>
        <v>0</v>
      </c>
      <c r="W503" s="1">
        <f>IF(L503&lt;0,1,0)</f>
        <v>0</v>
      </c>
      <c r="X503" s="1">
        <f>IF(W503=1,L503,0)</f>
        <v>0</v>
      </c>
      <c r="Y503" s="1">
        <f>IF(L503&gt;0,1,0)</f>
        <v>0</v>
      </c>
      <c r="Z503" s="1">
        <f>IF(Y503=1,L503,0)</f>
        <v>0</v>
      </c>
      <c r="AA503" s="1">
        <f>IF(X503&lt;-100000000/100,1,0)</f>
        <v>0</v>
      </c>
      <c r="AB503" s="1">
        <f>IF(Z503&gt;100000000/100,1,0)</f>
        <v>0</v>
      </c>
    </row>
    <row r="504" spans="1:28" s="1" customFormat="1">
      <c r="A504" s="3">
        <v>45720</v>
      </c>
      <c r="B504" s="2" t="s">
        <v>13</v>
      </c>
      <c r="C504" s="1">
        <f>SUM(PL!E504:H504)</f>
        <v>0</v>
      </c>
      <c r="D504" s="1">
        <f>SUM(PL!I504:L504)</f>
        <v>0</v>
      </c>
      <c r="E504" s="1">
        <f>SUM(C504:D504)</f>
        <v>0</v>
      </c>
      <c r="F504" s="1">
        <f>IF(C504 + F503 &lt; 0, C504 + F503, 0)</f>
        <v>0</v>
      </c>
      <c r="G504" s="1">
        <f>IF(D504 + G503 &lt; 0, D504 + G503, 0)</f>
        <v>0</v>
      </c>
      <c r="H504" s="1">
        <f>IF(E504 + H503 &lt; 0, E504 + H503, 0)</f>
        <v>0</v>
      </c>
      <c r="I504" s="1">
        <f>IF(H504 &lt; 0, 1 + I503, 0)</f>
        <v>0</v>
      </c>
      <c r="J504" s="1">
        <f>C504-((ABS(SUM(PL!E504:H504)))*0.125)</f>
        <v>0</v>
      </c>
      <c r="K504" s="1">
        <f>D504-((ABS(SUM(PL!I504:L504)))*0.125)</f>
        <v>0</v>
      </c>
      <c r="L504" s="1">
        <f>J504 + K504</f>
        <v>0</v>
      </c>
      <c r="M504" s="1">
        <f>IF(J504 + M503 &lt; 0, J504 + M503, 0)</f>
        <v>0</v>
      </c>
      <c r="N504" s="1">
        <f>IF(K504 + N503 &lt; 0, K504 + N503, 0)</f>
        <v>0</v>
      </c>
      <c r="O504" s="1">
        <f>IF(L504 + O503 &lt; 0, L504 + O503, 0)</f>
        <v>0</v>
      </c>
      <c r="P504" s="1">
        <f>IF(O504 &lt; 0, 1 + P503, 0)</f>
        <v>0</v>
      </c>
      <c r="Q504" s="1">
        <f>IF(E504&lt;0,1,0)</f>
        <v>0</v>
      </c>
      <c r="R504" s="1">
        <f>IF(Q504=1,E504,0)</f>
        <v>0</v>
      </c>
      <c r="S504" s="1">
        <f>IF(E504&gt;0,1,0)</f>
        <v>0</v>
      </c>
      <c r="T504" s="1">
        <f>IF(S504=1,E504,0)</f>
        <v>0</v>
      </c>
      <c r="U504" s="1">
        <f>IF(R504&lt;-100000000/100,1,0)</f>
        <v>0</v>
      </c>
      <c r="V504" s="1">
        <f>IF(T504&gt;100000000/100,1,0)</f>
        <v>0</v>
      </c>
      <c r="W504" s="1">
        <f>IF(L504&lt;0,1,0)</f>
        <v>0</v>
      </c>
      <c r="X504" s="1">
        <f>IF(W504=1,L504,0)</f>
        <v>0</v>
      </c>
      <c r="Y504" s="1">
        <f>IF(L504&gt;0,1,0)</f>
        <v>0</v>
      </c>
      <c r="Z504" s="1">
        <f>IF(Y504=1,L504,0)</f>
        <v>0</v>
      </c>
      <c r="AA504" s="1">
        <f>IF(X504&lt;-100000000/100,1,0)</f>
        <v>0</v>
      </c>
      <c r="AB504" s="1">
        <f>IF(Z504&gt;100000000/100,1,0)</f>
        <v>0</v>
      </c>
    </row>
    <row r="505" spans="1:28" s="1" customFormat="1">
      <c r="A505" s="3">
        <v>45721</v>
      </c>
      <c r="B505" s="2" t="s">
        <v>14</v>
      </c>
      <c r="C505" s="1">
        <f>SUM(PL!E505:H505)</f>
        <v>0</v>
      </c>
      <c r="D505" s="1">
        <f>SUM(PL!I505:L505)</f>
        <v>0</v>
      </c>
      <c r="E505" s="1">
        <f>SUM(C505:D505)</f>
        <v>0</v>
      </c>
      <c r="F505" s="1">
        <f>IF(C505 + F504 &lt; 0, C505 + F504, 0)</f>
        <v>0</v>
      </c>
      <c r="G505" s="1">
        <f>IF(D505 + G504 &lt; 0, D505 + G504, 0)</f>
        <v>0</v>
      </c>
      <c r="H505" s="1">
        <f>IF(E505 + H504 &lt; 0, E505 + H504, 0)</f>
        <v>0</v>
      </c>
      <c r="I505" s="1">
        <f>IF(H505 &lt; 0, 1 + I504, 0)</f>
        <v>0</v>
      </c>
      <c r="J505" s="1">
        <f>C505-((ABS(SUM(PL!E505:H505)))*0.125)</f>
        <v>0</v>
      </c>
      <c r="K505" s="1">
        <f>D505-((ABS(SUM(PL!I505:L505)))*0.125)</f>
        <v>0</v>
      </c>
      <c r="L505" s="1">
        <f>J505 + K505</f>
        <v>0</v>
      </c>
      <c r="M505" s="1">
        <f>IF(J505 + M504 &lt; 0, J505 + M504, 0)</f>
        <v>0</v>
      </c>
      <c r="N505" s="1">
        <f>IF(K505 + N504 &lt; 0, K505 + N504, 0)</f>
        <v>0</v>
      </c>
      <c r="O505" s="1">
        <f>IF(L505 + O504 &lt; 0, L505 + O504, 0)</f>
        <v>0</v>
      </c>
      <c r="P505" s="1">
        <f>IF(O505 &lt; 0, 1 + P504, 0)</f>
        <v>0</v>
      </c>
      <c r="Q505" s="1">
        <f>IF(E505&lt;0,1,0)</f>
        <v>0</v>
      </c>
      <c r="R505" s="1">
        <f>IF(Q505=1,E505,0)</f>
        <v>0</v>
      </c>
      <c r="S505" s="1">
        <f>IF(E505&gt;0,1,0)</f>
        <v>0</v>
      </c>
      <c r="T505" s="1">
        <f>IF(S505=1,E505,0)</f>
        <v>0</v>
      </c>
      <c r="U505" s="1">
        <f>IF(R505&lt;-100000000/100,1,0)</f>
        <v>0</v>
      </c>
      <c r="V505" s="1">
        <f>IF(T505&gt;100000000/100,1,0)</f>
        <v>0</v>
      </c>
      <c r="W505" s="1">
        <f>IF(L505&lt;0,1,0)</f>
        <v>0</v>
      </c>
      <c r="X505" s="1">
        <f>IF(W505=1,L505,0)</f>
        <v>0</v>
      </c>
      <c r="Y505" s="1">
        <f>IF(L505&gt;0,1,0)</f>
        <v>0</v>
      </c>
      <c r="Z505" s="1">
        <f>IF(Y505=1,L505,0)</f>
        <v>0</v>
      </c>
      <c r="AA505" s="1">
        <f>IF(X505&lt;-100000000/100,1,0)</f>
        <v>0</v>
      </c>
      <c r="AB505" s="1">
        <f>IF(Z505&gt;100000000/100,1,0)</f>
        <v>0</v>
      </c>
    </row>
    <row r="506" spans="1:28" s="1" customFormat="1">
      <c r="A506" s="3">
        <v>45722</v>
      </c>
      <c r="B506" s="2" t="s">
        <v>16</v>
      </c>
      <c r="C506" s="1">
        <f>SUM(PL!E506:H506)</f>
        <v>0</v>
      </c>
      <c r="D506" s="1">
        <f>SUM(PL!I506:L506)</f>
        <v>0</v>
      </c>
      <c r="E506" s="1">
        <f>SUM(C506:D506)</f>
        <v>0</v>
      </c>
      <c r="F506" s="1">
        <f>IF(C506 + F505 &lt; 0, C506 + F505, 0)</f>
        <v>0</v>
      </c>
      <c r="G506" s="1">
        <f>IF(D506 + G505 &lt; 0, D506 + G505, 0)</f>
        <v>0</v>
      </c>
      <c r="H506" s="1">
        <f>IF(E506 + H505 &lt; 0, E506 + H505, 0)</f>
        <v>0</v>
      </c>
      <c r="I506" s="1">
        <f>IF(H506 &lt; 0, 1 + I505, 0)</f>
        <v>0</v>
      </c>
      <c r="J506" s="1">
        <f>C506-((ABS(SUM(PL!E506:H506)))*0.125)</f>
        <v>0</v>
      </c>
      <c r="K506" s="1">
        <f>D506-((ABS(SUM(PL!I506:L506)))*0.125)</f>
        <v>0</v>
      </c>
      <c r="L506" s="1">
        <f>J506 + K506</f>
        <v>0</v>
      </c>
      <c r="M506" s="1">
        <f>IF(J506 + M505 &lt; 0, J506 + M505, 0)</f>
        <v>0</v>
      </c>
      <c r="N506" s="1">
        <f>IF(K506 + N505 &lt; 0, K506 + N505, 0)</f>
        <v>0</v>
      </c>
      <c r="O506" s="1">
        <f>IF(L506 + O505 &lt; 0, L506 + O505, 0)</f>
        <v>0</v>
      </c>
      <c r="P506" s="1">
        <f>IF(O506 &lt; 0, 1 + P505, 0)</f>
        <v>0</v>
      </c>
      <c r="Q506" s="1">
        <f>IF(E506&lt;0,1,0)</f>
        <v>0</v>
      </c>
      <c r="R506" s="1">
        <f>IF(Q506=1,E506,0)</f>
        <v>0</v>
      </c>
      <c r="S506" s="1">
        <f>IF(E506&gt;0,1,0)</f>
        <v>0</v>
      </c>
      <c r="T506" s="1">
        <f>IF(S506=1,E506,0)</f>
        <v>0</v>
      </c>
      <c r="U506" s="1">
        <f>IF(R506&lt;-100000000/100,1,0)</f>
        <v>0</v>
      </c>
      <c r="V506" s="1">
        <f>IF(T506&gt;100000000/100,1,0)</f>
        <v>0</v>
      </c>
      <c r="W506" s="1">
        <f>IF(L506&lt;0,1,0)</f>
        <v>0</v>
      </c>
      <c r="X506" s="1">
        <f>IF(W506=1,L506,0)</f>
        <v>0</v>
      </c>
      <c r="Y506" s="1">
        <f>IF(L506&gt;0,1,0)</f>
        <v>0</v>
      </c>
      <c r="Z506" s="1">
        <f>IF(Y506=1,L506,0)</f>
        <v>0</v>
      </c>
      <c r="AA506" s="1">
        <f>IF(X506&lt;-100000000/100,1,0)</f>
        <v>0</v>
      </c>
      <c r="AB506" s="1">
        <f>IF(Z506&gt;100000000/100,1,0)</f>
        <v>0</v>
      </c>
    </row>
    <row r="507" spans="1:28" s="1" customFormat="1">
      <c r="A507" s="3">
        <v>45723</v>
      </c>
      <c r="B507" s="2" t="s">
        <v>15</v>
      </c>
      <c r="C507" s="1">
        <f>SUM(PL!E507:H507)</f>
        <v>0</v>
      </c>
      <c r="D507" s="1">
        <f>SUM(PL!I507:L507)</f>
        <v>0</v>
      </c>
      <c r="E507" s="1">
        <f>SUM(C507:D507)</f>
        <v>0</v>
      </c>
      <c r="F507" s="1">
        <f>IF(C507 + F506 &lt; 0, C507 + F506, 0)</f>
        <v>0</v>
      </c>
      <c r="G507" s="1">
        <f>IF(D507 + G506 &lt; 0, D507 + G506, 0)</f>
        <v>0</v>
      </c>
      <c r="H507" s="1">
        <f>IF(E507 + H506 &lt; 0, E507 + H506, 0)</f>
        <v>0</v>
      </c>
      <c r="I507" s="1">
        <f>IF(H507 &lt; 0, 1 + I506, 0)</f>
        <v>0</v>
      </c>
      <c r="J507" s="1">
        <f>C507-((ABS(SUM(PL!E507:H507)))*0.125)</f>
        <v>0</v>
      </c>
      <c r="K507" s="1">
        <f>D507-((ABS(SUM(PL!I507:L507)))*0.125)</f>
        <v>0</v>
      </c>
      <c r="L507" s="1">
        <f>J507 + K507</f>
        <v>0</v>
      </c>
      <c r="M507" s="1">
        <f>IF(J507 + M506 &lt; 0, J507 + M506, 0)</f>
        <v>0</v>
      </c>
      <c r="N507" s="1">
        <f>IF(K507 + N506 &lt; 0, K507 + N506, 0)</f>
        <v>0</v>
      </c>
      <c r="O507" s="1">
        <f>IF(L507 + O506 &lt; 0, L507 + O506, 0)</f>
        <v>0</v>
      </c>
      <c r="P507" s="1">
        <f>IF(O507 &lt; 0, 1 + P506, 0)</f>
        <v>0</v>
      </c>
      <c r="Q507" s="1">
        <f>IF(E507&lt;0,1,0)</f>
        <v>0</v>
      </c>
      <c r="R507" s="1">
        <f>IF(Q507=1,E507,0)</f>
        <v>0</v>
      </c>
      <c r="S507" s="1">
        <f>IF(E507&gt;0,1,0)</f>
        <v>0</v>
      </c>
      <c r="T507" s="1">
        <f>IF(S507=1,E507,0)</f>
        <v>0</v>
      </c>
      <c r="U507" s="1">
        <f>IF(R507&lt;-100000000/100,1,0)</f>
        <v>0</v>
      </c>
      <c r="V507" s="1">
        <f>IF(T507&gt;100000000/100,1,0)</f>
        <v>0</v>
      </c>
      <c r="W507" s="1">
        <f>IF(L507&lt;0,1,0)</f>
        <v>0</v>
      </c>
      <c r="X507" s="1">
        <f>IF(W507=1,L507,0)</f>
        <v>0</v>
      </c>
      <c r="Y507" s="1">
        <f>IF(L507&gt;0,1,0)</f>
        <v>0</v>
      </c>
      <c r="Z507" s="1">
        <f>IF(Y507=1,L507,0)</f>
        <v>0</v>
      </c>
      <c r="AA507" s="1">
        <f>IF(X507&lt;-100000000/100,1,0)</f>
        <v>0</v>
      </c>
      <c r="AB507" s="1">
        <f>IF(Z507&gt;100000000/100,1,0)</f>
        <v>0</v>
      </c>
    </row>
    <row r="508" spans="1:28" s="1" customFormat="1">
      <c r="A508" s="3">
        <v>45726</v>
      </c>
      <c r="B508" s="2" t="s">
        <v>12</v>
      </c>
      <c r="C508" s="1">
        <f>SUM(PL!E508:H508)</f>
        <v>0</v>
      </c>
      <c r="D508" s="1">
        <f>SUM(PL!I508:L508)</f>
        <v>0</v>
      </c>
      <c r="E508" s="1">
        <f>SUM(C508:D508)</f>
        <v>0</v>
      </c>
      <c r="F508" s="1">
        <f>IF(C508 + F507 &lt; 0, C508 + F507, 0)</f>
        <v>0</v>
      </c>
      <c r="G508" s="1">
        <f>IF(D508 + G507 &lt; 0, D508 + G507, 0)</f>
        <v>0</v>
      </c>
      <c r="H508" s="1">
        <f>IF(E508 + H507 &lt; 0, E508 + H507, 0)</f>
        <v>0</v>
      </c>
      <c r="I508" s="1">
        <f>IF(H508 &lt; 0, 1 + I507, 0)</f>
        <v>0</v>
      </c>
      <c r="J508" s="1">
        <f>C508-((ABS(SUM(PL!E508:H508)))*0.125)</f>
        <v>0</v>
      </c>
      <c r="K508" s="1">
        <f>D508-((ABS(SUM(PL!I508:L508)))*0.125)</f>
        <v>0</v>
      </c>
      <c r="L508" s="1">
        <f>J508 + K508</f>
        <v>0</v>
      </c>
      <c r="M508" s="1">
        <f>IF(J508 + M507 &lt; 0, J508 + M507, 0)</f>
        <v>0</v>
      </c>
      <c r="N508" s="1">
        <f>IF(K508 + N507 &lt; 0, K508 + N507, 0)</f>
        <v>0</v>
      </c>
      <c r="O508" s="1">
        <f>IF(L508 + O507 &lt; 0, L508 + O507, 0)</f>
        <v>0</v>
      </c>
      <c r="P508" s="1">
        <f>IF(O508 &lt; 0, 1 + P507, 0)</f>
        <v>0</v>
      </c>
      <c r="Q508" s="1">
        <f>IF(E508&lt;0,1,0)</f>
        <v>0</v>
      </c>
      <c r="R508" s="1">
        <f>IF(Q508=1,E508,0)</f>
        <v>0</v>
      </c>
      <c r="S508" s="1">
        <f>IF(E508&gt;0,1,0)</f>
        <v>0</v>
      </c>
      <c r="T508" s="1">
        <f>IF(S508=1,E508,0)</f>
        <v>0</v>
      </c>
      <c r="U508" s="1">
        <f>IF(R508&lt;-100000000/100,1,0)</f>
        <v>0</v>
      </c>
      <c r="V508" s="1">
        <f>IF(T508&gt;100000000/100,1,0)</f>
        <v>0</v>
      </c>
      <c r="W508" s="1">
        <f>IF(L508&lt;0,1,0)</f>
        <v>0</v>
      </c>
      <c r="X508" s="1">
        <f>IF(W508=1,L508,0)</f>
        <v>0</v>
      </c>
      <c r="Y508" s="1">
        <f>IF(L508&gt;0,1,0)</f>
        <v>0</v>
      </c>
      <c r="Z508" s="1">
        <f>IF(Y508=1,L508,0)</f>
        <v>0</v>
      </c>
      <c r="AA508" s="1">
        <f>IF(X508&lt;-100000000/100,1,0)</f>
        <v>0</v>
      </c>
      <c r="AB508" s="1">
        <f>IF(Z508&gt;100000000/100,1,0)</f>
        <v>0</v>
      </c>
    </row>
    <row r="509" spans="1:28" s="1" customFormat="1">
      <c r="A509" s="3">
        <v>45727</v>
      </c>
      <c r="B509" s="2" t="s">
        <v>13</v>
      </c>
      <c r="C509" s="1">
        <f>SUM(PL!E509:H509)</f>
        <v>0</v>
      </c>
      <c r="D509" s="1">
        <f>SUM(PL!I509:L509)</f>
        <v>0</v>
      </c>
      <c r="E509" s="1">
        <f>SUM(C509:D509)</f>
        <v>0</v>
      </c>
      <c r="F509" s="1">
        <f>IF(C509 + F508 &lt; 0, C509 + F508, 0)</f>
        <v>0</v>
      </c>
      <c r="G509" s="1">
        <f>IF(D509 + G508 &lt; 0, D509 + G508, 0)</f>
        <v>0</v>
      </c>
      <c r="H509" s="1">
        <f>IF(E509 + H508 &lt; 0, E509 + H508, 0)</f>
        <v>0</v>
      </c>
      <c r="I509" s="1">
        <f>IF(H509 &lt; 0, 1 + I508, 0)</f>
        <v>0</v>
      </c>
      <c r="J509" s="1">
        <f>C509-((ABS(SUM(PL!E509:H509)))*0.125)</f>
        <v>0</v>
      </c>
      <c r="K509" s="1">
        <f>D509-((ABS(SUM(PL!I509:L509)))*0.125)</f>
        <v>0</v>
      </c>
      <c r="L509" s="1">
        <f>J509 + K509</f>
        <v>0</v>
      </c>
      <c r="M509" s="1">
        <f>IF(J509 + M508 &lt; 0, J509 + M508, 0)</f>
        <v>0</v>
      </c>
      <c r="N509" s="1">
        <f>IF(K509 + N508 &lt; 0, K509 + N508, 0)</f>
        <v>0</v>
      </c>
      <c r="O509" s="1">
        <f>IF(L509 + O508 &lt; 0, L509 + O508, 0)</f>
        <v>0</v>
      </c>
      <c r="P509" s="1">
        <f>IF(O509 &lt; 0, 1 + P508, 0)</f>
        <v>0</v>
      </c>
      <c r="Q509" s="1">
        <f>IF(E509&lt;0,1,0)</f>
        <v>0</v>
      </c>
      <c r="R509" s="1">
        <f>IF(Q509=1,E509,0)</f>
        <v>0</v>
      </c>
      <c r="S509" s="1">
        <f>IF(E509&gt;0,1,0)</f>
        <v>0</v>
      </c>
      <c r="T509" s="1">
        <f>IF(S509=1,E509,0)</f>
        <v>0</v>
      </c>
      <c r="U509" s="1">
        <f>IF(R509&lt;-100000000/100,1,0)</f>
        <v>0</v>
      </c>
      <c r="V509" s="1">
        <f>IF(T509&gt;100000000/100,1,0)</f>
        <v>0</v>
      </c>
      <c r="W509" s="1">
        <f>IF(L509&lt;0,1,0)</f>
        <v>0</v>
      </c>
      <c r="X509" s="1">
        <f>IF(W509=1,L509,0)</f>
        <v>0</v>
      </c>
      <c r="Y509" s="1">
        <f>IF(L509&gt;0,1,0)</f>
        <v>0</v>
      </c>
      <c r="Z509" s="1">
        <f>IF(Y509=1,L509,0)</f>
        <v>0</v>
      </c>
      <c r="AA509" s="1">
        <f>IF(X509&lt;-100000000/100,1,0)</f>
        <v>0</v>
      </c>
      <c r="AB509" s="1">
        <f>IF(Z509&gt;100000000/100,1,0)</f>
        <v>0</v>
      </c>
    </row>
    <row r="510" spans="1:28" s="1" customFormat="1">
      <c r="A510" s="3">
        <v>45728</v>
      </c>
      <c r="B510" s="2" t="s">
        <v>14</v>
      </c>
      <c r="C510" s="1">
        <f>SUM(PL!E510:H510)</f>
        <v>0</v>
      </c>
      <c r="D510" s="1">
        <f>SUM(PL!I510:L510)</f>
        <v>0</v>
      </c>
      <c r="E510" s="1">
        <f>SUM(C510:D510)</f>
        <v>0</v>
      </c>
      <c r="F510" s="1">
        <f>IF(C510 + F509 &lt; 0, C510 + F509, 0)</f>
        <v>0</v>
      </c>
      <c r="G510" s="1">
        <f>IF(D510 + G509 &lt; 0, D510 + G509, 0)</f>
        <v>0</v>
      </c>
      <c r="H510" s="1">
        <f>IF(E510 + H509 &lt; 0, E510 + H509, 0)</f>
        <v>0</v>
      </c>
      <c r="I510" s="1">
        <f>IF(H510 &lt; 0, 1 + I509, 0)</f>
        <v>0</v>
      </c>
      <c r="J510" s="1">
        <f>C510-((ABS(SUM(PL!E510:H510)))*0.125)</f>
        <v>0</v>
      </c>
      <c r="K510" s="1">
        <f>D510-((ABS(SUM(PL!I510:L510)))*0.125)</f>
        <v>0</v>
      </c>
      <c r="L510" s="1">
        <f>J510 + K510</f>
        <v>0</v>
      </c>
      <c r="M510" s="1">
        <f>IF(J510 + M509 &lt; 0, J510 + M509, 0)</f>
        <v>0</v>
      </c>
      <c r="N510" s="1">
        <f>IF(K510 + N509 &lt; 0, K510 + N509, 0)</f>
        <v>0</v>
      </c>
      <c r="O510" s="1">
        <f>IF(L510 + O509 &lt; 0, L510 + O509, 0)</f>
        <v>0</v>
      </c>
      <c r="P510" s="1">
        <f>IF(O510 &lt; 0, 1 + P509, 0)</f>
        <v>0</v>
      </c>
      <c r="Q510" s="1">
        <f>IF(E510&lt;0,1,0)</f>
        <v>0</v>
      </c>
      <c r="R510" s="1">
        <f>IF(Q510=1,E510,0)</f>
        <v>0</v>
      </c>
      <c r="S510" s="1">
        <f>IF(E510&gt;0,1,0)</f>
        <v>0</v>
      </c>
      <c r="T510" s="1">
        <f>IF(S510=1,E510,0)</f>
        <v>0</v>
      </c>
      <c r="U510" s="1">
        <f>IF(R510&lt;-100000000/100,1,0)</f>
        <v>0</v>
      </c>
      <c r="V510" s="1">
        <f>IF(T510&gt;100000000/100,1,0)</f>
        <v>0</v>
      </c>
      <c r="W510" s="1">
        <f>IF(L510&lt;0,1,0)</f>
        <v>0</v>
      </c>
      <c r="X510" s="1">
        <f>IF(W510=1,L510,0)</f>
        <v>0</v>
      </c>
      <c r="Y510" s="1">
        <f>IF(L510&gt;0,1,0)</f>
        <v>0</v>
      </c>
      <c r="Z510" s="1">
        <f>IF(Y510=1,L510,0)</f>
        <v>0</v>
      </c>
      <c r="AA510" s="1">
        <f>IF(X510&lt;-100000000/100,1,0)</f>
        <v>0</v>
      </c>
      <c r="AB510" s="1">
        <f>IF(Z510&gt;100000000/100,1,0)</f>
        <v>0</v>
      </c>
    </row>
    <row r="511" spans="1:28" s="1" customFormat="1">
      <c r="A511" s="3">
        <v>45729</v>
      </c>
      <c r="B511" s="2" t="s">
        <v>16</v>
      </c>
      <c r="C511" s="1">
        <f>SUM(PL!E511:H511)</f>
        <v>0</v>
      </c>
      <c r="D511" s="1">
        <f>SUM(PL!I511:L511)</f>
        <v>0</v>
      </c>
      <c r="E511" s="1">
        <f>SUM(C511:D511)</f>
        <v>0</v>
      </c>
      <c r="F511" s="1">
        <f>IF(C511 + F510 &lt; 0, C511 + F510, 0)</f>
        <v>0</v>
      </c>
      <c r="G511" s="1">
        <f>IF(D511 + G510 &lt; 0, D511 + G510, 0)</f>
        <v>0</v>
      </c>
      <c r="H511" s="1">
        <f>IF(E511 + H510 &lt; 0, E511 + H510, 0)</f>
        <v>0</v>
      </c>
      <c r="I511" s="1">
        <f>IF(H511 &lt; 0, 1 + I510, 0)</f>
        <v>0</v>
      </c>
      <c r="J511" s="1">
        <f>C511-((ABS(SUM(PL!E511:H511)))*0.125)</f>
        <v>0</v>
      </c>
      <c r="K511" s="1">
        <f>D511-((ABS(SUM(PL!I511:L511)))*0.125)</f>
        <v>0</v>
      </c>
      <c r="L511" s="1">
        <f>J511 + K511</f>
        <v>0</v>
      </c>
      <c r="M511" s="1">
        <f>IF(J511 + M510 &lt; 0, J511 + M510, 0)</f>
        <v>0</v>
      </c>
      <c r="N511" s="1">
        <f>IF(K511 + N510 &lt; 0, K511 + N510, 0)</f>
        <v>0</v>
      </c>
      <c r="O511" s="1">
        <f>IF(L511 + O510 &lt; 0, L511 + O510, 0)</f>
        <v>0</v>
      </c>
      <c r="P511" s="1">
        <f>IF(O511 &lt; 0, 1 + P510, 0)</f>
        <v>0</v>
      </c>
      <c r="Q511" s="1">
        <f>IF(E511&lt;0,1,0)</f>
        <v>0</v>
      </c>
      <c r="R511" s="1">
        <f>IF(Q511=1,E511,0)</f>
        <v>0</v>
      </c>
      <c r="S511" s="1">
        <f>IF(E511&gt;0,1,0)</f>
        <v>0</v>
      </c>
      <c r="T511" s="1">
        <f>IF(S511=1,E511,0)</f>
        <v>0</v>
      </c>
      <c r="U511" s="1">
        <f>IF(R511&lt;-100000000/100,1,0)</f>
        <v>0</v>
      </c>
      <c r="V511" s="1">
        <f>IF(T511&gt;100000000/100,1,0)</f>
        <v>0</v>
      </c>
      <c r="W511" s="1">
        <f>IF(L511&lt;0,1,0)</f>
        <v>0</v>
      </c>
      <c r="X511" s="1">
        <f>IF(W511=1,L511,0)</f>
        <v>0</v>
      </c>
      <c r="Y511" s="1">
        <f>IF(L511&gt;0,1,0)</f>
        <v>0</v>
      </c>
      <c r="Z511" s="1">
        <f>IF(Y511=1,L511,0)</f>
        <v>0</v>
      </c>
      <c r="AA511" s="1">
        <f>IF(X511&lt;-100000000/100,1,0)</f>
        <v>0</v>
      </c>
      <c r="AB511" s="1">
        <f>IF(Z511&gt;100000000/100,1,0)</f>
        <v>0</v>
      </c>
    </row>
    <row r="512" spans="1:28" s="1" customFormat="1">
      <c r="A512" s="3">
        <v>45730</v>
      </c>
      <c r="B512" s="2" t="s">
        <v>15</v>
      </c>
      <c r="C512" s="1">
        <f>SUM(PL!E512:H512)</f>
        <v>0</v>
      </c>
      <c r="D512" s="1">
        <f>SUM(PL!I512:L512)</f>
        <v>0</v>
      </c>
      <c r="E512" s="1">
        <f>SUM(C512:D512)</f>
        <v>0</v>
      </c>
      <c r="F512" s="1">
        <f>IF(C512 + F511 &lt; 0, C512 + F511, 0)</f>
        <v>0</v>
      </c>
      <c r="G512" s="1">
        <f>IF(D512 + G511 &lt; 0, D512 + G511, 0)</f>
        <v>0</v>
      </c>
      <c r="H512" s="1">
        <f>IF(E512 + H511 &lt; 0, E512 + H511, 0)</f>
        <v>0</v>
      </c>
      <c r="I512" s="1">
        <f>IF(H512 &lt; 0, 1 + I511, 0)</f>
        <v>0</v>
      </c>
      <c r="J512" s="1">
        <f>C512-((ABS(SUM(PL!E512:H512)))*0.125)</f>
        <v>0</v>
      </c>
      <c r="K512" s="1">
        <f>D512-((ABS(SUM(PL!I512:L512)))*0.125)</f>
        <v>0</v>
      </c>
      <c r="L512" s="1">
        <f>J512 + K512</f>
        <v>0</v>
      </c>
      <c r="M512" s="1">
        <f>IF(J512 + M511 &lt; 0, J512 + M511, 0)</f>
        <v>0</v>
      </c>
      <c r="N512" s="1">
        <f>IF(K512 + N511 &lt; 0, K512 + N511, 0)</f>
        <v>0</v>
      </c>
      <c r="O512" s="1">
        <f>IF(L512 + O511 &lt; 0, L512 + O511, 0)</f>
        <v>0</v>
      </c>
      <c r="P512" s="1">
        <f>IF(O512 &lt; 0, 1 + P511, 0)</f>
        <v>0</v>
      </c>
      <c r="Q512" s="1">
        <f>IF(E512&lt;0,1,0)</f>
        <v>0</v>
      </c>
      <c r="R512" s="1">
        <f>IF(Q512=1,E512,0)</f>
        <v>0</v>
      </c>
      <c r="S512" s="1">
        <f>IF(E512&gt;0,1,0)</f>
        <v>0</v>
      </c>
      <c r="T512" s="1">
        <f>IF(S512=1,E512,0)</f>
        <v>0</v>
      </c>
      <c r="U512" s="1">
        <f>IF(R512&lt;-100000000/100,1,0)</f>
        <v>0</v>
      </c>
      <c r="V512" s="1">
        <f>IF(T512&gt;100000000/100,1,0)</f>
        <v>0</v>
      </c>
      <c r="W512" s="1">
        <f>IF(L512&lt;0,1,0)</f>
        <v>0</v>
      </c>
      <c r="X512" s="1">
        <f>IF(W512=1,L512,0)</f>
        <v>0</v>
      </c>
      <c r="Y512" s="1">
        <f>IF(L512&gt;0,1,0)</f>
        <v>0</v>
      </c>
      <c r="Z512" s="1">
        <f>IF(Y512=1,L512,0)</f>
        <v>0</v>
      </c>
      <c r="AA512" s="1">
        <f>IF(X512&lt;-100000000/100,1,0)</f>
        <v>0</v>
      </c>
      <c r="AB512" s="1">
        <f>IF(Z512&gt;100000000/100,1,0)</f>
        <v>0</v>
      </c>
    </row>
    <row r="513" spans="1:28" s="1" customFormat="1">
      <c r="A513" s="3">
        <v>45733</v>
      </c>
      <c r="B513" s="2" t="s">
        <v>12</v>
      </c>
      <c r="C513" s="1">
        <f>SUM(PL!E513:H513)</f>
        <v>0</v>
      </c>
      <c r="D513" s="1">
        <f>SUM(PL!I513:L513)</f>
        <v>0</v>
      </c>
      <c r="E513" s="1">
        <f>SUM(C513:D513)</f>
        <v>0</v>
      </c>
      <c r="F513" s="1">
        <f>IF(C513 + F512 &lt; 0, C513 + F512, 0)</f>
        <v>0</v>
      </c>
      <c r="G513" s="1">
        <f>IF(D513 + G512 &lt; 0, D513 + G512, 0)</f>
        <v>0</v>
      </c>
      <c r="H513" s="1">
        <f>IF(E513 + H512 &lt; 0, E513 + H512, 0)</f>
        <v>0</v>
      </c>
      <c r="I513" s="1">
        <f>IF(H513 &lt; 0, 1 + I512, 0)</f>
        <v>0</v>
      </c>
      <c r="J513" s="1">
        <f>C513-((ABS(SUM(PL!E513:H513)))*0.125)</f>
        <v>0</v>
      </c>
      <c r="K513" s="1">
        <f>D513-((ABS(SUM(PL!I513:L513)))*0.125)</f>
        <v>0</v>
      </c>
      <c r="L513" s="1">
        <f>J513 + K513</f>
        <v>0</v>
      </c>
      <c r="M513" s="1">
        <f>IF(J513 + M512 &lt; 0, J513 + M512, 0)</f>
        <v>0</v>
      </c>
      <c r="N513" s="1">
        <f>IF(K513 + N512 &lt; 0, K513 + N512, 0)</f>
        <v>0</v>
      </c>
      <c r="O513" s="1">
        <f>IF(L513 + O512 &lt; 0, L513 + O512, 0)</f>
        <v>0</v>
      </c>
      <c r="P513" s="1">
        <f>IF(O513 &lt; 0, 1 + P512, 0)</f>
        <v>0</v>
      </c>
      <c r="Q513" s="1">
        <f>IF(E513&lt;0,1,0)</f>
        <v>0</v>
      </c>
      <c r="R513" s="1">
        <f>IF(Q513=1,E513,0)</f>
        <v>0</v>
      </c>
      <c r="S513" s="1">
        <f>IF(E513&gt;0,1,0)</f>
        <v>0</v>
      </c>
      <c r="T513" s="1">
        <f>IF(S513=1,E513,0)</f>
        <v>0</v>
      </c>
      <c r="U513" s="1">
        <f>IF(R513&lt;-100000000/100,1,0)</f>
        <v>0</v>
      </c>
      <c r="V513" s="1">
        <f>IF(T513&gt;100000000/100,1,0)</f>
        <v>0</v>
      </c>
      <c r="W513" s="1">
        <f>IF(L513&lt;0,1,0)</f>
        <v>0</v>
      </c>
      <c r="X513" s="1">
        <f>IF(W513=1,L513,0)</f>
        <v>0</v>
      </c>
      <c r="Y513" s="1">
        <f>IF(L513&gt;0,1,0)</f>
        <v>0</v>
      </c>
      <c r="Z513" s="1">
        <f>IF(Y513=1,L513,0)</f>
        <v>0</v>
      </c>
      <c r="AA513" s="1">
        <f>IF(X513&lt;-100000000/100,1,0)</f>
        <v>0</v>
      </c>
      <c r="AB513" s="1">
        <f>IF(Z513&gt;100000000/100,1,0)</f>
        <v>0</v>
      </c>
    </row>
    <row r="514" spans="1:28" s="1" customFormat="1">
      <c r="A514" s="3">
        <v>45734</v>
      </c>
      <c r="B514" s="2" t="s">
        <v>13</v>
      </c>
      <c r="C514" s="1">
        <f>SUM(PL!E514:H514)</f>
        <v>0</v>
      </c>
      <c r="D514" s="1">
        <f>SUM(PL!I514:L514)</f>
        <v>0</v>
      </c>
      <c r="E514" s="1">
        <f>SUM(C514:D514)</f>
        <v>0</v>
      </c>
      <c r="F514" s="1">
        <f>IF(C514 + F513 &lt; 0, C514 + F513, 0)</f>
        <v>0</v>
      </c>
      <c r="G514" s="1">
        <f>IF(D514 + G513 &lt; 0, D514 + G513, 0)</f>
        <v>0</v>
      </c>
      <c r="H514" s="1">
        <f>IF(E514 + H513 &lt; 0, E514 + H513, 0)</f>
        <v>0</v>
      </c>
      <c r="I514" s="1">
        <f>IF(H514 &lt; 0, 1 + I513, 0)</f>
        <v>0</v>
      </c>
      <c r="J514" s="1">
        <f>C514-((ABS(SUM(PL!E514:H514)))*0.125)</f>
        <v>0</v>
      </c>
      <c r="K514" s="1">
        <f>D514-((ABS(SUM(PL!I514:L514)))*0.125)</f>
        <v>0</v>
      </c>
      <c r="L514" s="1">
        <f>J514 + K514</f>
        <v>0</v>
      </c>
      <c r="M514" s="1">
        <f>IF(J514 + M513 &lt; 0, J514 + M513, 0)</f>
        <v>0</v>
      </c>
      <c r="N514" s="1">
        <f>IF(K514 + N513 &lt; 0, K514 + N513, 0)</f>
        <v>0</v>
      </c>
      <c r="O514" s="1">
        <f>IF(L514 + O513 &lt; 0, L514 + O513, 0)</f>
        <v>0</v>
      </c>
      <c r="P514" s="1">
        <f>IF(O514 &lt; 0, 1 + P513, 0)</f>
        <v>0</v>
      </c>
      <c r="Q514" s="1">
        <f>IF(E514&lt;0,1,0)</f>
        <v>0</v>
      </c>
      <c r="R514" s="1">
        <f>IF(Q514=1,E514,0)</f>
        <v>0</v>
      </c>
      <c r="S514" s="1">
        <f>IF(E514&gt;0,1,0)</f>
        <v>0</v>
      </c>
      <c r="T514" s="1">
        <f>IF(S514=1,E514,0)</f>
        <v>0</v>
      </c>
      <c r="U514" s="1">
        <f>IF(R514&lt;-100000000/100,1,0)</f>
        <v>0</v>
      </c>
      <c r="V514" s="1">
        <f>IF(T514&gt;100000000/100,1,0)</f>
        <v>0</v>
      </c>
      <c r="W514" s="1">
        <f>IF(L514&lt;0,1,0)</f>
        <v>0</v>
      </c>
      <c r="X514" s="1">
        <f>IF(W514=1,L514,0)</f>
        <v>0</v>
      </c>
      <c r="Y514" s="1">
        <f>IF(L514&gt;0,1,0)</f>
        <v>0</v>
      </c>
      <c r="Z514" s="1">
        <f>IF(Y514=1,L514,0)</f>
        <v>0</v>
      </c>
      <c r="AA514" s="1">
        <f>IF(X514&lt;-100000000/100,1,0)</f>
        <v>0</v>
      </c>
      <c r="AB514" s="1">
        <f>IF(Z514&gt;100000000/100,1,0)</f>
        <v>0</v>
      </c>
    </row>
    <row r="515" spans="1:28" s="1" customFormat="1">
      <c r="A515" s="3">
        <v>45735</v>
      </c>
      <c r="B515" s="2" t="s">
        <v>14</v>
      </c>
      <c r="C515" s="1">
        <f>SUM(PL!E515:H515)</f>
        <v>0</v>
      </c>
      <c r="D515" s="1">
        <f>SUM(PL!I515:L515)</f>
        <v>0</v>
      </c>
      <c r="E515" s="1">
        <f>SUM(C515:D515)</f>
        <v>0</v>
      </c>
      <c r="F515" s="1">
        <f>IF(C515 + F514 &lt; 0, C515 + F514, 0)</f>
        <v>0</v>
      </c>
      <c r="G515" s="1">
        <f>IF(D515 + G514 &lt; 0, D515 + G514, 0)</f>
        <v>0</v>
      </c>
      <c r="H515" s="1">
        <f>IF(E515 + H514 &lt; 0, E515 + H514, 0)</f>
        <v>0</v>
      </c>
      <c r="I515" s="1">
        <f>IF(H515 &lt; 0, 1 + I514, 0)</f>
        <v>0</v>
      </c>
      <c r="J515" s="1">
        <f>C515-((ABS(SUM(PL!E515:H515)))*0.125)</f>
        <v>0</v>
      </c>
      <c r="K515" s="1">
        <f>D515-((ABS(SUM(PL!I515:L515)))*0.125)</f>
        <v>0</v>
      </c>
      <c r="L515" s="1">
        <f>J515 + K515</f>
        <v>0</v>
      </c>
      <c r="M515" s="1">
        <f>IF(J515 + M514 &lt; 0, J515 + M514, 0)</f>
        <v>0</v>
      </c>
      <c r="N515" s="1">
        <f>IF(K515 + N514 &lt; 0, K515 + N514, 0)</f>
        <v>0</v>
      </c>
      <c r="O515" s="1">
        <f>IF(L515 + O514 &lt; 0, L515 + O514, 0)</f>
        <v>0</v>
      </c>
      <c r="P515" s="1">
        <f>IF(O515 &lt; 0, 1 + P514, 0)</f>
        <v>0</v>
      </c>
      <c r="Q515" s="1">
        <f>IF(E515&lt;0,1,0)</f>
        <v>0</v>
      </c>
      <c r="R515" s="1">
        <f>IF(Q515=1,E515,0)</f>
        <v>0</v>
      </c>
      <c r="S515" s="1">
        <f>IF(E515&gt;0,1,0)</f>
        <v>0</v>
      </c>
      <c r="T515" s="1">
        <f>IF(S515=1,E515,0)</f>
        <v>0</v>
      </c>
      <c r="U515" s="1">
        <f>IF(R515&lt;-100000000/100,1,0)</f>
        <v>0</v>
      </c>
      <c r="V515" s="1">
        <f>IF(T515&gt;100000000/100,1,0)</f>
        <v>0</v>
      </c>
      <c r="W515" s="1">
        <f>IF(L515&lt;0,1,0)</f>
        <v>0</v>
      </c>
      <c r="X515" s="1">
        <f>IF(W515=1,L515,0)</f>
        <v>0</v>
      </c>
      <c r="Y515" s="1">
        <f>IF(L515&gt;0,1,0)</f>
        <v>0</v>
      </c>
      <c r="Z515" s="1">
        <f>IF(Y515=1,L515,0)</f>
        <v>0</v>
      </c>
      <c r="AA515" s="1">
        <f>IF(X515&lt;-100000000/100,1,0)</f>
        <v>0</v>
      </c>
      <c r="AB515" s="1">
        <f>IF(Z515&gt;100000000/100,1,0)</f>
        <v>0</v>
      </c>
    </row>
    <row r="516" spans="1:28" s="1" customFormat="1">
      <c r="A516" s="3">
        <v>45736</v>
      </c>
      <c r="B516" s="2" t="s">
        <v>16</v>
      </c>
      <c r="C516" s="1">
        <f>SUM(PL!E516:H516)</f>
        <v>0</v>
      </c>
      <c r="D516" s="1">
        <f>SUM(PL!I516:L516)</f>
        <v>0</v>
      </c>
      <c r="E516" s="1">
        <f>SUM(C516:D516)</f>
        <v>0</v>
      </c>
      <c r="F516" s="1">
        <f>IF(C516 + F515 &lt; 0, C516 + F515, 0)</f>
        <v>0</v>
      </c>
      <c r="G516" s="1">
        <f>IF(D516 + G515 &lt; 0, D516 + G515, 0)</f>
        <v>0</v>
      </c>
      <c r="H516" s="1">
        <f>IF(E516 + H515 &lt; 0, E516 + H515, 0)</f>
        <v>0</v>
      </c>
      <c r="I516" s="1">
        <f>IF(H516 &lt; 0, 1 + I515, 0)</f>
        <v>0</v>
      </c>
      <c r="J516" s="1">
        <f>C516-((ABS(SUM(PL!E516:H516)))*0.125)</f>
        <v>0</v>
      </c>
      <c r="K516" s="1">
        <f>D516-((ABS(SUM(PL!I516:L516)))*0.125)</f>
        <v>0</v>
      </c>
      <c r="L516" s="1">
        <f>J516 + K516</f>
        <v>0</v>
      </c>
      <c r="M516" s="1">
        <f>IF(J516 + M515 &lt; 0, J516 + M515, 0)</f>
        <v>0</v>
      </c>
      <c r="N516" s="1">
        <f>IF(K516 + N515 &lt; 0, K516 + N515, 0)</f>
        <v>0</v>
      </c>
      <c r="O516" s="1">
        <f>IF(L516 + O515 &lt; 0, L516 + O515, 0)</f>
        <v>0</v>
      </c>
      <c r="P516" s="1">
        <f>IF(O516 &lt; 0, 1 + P515, 0)</f>
        <v>0</v>
      </c>
      <c r="Q516" s="1">
        <f>IF(E516&lt;0,1,0)</f>
        <v>0</v>
      </c>
      <c r="R516" s="1">
        <f>IF(Q516=1,E516,0)</f>
        <v>0</v>
      </c>
      <c r="S516" s="1">
        <f>IF(E516&gt;0,1,0)</f>
        <v>0</v>
      </c>
      <c r="T516" s="1">
        <f>IF(S516=1,E516,0)</f>
        <v>0</v>
      </c>
      <c r="U516" s="1">
        <f>IF(R516&lt;-100000000/100,1,0)</f>
        <v>0</v>
      </c>
      <c r="V516" s="1">
        <f>IF(T516&gt;100000000/100,1,0)</f>
        <v>0</v>
      </c>
      <c r="W516" s="1">
        <f>IF(L516&lt;0,1,0)</f>
        <v>0</v>
      </c>
      <c r="X516" s="1">
        <f>IF(W516=1,L516,0)</f>
        <v>0</v>
      </c>
      <c r="Y516" s="1">
        <f>IF(L516&gt;0,1,0)</f>
        <v>0</v>
      </c>
      <c r="Z516" s="1">
        <f>IF(Y516=1,L516,0)</f>
        <v>0</v>
      </c>
      <c r="AA516" s="1">
        <f>IF(X516&lt;-100000000/100,1,0)</f>
        <v>0</v>
      </c>
      <c r="AB516" s="1">
        <f>IF(Z516&gt;100000000/100,1,0)</f>
        <v>0</v>
      </c>
    </row>
    <row r="517" spans="1:28" s="1" customFormat="1">
      <c r="A517" s="3">
        <v>45737</v>
      </c>
      <c r="B517" s="2" t="s">
        <v>15</v>
      </c>
      <c r="C517" s="1">
        <f>SUM(PL!E517:H517)</f>
        <v>0</v>
      </c>
      <c r="D517" s="1">
        <f>SUM(PL!I517:L517)</f>
        <v>0</v>
      </c>
      <c r="E517" s="1">
        <f>SUM(C517:D517)</f>
        <v>0</v>
      </c>
      <c r="F517" s="1">
        <f>IF(C517 + F516 &lt; 0, C517 + F516, 0)</f>
        <v>0</v>
      </c>
      <c r="G517" s="1">
        <f>IF(D517 + G516 &lt; 0, D517 + G516, 0)</f>
        <v>0</v>
      </c>
      <c r="H517" s="1">
        <f>IF(E517 + H516 &lt; 0, E517 + H516, 0)</f>
        <v>0</v>
      </c>
      <c r="I517" s="1">
        <f>IF(H517 &lt; 0, 1 + I516, 0)</f>
        <v>0</v>
      </c>
      <c r="J517" s="1">
        <f>C517-((ABS(SUM(PL!E517:H517)))*0.125)</f>
        <v>0</v>
      </c>
      <c r="K517" s="1">
        <f>D517-((ABS(SUM(PL!I517:L517)))*0.125)</f>
        <v>0</v>
      </c>
      <c r="L517" s="1">
        <f>J517 + K517</f>
        <v>0</v>
      </c>
      <c r="M517" s="1">
        <f>IF(J517 + M516 &lt; 0, J517 + M516, 0)</f>
        <v>0</v>
      </c>
      <c r="N517" s="1">
        <f>IF(K517 + N516 &lt; 0, K517 + N516, 0)</f>
        <v>0</v>
      </c>
      <c r="O517" s="1">
        <f>IF(L517 + O516 &lt; 0, L517 + O516, 0)</f>
        <v>0</v>
      </c>
      <c r="P517" s="1">
        <f>IF(O517 &lt; 0, 1 + P516, 0)</f>
        <v>0</v>
      </c>
      <c r="Q517" s="1">
        <f>IF(E517&lt;0,1,0)</f>
        <v>0</v>
      </c>
      <c r="R517" s="1">
        <f>IF(Q517=1,E517,0)</f>
        <v>0</v>
      </c>
      <c r="S517" s="1">
        <f>IF(E517&gt;0,1,0)</f>
        <v>0</v>
      </c>
      <c r="T517" s="1">
        <f>IF(S517=1,E517,0)</f>
        <v>0</v>
      </c>
      <c r="U517" s="1">
        <f>IF(R517&lt;-100000000/100,1,0)</f>
        <v>0</v>
      </c>
      <c r="V517" s="1">
        <f>IF(T517&gt;100000000/100,1,0)</f>
        <v>0</v>
      </c>
      <c r="W517" s="1">
        <f>IF(L517&lt;0,1,0)</f>
        <v>0</v>
      </c>
      <c r="X517" s="1">
        <f>IF(W517=1,L517,0)</f>
        <v>0</v>
      </c>
      <c r="Y517" s="1">
        <f>IF(L517&gt;0,1,0)</f>
        <v>0</v>
      </c>
      <c r="Z517" s="1">
        <f>IF(Y517=1,L517,0)</f>
        <v>0</v>
      </c>
      <c r="AA517" s="1">
        <f>IF(X517&lt;-100000000/100,1,0)</f>
        <v>0</v>
      </c>
      <c r="AB517" s="1">
        <f>IF(Z517&gt;100000000/100,1,0)</f>
        <v>0</v>
      </c>
    </row>
    <row r="518" spans="1:28" s="1" customFormat="1">
      <c r="A518" s="3">
        <v>45740</v>
      </c>
      <c r="B518" s="2" t="s">
        <v>12</v>
      </c>
      <c r="C518" s="1">
        <f>SUM(PL!E518:H518)</f>
        <v>0</v>
      </c>
      <c r="D518" s="1">
        <f>SUM(PL!I518:L518)</f>
        <v>0</v>
      </c>
      <c r="E518" s="1">
        <f>SUM(C518:D518)</f>
        <v>0</v>
      </c>
      <c r="F518" s="1">
        <f>IF(C518 + F517 &lt; 0, C518 + F517, 0)</f>
        <v>0</v>
      </c>
      <c r="G518" s="1">
        <f>IF(D518 + G517 &lt; 0, D518 + G517, 0)</f>
        <v>0</v>
      </c>
      <c r="H518" s="1">
        <f>IF(E518 + H517 &lt; 0, E518 + H517, 0)</f>
        <v>0</v>
      </c>
      <c r="I518" s="1">
        <f>IF(H518 &lt; 0, 1 + I517, 0)</f>
        <v>0</v>
      </c>
      <c r="J518" s="1">
        <f>C518-((ABS(SUM(PL!E518:H518)))*0.125)</f>
        <v>0</v>
      </c>
      <c r="K518" s="1">
        <f>D518-((ABS(SUM(PL!I518:L518)))*0.125)</f>
        <v>0</v>
      </c>
      <c r="L518" s="1">
        <f>J518 + K518</f>
        <v>0</v>
      </c>
      <c r="M518" s="1">
        <f>IF(J518 + M517 &lt; 0, J518 + M517, 0)</f>
        <v>0</v>
      </c>
      <c r="N518" s="1">
        <f>IF(K518 + N517 &lt; 0, K518 + N517, 0)</f>
        <v>0</v>
      </c>
      <c r="O518" s="1">
        <f>IF(L518 + O517 &lt; 0, L518 + O517, 0)</f>
        <v>0</v>
      </c>
      <c r="P518" s="1">
        <f>IF(O518 &lt; 0, 1 + P517, 0)</f>
        <v>0</v>
      </c>
      <c r="Q518" s="1">
        <f>IF(E518&lt;0,1,0)</f>
        <v>0</v>
      </c>
      <c r="R518" s="1">
        <f>IF(Q518=1,E518,0)</f>
        <v>0</v>
      </c>
      <c r="S518" s="1">
        <f>IF(E518&gt;0,1,0)</f>
        <v>0</v>
      </c>
      <c r="T518" s="1">
        <f>IF(S518=1,E518,0)</f>
        <v>0</v>
      </c>
      <c r="U518" s="1">
        <f>IF(R518&lt;-100000000/100,1,0)</f>
        <v>0</v>
      </c>
      <c r="V518" s="1">
        <f>IF(T518&gt;100000000/100,1,0)</f>
        <v>0</v>
      </c>
      <c r="W518" s="1">
        <f>IF(L518&lt;0,1,0)</f>
        <v>0</v>
      </c>
      <c r="X518" s="1">
        <f>IF(W518=1,L518,0)</f>
        <v>0</v>
      </c>
      <c r="Y518" s="1">
        <f>IF(L518&gt;0,1,0)</f>
        <v>0</v>
      </c>
      <c r="Z518" s="1">
        <f>IF(Y518=1,L518,0)</f>
        <v>0</v>
      </c>
      <c r="AA518" s="1">
        <f>IF(X518&lt;-100000000/100,1,0)</f>
        <v>0</v>
      </c>
      <c r="AB518" s="1">
        <f>IF(Z518&gt;100000000/100,1,0)</f>
        <v>0</v>
      </c>
    </row>
    <row r="519" spans="1:28" s="1" customFormat="1">
      <c r="A519" s="3">
        <v>45741</v>
      </c>
      <c r="B519" s="2" t="s">
        <v>13</v>
      </c>
      <c r="C519" s="1">
        <f>SUM(PL!E519:H519)</f>
        <v>0</v>
      </c>
      <c r="D519" s="1">
        <f>SUM(PL!I519:L519)</f>
        <v>0</v>
      </c>
      <c r="E519" s="1">
        <f>SUM(C519:D519)</f>
        <v>0</v>
      </c>
      <c r="F519" s="1">
        <f>IF(C519 + F518 &lt; 0, C519 + F518, 0)</f>
        <v>0</v>
      </c>
      <c r="G519" s="1">
        <f>IF(D519 + G518 &lt; 0, D519 + G518, 0)</f>
        <v>0</v>
      </c>
      <c r="H519" s="1">
        <f>IF(E519 + H518 &lt; 0, E519 + H518, 0)</f>
        <v>0</v>
      </c>
      <c r="I519" s="1">
        <f>IF(H519 &lt; 0, 1 + I518, 0)</f>
        <v>0</v>
      </c>
      <c r="J519" s="1">
        <f>C519-((ABS(SUM(PL!E519:H519)))*0.125)</f>
        <v>0</v>
      </c>
      <c r="K519" s="1">
        <f>D519-((ABS(SUM(PL!I519:L519)))*0.125)</f>
        <v>0</v>
      </c>
      <c r="L519" s="1">
        <f>J519 + K519</f>
        <v>0</v>
      </c>
      <c r="M519" s="1">
        <f>IF(J519 + M518 &lt; 0, J519 + M518, 0)</f>
        <v>0</v>
      </c>
      <c r="N519" s="1">
        <f>IF(K519 + N518 &lt; 0, K519 + N518, 0)</f>
        <v>0</v>
      </c>
      <c r="O519" s="1">
        <f>IF(L519 + O518 &lt; 0, L519 + O518, 0)</f>
        <v>0</v>
      </c>
      <c r="P519" s="1">
        <f>IF(O519 &lt; 0, 1 + P518, 0)</f>
        <v>0</v>
      </c>
      <c r="Q519" s="1">
        <f>IF(E519&lt;0,1,0)</f>
        <v>0</v>
      </c>
      <c r="R519" s="1">
        <f>IF(Q519=1,E519,0)</f>
        <v>0</v>
      </c>
      <c r="S519" s="1">
        <f>IF(E519&gt;0,1,0)</f>
        <v>0</v>
      </c>
      <c r="T519" s="1">
        <f>IF(S519=1,E519,0)</f>
        <v>0</v>
      </c>
      <c r="U519" s="1">
        <f>IF(R519&lt;-100000000/100,1,0)</f>
        <v>0</v>
      </c>
      <c r="V519" s="1">
        <f>IF(T519&gt;100000000/100,1,0)</f>
        <v>0</v>
      </c>
      <c r="W519" s="1">
        <f>IF(L519&lt;0,1,0)</f>
        <v>0</v>
      </c>
      <c r="X519" s="1">
        <f>IF(W519=1,L519,0)</f>
        <v>0</v>
      </c>
      <c r="Y519" s="1">
        <f>IF(L519&gt;0,1,0)</f>
        <v>0</v>
      </c>
      <c r="Z519" s="1">
        <f>IF(Y519=1,L519,0)</f>
        <v>0</v>
      </c>
      <c r="AA519" s="1">
        <f>IF(X519&lt;-100000000/100,1,0)</f>
        <v>0</v>
      </c>
      <c r="AB519" s="1">
        <f>IF(Z519&gt;100000000/100,1,0)</f>
        <v>0</v>
      </c>
    </row>
    <row r="520" spans="1:28" s="1" customFormat="1">
      <c r="A520" s="3">
        <v>45742</v>
      </c>
      <c r="B520" s="2" t="s">
        <v>14</v>
      </c>
      <c r="C520" s="1">
        <f>SUM(PL!E520:H520)</f>
        <v>0</v>
      </c>
      <c r="D520" s="1">
        <f>SUM(PL!I520:L520)</f>
        <v>0</v>
      </c>
      <c r="E520" s="1">
        <f>SUM(C520:D520)</f>
        <v>0</v>
      </c>
      <c r="F520" s="1">
        <f>IF(C520 + F519 &lt; 0, C520 + F519, 0)</f>
        <v>0</v>
      </c>
      <c r="G520" s="1">
        <f>IF(D520 + G519 &lt; 0, D520 + G519, 0)</f>
        <v>0</v>
      </c>
      <c r="H520" s="1">
        <f>IF(E520 + H519 &lt; 0, E520 + H519, 0)</f>
        <v>0</v>
      </c>
      <c r="I520" s="1">
        <f>IF(H520 &lt; 0, 1 + I519, 0)</f>
        <v>0</v>
      </c>
      <c r="J520" s="1">
        <f>C520-((ABS(SUM(PL!E520:H520)))*0.125)</f>
        <v>0</v>
      </c>
      <c r="K520" s="1">
        <f>D520-((ABS(SUM(PL!I520:L520)))*0.125)</f>
        <v>0</v>
      </c>
      <c r="L520" s="1">
        <f>J520 + K520</f>
        <v>0</v>
      </c>
      <c r="M520" s="1">
        <f>IF(J520 + M519 &lt; 0, J520 + M519, 0)</f>
        <v>0</v>
      </c>
      <c r="N520" s="1">
        <f>IF(K520 + N519 &lt; 0, K520 + N519, 0)</f>
        <v>0</v>
      </c>
      <c r="O520" s="1">
        <f>IF(L520 + O519 &lt; 0, L520 + O519, 0)</f>
        <v>0</v>
      </c>
      <c r="P520" s="1">
        <f>IF(O520 &lt; 0, 1 + P519, 0)</f>
        <v>0</v>
      </c>
      <c r="Q520" s="1">
        <f>IF(E520&lt;0,1,0)</f>
        <v>0</v>
      </c>
      <c r="R520" s="1">
        <f>IF(Q520=1,E520,0)</f>
        <v>0</v>
      </c>
      <c r="S520" s="1">
        <f>IF(E520&gt;0,1,0)</f>
        <v>0</v>
      </c>
      <c r="T520" s="1">
        <f>IF(S520=1,E520,0)</f>
        <v>0</v>
      </c>
      <c r="U520" s="1">
        <f>IF(R520&lt;-100000000/100,1,0)</f>
        <v>0</v>
      </c>
      <c r="V520" s="1">
        <f>IF(T520&gt;100000000/100,1,0)</f>
        <v>0</v>
      </c>
      <c r="W520" s="1">
        <f>IF(L520&lt;0,1,0)</f>
        <v>0</v>
      </c>
      <c r="X520" s="1">
        <f>IF(W520=1,L520,0)</f>
        <v>0</v>
      </c>
      <c r="Y520" s="1">
        <f>IF(L520&gt;0,1,0)</f>
        <v>0</v>
      </c>
      <c r="Z520" s="1">
        <f>IF(Y520=1,L520,0)</f>
        <v>0</v>
      </c>
      <c r="AA520" s="1">
        <f>IF(X520&lt;-100000000/100,1,0)</f>
        <v>0</v>
      </c>
      <c r="AB520" s="1">
        <f>IF(Z520&gt;100000000/100,1,0)</f>
        <v>0</v>
      </c>
    </row>
    <row r="521" spans="1:28" s="1" customFormat="1">
      <c r="A521" s="3">
        <v>45743</v>
      </c>
      <c r="B521" s="2" t="s">
        <v>16</v>
      </c>
      <c r="C521" s="1">
        <f>SUM(PL!E521:H521)</f>
        <v>0</v>
      </c>
      <c r="D521" s="1">
        <f>SUM(PL!I521:L521)</f>
        <v>0</v>
      </c>
      <c r="E521" s="1">
        <f>SUM(C521:D521)</f>
        <v>0</v>
      </c>
      <c r="F521" s="1">
        <f>IF(C521 + F520 &lt; 0, C521 + F520, 0)</f>
        <v>0</v>
      </c>
      <c r="G521" s="1">
        <f>IF(D521 + G520 &lt; 0, D521 + G520, 0)</f>
        <v>0</v>
      </c>
      <c r="H521" s="1">
        <f>IF(E521 + H520 &lt; 0, E521 + H520, 0)</f>
        <v>0</v>
      </c>
      <c r="I521" s="1">
        <f>IF(H521 &lt; 0, 1 + I520, 0)</f>
        <v>0</v>
      </c>
      <c r="J521" s="1">
        <f>C521-((ABS(SUM(PL!E521:H521)))*0.125)</f>
        <v>0</v>
      </c>
      <c r="K521" s="1">
        <f>D521-((ABS(SUM(PL!I521:L521)))*0.125)</f>
        <v>0</v>
      </c>
      <c r="L521" s="1">
        <f>J521 + K521</f>
        <v>0</v>
      </c>
      <c r="M521" s="1">
        <f>IF(J521 + M520 &lt; 0, J521 + M520, 0)</f>
        <v>0</v>
      </c>
      <c r="N521" s="1">
        <f>IF(K521 + N520 &lt; 0, K521 + N520, 0)</f>
        <v>0</v>
      </c>
      <c r="O521" s="1">
        <f>IF(L521 + O520 &lt; 0, L521 + O520, 0)</f>
        <v>0</v>
      </c>
      <c r="P521" s="1">
        <f>IF(O521 &lt; 0, 1 + P520, 0)</f>
        <v>0</v>
      </c>
      <c r="Q521" s="1">
        <f>IF(E521&lt;0,1,0)</f>
        <v>0</v>
      </c>
      <c r="R521" s="1">
        <f>IF(Q521=1,E521,0)</f>
        <v>0</v>
      </c>
      <c r="S521" s="1">
        <f>IF(E521&gt;0,1,0)</f>
        <v>0</v>
      </c>
      <c r="T521" s="1">
        <f>IF(S521=1,E521,0)</f>
        <v>0</v>
      </c>
      <c r="U521" s="1">
        <f>IF(R521&lt;-100000000/100,1,0)</f>
        <v>0</v>
      </c>
      <c r="V521" s="1">
        <f>IF(T521&gt;100000000/100,1,0)</f>
        <v>0</v>
      </c>
      <c r="W521" s="1">
        <f>IF(L521&lt;0,1,0)</f>
        <v>0</v>
      </c>
      <c r="X521" s="1">
        <f>IF(W521=1,L521,0)</f>
        <v>0</v>
      </c>
      <c r="Y521" s="1">
        <f>IF(L521&gt;0,1,0)</f>
        <v>0</v>
      </c>
      <c r="Z521" s="1">
        <f>IF(Y521=1,L521,0)</f>
        <v>0</v>
      </c>
      <c r="AA521" s="1">
        <f>IF(X521&lt;-100000000/100,1,0)</f>
        <v>0</v>
      </c>
      <c r="AB521" s="1">
        <f>IF(Z521&gt;100000000/100,1,0)</f>
        <v>0</v>
      </c>
    </row>
    <row r="522" spans="1:28" s="1" customFormat="1">
      <c r="A522" s="3">
        <v>45744</v>
      </c>
      <c r="B522" s="2" t="s">
        <v>15</v>
      </c>
      <c r="C522" s="1">
        <f>SUM(PL!E522:H522)</f>
        <v>0</v>
      </c>
      <c r="D522" s="1">
        <f>SUM(PL!I522:L522)</f>
        <v>0</v>
      </c>
      <c r="E522" s="1">
        <f>SUM(C522:D522)</f>
        <v>0</v>
      </c>
      <c r="F522" s="1">
        <f>IF(C522 + F521 &lt; 0, C522 + F521, 0)</f>
        <v>0</v>
      </c>
      <c r="G522" s="1">
        <f>IF(D522 + G521 &lt; 0, D522 + G521, 0)</f>
        <v>0</v>
      </c>
      <c r="H522" s="1">
        <f>IF(E522 + H521 &lt; 0, E522 + H521, 0)</f>
        <v>0</v>
      </c>
      <c r="I522" s="1">
        <f>IF(H522 &lt; 0, 1 + I521, 0)</f>
        <v>0</v>
      </c>
      <c r="J522" s="1">
        <f>C522-((ABS(SUM(PL!E522:H522)))*0.125)</f>
        <v>0</v>
      </c>
      <c r="K522" s="1">
        <f>D522-((ABS(SUM(PL!I522:L522)))*0.125)</f>
        <v>0</v>
      </c>
      <c r="L522" s="1">
        <f>J522 + K522</f>
        <v>0</v>
      </c>
      <c r="M522" s="1">
        <f>IF(J522 + M521 &lt; 0, J522 + M521, 0)</f>
        <v>0</v>
      </c>
      <c r="N522" s="1">
        <f>IF(K522 + N521 &lt; 0, K522 + N521, 0)</f>
        <v>0</v>
      </c>
      <c r="O522" s="1">
        <f>IF(L522 + O521 &lt; 0, L522 + O521, 0)</f>
        <v>0</v>
      </c>
      <c r="P522" s="1">
        <f>IF(O522 &lt; 0, 1 + P521, 0)</f>
        <v>0</v>
      </c>
      <c r="Q522" s="1">
        <f>IF(E522&lt;0,1,0)</f>
        <v>0</v>
      </c>
      <c r="R522" s="1">
        <f>IF(Q522=1,E522,0)</f>
        <v>0</v>
      </c>
      <c r="S522" s="1">
        <f>IF(E522&gt;0,1,0)</f>
        <v>0</v>
      </c>
      <c r="T522" s="1">
        <f>IF(S522=1,E522,0)</f>
        <v>0</v>
      </c>
      <c r="U522" s="1">
        <f>IF(R522&lt;-100000000/100,1,0)</f>
        <v>0</v>
      </c>
      <c r="V522" s="1">
        <f>IF(T522&gt;100000000/100,1,0)</f>
        <v>0</v>
      </c>
      <c r="W522" s="1">
        <f>IF(L522&lt;0,1,0)</f>
        <v>0</v>
      </c>
      <c r="X522" s="1">
        <f>IF(W522=1,L522,0)</f>
        <v>0</v>
      </c>
      <c r="Y522" s="1">
        <f>IF(L522&gt;0,1,0)</f>
        <v>0</v>
      </c>
      <c r="Z522" s="1">
        <f>IF(Y522=1,L522,0)</f>
        <v>0</v>
      </c>
      <c r="AA522" s="1">
        <f>IF(X522&lt;-100000000/100,1,0)</f>
        <v>0</v>
      </c>
      <c r="AB522" s="1">
        <f>IF(Z522&gt;100000000/100,1,0)</f>
        <v>0</v>
      </c>
    </row>
    <row r="523" spans="1:28" s="1" customFormat="1">
      <c r="A523" s="3">
        <v>45747</v>
      </c>
      <c r="B523" s="2" t="s">
        <v>12</v>
      </c>
      <c r="C523" s="1">
        <f>SUM(PL!E523:H523)</f>
        <v>0</v>
      </c>
      <c r="D523" s="1">
        <f>SUM(PL!I523:L523)</f>
        <v>0</v>
      </c>
      <c r="E523" s="1">
        <f>SUM(C523:D523)</f>
        <v>0</v>
      </c>
      <c r="F523" s="1">
        <f>IF(C523 + F522 &lt; 0, C523 + F522, 0)</f>
        <v>0</v>
      </c>
      <c r="G523" s="1">
        <f>IF(D523 + G522 &lt; 0, D523 + G522, 0)</f>
        <v>0</v>
      </c>
      <c r="H523" s="1">
        <f>IF(E523 + H522 &lt; 0, E523 + H522, 0)</f>
        <v>0</v>
      </c>
      <c r="I523" s="1">
        <f>IF(H523 &lt; 0, 1 + I522, 0)</f>
        <v>0</v>
      </c>
      <c r="J523" s="1">
        <f>C523-((ABS(SUM(PL!E523:H523)))*0.125)</f>
        <v>0</v>
      </c>
      <c r="K523" s="1">
        <f>D523-((ABS(SUM(PL!I523:L523)))*0.125)</f>
        <v>0</v>
      </c>
      <c r="L523" s="1">
        <f>J523 + K523</f>
        <v>0</v>
      </c>
      <c r="M523" s="1">
        <f>IF(J523 + M522 &lt; 0, J523 + M522, 0)</f>
        <v>0</v>
      </c>
      <c r="N523" s="1">
        <f>IF(K523 + N522 &lt; 0, K523 + N522, 0)</f>
        <v>0</v>
      </c>
      <c r="O523" s="1">
        <f>IF(L523 + O522 &lt; 0, L523 + O522, 0)</f>
        <v>0</v>
      </c>
      <c r="P523" s="1">
        <f>IF(O523 &lt; 0, 1 + P522, 0)</f>
        <v>0</v>
      </c>
      <c r="Q523" s="1">
        <f>IF(E523&lt;0,1,0)</f>
        <v>0</v>
      </c>
      <c r="R523" s="1">
        <f>IF(Q523=1,E523,0)</f>
        <v>0</v>
      </c>
      <c r="S523" s="1">
        <f>IF(E523&gt;0,1,0)</f>
        <v>0</v>
      </c>
      <c r="T523" s="1">
        <f>IF(S523=1,E523,0)</f>
        <v>0</v>
      </c>
      <c r="U523" s="1">
        <f>IF(R523&lt;-100000000/100,1,0)</f>
        <v>0</v>
      </c>
      <c r="V523" s="1">
        <f>IF(T523&gt;100000000/100,1,0)</f>
        <v>0</v>
      </c>
      <c r="W523" s="1">
        <f>IF(L523&lt;0,1,0)</f>
        <v>0</v>
      </c>
      <c r="X523" s="1">
        <f>IF(W523=1,L523,0)</f>
        <v>0</v>
      </c>
      <c r="Y523" s="1">
        <f>IF(L523&gt;0,1,0)</f>
        <v>0</v>
      </c>
      <c r="Z523" s="1">
        <f>IF(Y523=1,L523,0)</f>
        <v>0</v>
      </c>
      <c r="AA523" s="1">
        <f>IF(X523&lt;-100000000/100,1,0)</f>
        <v>0</v>
      </c>
      <c r="AB523" s="1">
        <f>IF(Z523&gt;100000000/100,1,0)</f>
        <v>0</v>
      </c>
    </row>
    <row r="524" spans="1:28" s="1" customFormat="1">
      <c r="A524" s="3">
        <v>45748</v>
      </c>
      <c r="B524" s="2" t="s">
        <v>13</v>
      </c>
      <c r="C524" s="1">
        <f>SUM(PL!E524:H524)</f>
        <v>0</v>
      </c>
      <c r="D524" s="1">
        <f>SUM(PL!I524:L524)</f>
        <v>0</v>
      </c>
      <c r="E524" s="1">
        <f>SUM(C524:D524)</f>
        <v>0</v>
      </c>
      <c r="F524" s="1">
        <f>IF(C524 + F523 &lt; 0, C524 + F523, 0)</f>
        <v>0</v>
      </c>
      <c r="G524" s="1">
        <f>IF(D524 + G523 &lt; 0, D524 + G523, 0)</f>
        <v>0</v>
      </c>
      <c r="H524" s="1">
        <f>IF(E524 + H523 &lt; 0, E524 + H523, 0)</f>
        <v>0</v>
      </c>
      <c r="I524" s="1">
        <f>IF(H524 &lt; 0, 1 + I523, 0)</f>
        <v>0</v>
      </c>
      <c r="J524" s="1">
        <f>C524-((ABS(SUM(PL!E524:H524)))*0.125)</f>
        <v>0</v>
      </c>
      <c r="K524" s="1">
        <f>D524-((ABS(SUM(PL!I524:L524)))*0.125)</f>
        <v>0</v>
      </c>
      <c r="L524" s="1">
        <f>J524 + K524</f>
        <v>0</v>
      </c>
      <c r="M524" s="1">
        <f>IF(J524 + M523 &lt; 0, J524 + M523, 0)</f>
        <v>0</v>
      </c>
      <c r="N524" s="1">
        <f>IF(K524 + N523 &lt; 0, K524 + N523, 0)</f>
        <v>0</v>
      </c>
      <c r="O524" s="1">
        <f>IF(L524 + O523 &lt; 0, L524 + O523, 0)</f>
        <v>0</v>
      </c>
      <c r="P524" s="1">
        <f>IF(O524 &lt; 0, 1 + P523, 0)</f>
        <v>0</v>
      </c>
      <c r="Q524" s="1">
        <f>IF(E524&lt;0,1,0)</f>
        <v>0</v>
      </c>
      <c r="R524" s="1">
        <f>IF(Q524=1,E524,0)</f>
        <v>0</v>
      </c>
      <c r="S524" s="1">
        <f>IF(E524&gt;0,1,0)</f>
        <v>0</v>
      </c>
      <c r="T524" s="1">
        <f>IF(S524=1,E524,0)</f>
        <v>0</v>
      </c>
      <c r="U524" s="1">
        <f>IF(R524&lt;-100000000/100,1,0)</f>
        <v>0</v>
      </c>
      <c r="V524" s="1">
        <f>IF(T524&gt;100000000/100,1,0)</f>
        <v>0</v>
      </c>
      <c r="W524" s="1">
        <f>IF(L524&lt;0,1,0)</f>
        <v>0</v>
      </c>
      <c r="X524" s="1">
        <f>IF(W524=1,L524,0)</f>
        <v>0</v>
      </c>
      <c r="Y524" s="1">
        <f>IF(L524&gt;0,1,0)</f>
        <v>0</v>
      </c>
      <c r="Z524" s="1">
        <f>IF(Y524=1,L524,0)</f>
        <v>0</v>
      </c>
      <c r="AA524" s="1">
        <f>IF(X524&lt;-100000000/100,1,0)</f>
        <v>0</v>
      </c>
      <c r="AB524" s="1">
        <f>IF(Z524&gt;100000000/100,1,0)</f>
        <v>0</v>
      </c>
    </row>
    <row r="525" spans="1:28" s="1" customFormat="1">
      <c r="A525" s="3">
        <v>45749</v>
      </c>
      <c r="B525" s="2" t="s">
        <v>14</v>
      </c>
      <c r="C525" s="1">
        <f>SUM(PL!E525:H525)</f>
        <v>0</v>
      </c>
      <c r="D525" s="1">
        <f>SUM(PL!I525:L525)</f>
        <v>0</v>
      </c>
      <c r="E525" s="1">
        <f>SUM(C525:D525)</f>
        <v>0</v>
      </c>
      <c r="F525" s="1">
        <f>IF(C525 + F524 &lt; 0, C525 + F524, 0)</f>
        <v>0</v>
      </c>
      <c r="G525" s="1">
        <f>IF(D525 + G524 &lt; 0, D525 + G524, 0)</f>
        <v>0</v>
      </c>
      <c r="H525" s="1">
        <f>IF(E525 + H524 &lt; 0, E525 + H524, 0)</f>
        <v>0</v>
      </c>
      <c r="I525" s="1">
        <f>IF(H525 &lt; 0, 1 + I524, 0)</f>
        <v>0</v>
      </c>
      <c r="J525" s="1">
        <f>C525-((ABS(SUM(PL!E525:H525)))*0.125)</f>
        <v>0</v>
      </c>
      <c r="K525" s="1">
        <f>D525-((ABS(SUM(PL!I525:L525)))*0.125)</f>
        <v>0</v>
      </c>
      <c r="L525" s="1">
        <f>J525 + K525</f>
        <v>0</v>
      </c>
      <c r="M525" s="1">
        <f>IF(J525 + M524 &lt; 0, J525 + M524, 0)</f>
        <v>0</v>
      </c>
      <c r="N525" s="1">
        <f>IF(K525 + N524 &lt; 0, K525 + N524, 0)</f>
        <v>0</v>
      </c>
      <c r="O525" s="1">
        <f>IF(L525 + O524 &lt; 0, L525 + O524, 0)</f>
        <v>0</v>
      </c>
      <c r="P525" s="1">
        <f>IF(O525 &lt; 0, 1 + P524, 0)</f>
        <v>0</v>
      </c>
      <c r="Q525" s="1">
        <f>IF(E525&lt;0,1,0)</f>
        <v>0</v>
      </c>
      <c r="R525" s="1">
        <f>IF(Q525=1,E525,0)</f>
        <v>0</v>
      </c>
      <c r="S525" s="1">
        <f>IF(E525&gt;0,1,0)</f>
        <v>0</v>
      </c>
      <c r="T525" s="1">
        <f>IF(S525=1,E525,0)</f>
        <v>0</v>
      </c>
      <c r="U525" s="1">
        <f>IF(R525&lt;-100000000/100,1,0)</f>
        <v>0</v>
      </c>
      <c r="V525" s="1">
        <f>IF(T525&gt;100000000/100,1,0)</f>
        <v>0</v>
      </c>
      <c r="W525" s="1">
        <f>IF(L525&lt;0,1,0)</f>
        <v>0</v>
      </c>
      <c r="X525" s="1">
        <f>IF(W525=1,L525,0)</f>
        <v>0</v>
      </c>
      <c r="Y525" s="1">
        <f>IF(L525&gt;0,1,0)</f>
        <v>0</v>
      </c>
      <c r="Z525" s="1">
        <f>IF(Y525=1,L525,0)</f>
        <v>0</v>
      </c>
      <c r="AA525" s="1">
        <f>IF(X525&lt;-100000000/100,1,0)</f>
        <v>0</v>
      </c>
      <c r="AB525" s="1">
        <f>IF(Z525&gt;100000000/100,1,0)</f>
        <v>0</v>
      </c>
    </row>
    <row r="526" spans="1:28" s="1" customFormat="1">
      <c r="A526" s="3">
        <v>45750</v>
      </c>
      <c r="B526" s="2" t="s">
        <v>16</v>
      </c>
      <c r="C526" s="1">
        <f>SUM(PL!E526:H526)</f>
        <v>0</v>
      </c>
      <c r="D526" s="1">
        <f>SUM(PL!I526:L526)</f>
        <v>0</v>
      </c>
      <c r="E526" s="1">
        <f>SUM(C526:D526)</f>
        <v>0</v>
      </c>
      <c r="F526" s="1">
        <f>IF(C526 + F525 &lt; 0, C526 + F525, 0)</f>
        <v>0</v>
      </c>
      <c r="G526" s="1">
        <f>IF(D526 + G525 &lt; 0, D526 + G525, 0)</f>
        <v>0</v>
      </c>
      <c r="H526" s="1">
        <f>IF(E526 + H525 &lt; 0, E526 + H525, 0)</f>
        <v>0</v>
      </c>
      <c r="I526" s="1">
        <f>IF(H526 &lt; 0, 1 + I525, 0)</f>
        <v>0</v>
      </c>
      <c r="J526" s="1">
        <f>C526-((ABS(SUM(PL!E526:H526)))*0.125)</f>
        <v>0</v>
      </c>
      <c r="K526" s="1">
        <f>D526-((ABS(SUM(PL!I526:L526)))*0.125)</f>
        <v>0</v>
      </c>
      <c r="L526" s="1">
        <f>J526 + K526</f>
        <v>0</v>
      </c>
      <c r="M526" s="1">
        <f>IF(J526 + M525 &lt; 0, J526 + M525, 0)</f>
        <v>0</v>
      </c>
      <c r="N526" s="1">
        <f>IF(K526 + N525 &lt; 0, K526 + N525, 0)</f>
        <v>0</v>
      </c>
      <c r="O526" s="1">
        <f>IF(L526 + O525 &lt; 0, L526 + O525, 0)</f>
        <v>0</v>
      </c>
      <c r="P526" s="1">
        <f>IF(O526 &lt; 0, 1 + P525, 0)</f>
        <v>0</v>
      </c>
      <c r="Q526" s="1">
        <f>IF(E526&lt;0,1,0)</f>
        <v>0</v>
      </c>
      <c r="R526" s="1">
        <f>IF(Q526=1,E526,0)</f>
        <v>0</v>
      </c>
      <c r="S526" s="1">
        <f>IF(E526&gt;0,1,0)</f>
        <v>0</v>
      </c>
      <c r="T526" s="1">
        <f>IF(S526=1,E526,0)</f>
        <v>0</v>
      </c>
      <c r="U526" s="1">
        <f>IF(R526&lt;-100000000/100,1,0)</f>
        <v>0</v>
      </c>
      <c r="V526" s="1">
        <f>IF(T526&gt;100000000/100,1,0)</f>
        <v>0</v>
      </c>
      <c r="W526" s="1">
        <f>IF(L526&lt;0,1,0)</f>
        <v>0</v>
      </c>
      <c r="X526" s="1">
        <f>IF(W526=1,L526,0)</f>
        <v>0</v>
      </c>
      <c r="Y526" s="1">
        <f>IF(L526&gt;0,1,0)</f>
        <v>0</v>
      </c>
      <c r="Z526" s="1">
        <f>IF(Y526=1,L526,0)</f>
        <v>0</v>
      </c>
      <c r="AA526" s="1">
        <f>IF(X526&lt;-100000000/100,1,0)</f>
        <v>0</v>
      </c>
      <c r="AB526" s="1">
        <f>IF(Z526&gt;100000000/100,1,0)</f>
        <v>0</v>
      </c>
    </row>
    <row r="527" spans="1:28" s="1" customFormat="1">
      <c r="A527" s="3">
        <v>45751</v>
      </c>
      <c r="B527" s="2" t="s">
        <v>15</v>
      </c>
      <c r="C527" s="1">
        <f>SUM(PL!E527:H527)</f>
        <v>0</v>
      </c>
      <c r="D527" s="1">
        <f>SUM(PL!I527:L527)</f>
        <v>0</v>
      </c>
      <c r="E527" s="1">
        <f>SUM(C527:D527)</f>
        <v>0</v>
      </c>
      <c r="F527" s="1">
        <f>IF(C527 + F526 &lt; 0, C527 + F526, 0)</f>
        <v>0</v>
      </c>
      <c r="G527" s="1">
        <f>IF(D527 + G526 &lt; 0, D527 + G526, 0)</f>
        <v>0</v>
      </c>
      <c r="H527" s="1">
        <f>IF(E527 + H526 &lt; 0, E527 + H526, 0)</f>
        <v>0</v>
      </c>
      <c r="I527" s="1">
        <f>IF(H527 &lt; 0, 1 + I526, 0)</f>
        <v>0</v>
      </c>
      <c r="J527" s="1">
        <f>C527-((ABS(SUM(PL!E527:H527)))*0.125)</f>
        <v>0</v>
      </c>
      <c r="K527" s="1">
        <f>D527-((ABS(SUM(PL!I527:L527)))*0.125)</f>
        <v>0</v>
      </c>
      <c r="L527" s="1">
        <f>J527 + K527</f>
        <v>0</v>
      </c>
      <c r="M527" s="1">
        <f>IF(J527 + M526 &lt; 0, J527 + M526, 0)</f>
        <v>0</v>
      </c>
      <c r="N527" s="1">
        <f>IF(K527 + N526 &lt; 0, K527 + N526, 0)</f>
        <v>0</v>
      </c>
      <c r="O527" s="1">
        <f>IF(L527 + O526 &lt; 0, L527 + O526, 0)</f>
        <v>0</v>
      </c>
      <c r="P527" s="1">
        <f>IF(O527 &lt; 0, 1 + P526, 0)</f>
        <v>0</v>
      </c>
      <c r="Q527" s="1">
        <f>IF(E527&lt;0,1,0)</f>
        <v>0</v>
      </c>
      <c r="R527" s="1">
        <f>IF(Q527=1,E527,0)</f>
        <v>0</v>
      </c>
      <c r="S527" s="1">
        <f>IF(E527&gt;0,1,0)</f>
        <v>0</v>
      </c>
      <c r="T527" s="1">
        <f>IF(S527=1,E527,0)</f>
        <v>0</v>
      </c>
      <c r="U527" s="1">
        <f>IF(R527&lt;-100000000/100,1,0)</f>
        <v>0</v>
      </c>
      <c r="V527" s="1">
        <f>IF(T527&gt;100000000/100,1,0)</f>
        <v>0</v>
      </c>
      <c r="W527" s="1">
        <f>IF(L527&lt;0,1,0)</f>
        <v>0</v>
      </c>
      <c r="X527" s="1">
        <f>IF(W527=1,L527,0)</f>
        <v>0</v>
      </c>
      <c r="Y527" s="1">
        <f>IF(L527&gt;0,1,0)</f>
        <v>0</v>
      </c>
      <c r="Z527" s="1">
        <f>IF(Y527=1,L527,0)</f>
        <v>0</v>
      </c>
      <c r="AA527" s="1">
        <f>IF(X527&lt;-100000000/100,1,0)</f>
        <v>0</v>
      </c>
      <c r="AB527" s="1">
        <f>IF(Z527&gt;100000000/100,1,0)</f>
        <v>0</v>
      </c>
    </row>
    <row r="528" spans="1:28" s="1" customFormat="1">
      <c r="A528" s="3">
        <v>45754</v>
      </c>
      <c r="B528" s="2" t="s">
        <v>12</v>
      </c>
      <c r="C528" s="1">
        <f>SUM(PL!E528:H528)</f>
        <v>0</v>
      </c>
      <c r="D528" s="1">
        <f>SUM(PL!I528:L528)</f>
        <v>0</v>
      </c>
      <c r="E528" s="1">
        <f>SUM(C528:D528)</f>
        <v>0</v>
      </c>
      <c r="F528" s="1">
        <f>IF(C528 + F527 &lt; 0, C528 + F527, 0)</f>
        <v>0</v>
      </c>
      <c r="G528" s="1">
        <f>IF(D528 + G527 &lt; 0, D528 + G527, 0)</f>
        <v>0</v>
      </c>
      <c r="H528" s="1">
        <f>IF(E528 + H527 &lt; 0, E528 + H527, 0)</f>
        <v>0</v>
      </c>
      <c r="I528" s="1">
        <f>IF(H528 &lt; 0, 1 + I527, 0)</f>
        <v>0</v>
      </c>
      <c r="J528" s="1">
        <f>C528-((ABS(SUM(PL!E528:H528)))*0.125)</f>
        <v>0</v>
      </c>
      <c r="K528" s="1">
        <f>D528-((ABS(SUM(PL!I528:L528)))*0.125)</f>
        <v>0</v>
      </c>
      <c r="L528" s="1">
        <f>J528 + K528</f>
        <v>0</v>
      </c>
      <c r="M528" s="1">
        <f>IF(J528 + M527 &lt; 0, J528 + M527, 0)</f>
        <v>0</v>
      </c>
      <c r="N528" s="1">
        <f>IF(K528 + N527 &lt; 0, K528 + N527, 0)</f>
        <v>0</v>
      </c>
      <c r="O528" s="1">
        <f>IF(L528 + O527 &lt; 0, L528 + O527, 0)</f>
        <v>0</v>
      </c>
      <c r="P528" s="1">
        <f>IF(O528 &lt; 0, 1 + P527, 0)</f>
        <v>0</v>
      </c>
      <c r="Q528" s="1">
        <f>IF(E528&lt;0,1,0)</f>
        <v>0</v>
      </c>
      <c r="R528" s="1">
        <f>IF(Q528=1,E528,0)</f>
        <v>0</v>
      </c>
      <c r="S528" s="1">
        <f>IF(E528&gt;0,1,0)</f>
        <v>0</v>
      </c>
      <c r="T528" s="1">
        <f>IF(S528=1,E528,0)</f>
        <v>0</v>
      </c>
      <c r="U528" s="1">
        <f>IF(R528&lt;-100000000/100,1,0)</f>
        <v>0</v>
      </c>
      <c r="V528" s="1">
        <f>IF(T528&gt;100000000/100,1,0)</f>
        <v>0</v>
      </c>
      <c r="W528" s="1">
        <f>IF(L528&lt;0,1,0)</f>
        <v>0</v>
      </c>
      <c r="X528" s="1">
        <f>IF(W528=1,L528,0)</f>
        <v>0</v>
      </c>
      <c r="Y528" s="1">
        <f>IF(L528&gt;0,1,0)</f>
        <v>0</v>
      </c>
      <c r="Z528" s="1">
        <f>IF(Y528=1,L528,0)</f>
        <v>0</v>
      </c>
      <c r="AA528" s="1">
        <f>IF(X528&lt;-100000000/100,1,0)</f>
        <v>0</v>
      </c>
      <c r="AB528" s="1">
        <f>IF(Z528&gt;100000000/100,1,0)</f>
        <v>0</v>
      </c>
    </row>
    <row r="529" spans="1:28" s="1" customFormat="1">
      <c r="A529" s="3">
        <v>45755</v>
      </c>
      <c r="B529" s="2" t="s">
        <v>13</v>
      </c>
      <c r="C529" s="1">
        <f>SUM(PL!E529:H529)</f>
        <v>0</v>
      </c>
      <c r="D529" s="1">
        <f>SUM(PL!I529:L529)</f>
        <v>0</v>
      </c>
      <c r="E529" s="1">
        <f>SUM(C529:D529)</f>
        <v>0</v>
      </c>
      <c r="F529" s="1">
        <f>IF(C529 + F528 &lt; 0, C529 + F528, 0)</f>
        <v>0</v>
      </c>
      <c r="G529" s="1">
        <f>IF(D529 + G528 &lt; 0, D529 + G528, 0)</f>
        <v>0</v>
      </c>
      <c r="H529" s="1">
        <f>IF(E529 + H528 &lt; 0, E529 + H528, 0)</f>
        <v>0</v>
      </c>
      <c r="I529" s="1">
        <f>IF(H529 &lt; 0, 1 + I528, 0)</f>
        <v>0</v>
      </c>
      <c r="J529" s="1">
        <f>C529-((ABS(SUM(PL!E529:H529)))*0.125)</f>
        <v>0</v>
      </c>
      <c r="K529" s="1">
        <f>D529-((ABS(SUM(PL!I529:L529)))*0.125)</f>
        <v>0</v>
      </c>
      <c r="L529" s="1">
        <f>J529 + K529</f>
        <v>0</v>
      </c>
      <c r="M529" s="1">
        <f>IF(J529 + M528 &lt; 0, J529 + M528, 0)</f>
        <v>0</v>
      </c>
      <c r="N529" s="1">
        <f>IF(K529 + N528 &lt; 0, K529 + N528, 0)</f>
        <v>0</v>
      </c>
      <c r="O529" s="1">
        <f>IF(L529 + O528 &lt; 0, L529 + O528, 0)</f>
        <v>0</v>
      </c>
      <c r="P529" s="1">
        <f>IF(O529 &lt; 0, 1 + P528, 0)</f>
        <v>0</v>
      </c>
      <c r="Q529" s="1">
        <f>IF(E529&lt;0,1,0)</f>
        <v>0</v>
      </c>
      <c r="R529" s="1">
        <f>IF(Q529=1,E529,0)</f>
        <v>0</v>
      </c>
      <c r="S529" s="1">
        <f>IF(E529&gt;0,1,0)</f>
        <v>0</v>
      </c>
      <c r="T529" s="1">
        <f>IF(S529=1,E529,0)</f>
        <v>0</v>
      </c>
      <c r="U529" s="1">
        <f>IF(R529&lt;-100000000/100,1,0)</f>
        <v>0</v>
      </c>
      <c r="V529" s="1">
        <f>IF(T529&gt;100000000/100,1,0)</f>
        <v>0</v>
      </c>
      <c r="W529" s="1">
        <f>IF(L529&lt;0,1,0)</f>
        <v>0</v>
      </c>
      <c r="X529" s="1">
        <f>IF(W529=1,L529,0)</f>
        <v>0</v>
      </c>
      <c r="Y529" s="1">
        <f>IF(L529&gt;0,1,0)</f>
        <v>0</v>
      </c>
      <c r="Z529" s="1">
        <f>IF(Y529=1,L529,0)</f>
        <v>0</v>
      </c>
      <c r="AA529" s="1">
        <f>IF(X529&lt;-100000000/100,1,0)</f>
        <v>0</v>
      </c>
      <c r="AB529" s="1">
        <f>IF(Z529&gt;100000000/100,1,0)</f>
        <v>0</v>
      </c>
    </row>
    <row r="530" spans="1:28" s="1" customFormat="1">
      <c r="A530" s="3">
        <v>45756</v>
      </c>
      <c r="B530" s="2" t="s">
        <v>14</v>
      </c>
      <c r="C530" s="1">
        <f>SUM(PL!E530:H530)</f>
        <v>0</v>
      </c>
      <c r="D530" s="1">
        <f>SUM(PL!I530:L530)</f>
        <v>0</v>
      </c>
      <c r="E530" s="1">
        <f>SUM(C530:D530)</f>
        <v>0</v>
      </c>
      <c r="F530" s="1">
        <f>IF(C530 + F529 &lt; 0, C530 + F529, 0)</f>
        <v>0</v>
      </c>
      <c r="G530" s="1">
        <f>IF(D530 + G529 &lt; 0, D530 + G529, 0)</f>
        <v>0</v>
      </c>
      <c r="H530" s="1">
        <f>IF(E530 + H529 &lt; 0, E530 + H529, 0)</f>
        <v>0</v>
      </c>
      <c r="I530" s="1">
        <f>IF(H530 &lt; 0, 1 + I529, 0)</f>
        <v>0</v>
      </c>
      <c r="J530" s="1">
        <f>C530-((ABS(SUM(PL!E530:H530)))*0.125)</f>
        <v>0</v>
      </c>
      <c r="K530" s="1">
        <f>D530-((ABS(SUM(PL!I530:L530)))*0.125)</f>
        <v>0</v>
      </c>
      <c r="L530" s="1">
        <f>J530 + K530</f>
        <v>0</v>
      </c>
      <c r="M530" s="1">
        <f>IF(J530 + M529 &lt; 0, J530 + M529, 0)</f>
        <v>0</v>
      </c>
      <c r="N530" s="1">
        <f>IF(K530 + N529 &lt; 0, K530 + N529, 0)</f>
        <v>0</v>
      </c>
      <c r="O530" s="1">
        <f>IF(L530 + O529 &lt; 0, L530 + O529, 0)</f>
        <v>0</v>
      </c>
      <c r="P530" s="1">
        <f>IF(O530 &lt; 0, 1 + P529, 0)</f>
        <v>0</v>
      </c>
      <c r="Q530" s="1">
        <f>IF(E530&lt;0,1,0)</f>
        <v>0</v>
      </c>
      <c r="R530" s="1">
        <f>IF(Q530=1,E530,0)</f>
        <v>0</v>
      </c>
      <c r="S530" s="1">
        <f>IF(E530&gt;0,1,0)</f>
        <v>0</v>
      </c>
      <c r="T530" s="1">
        <f>IF(S530=1,E530,0)</f>
        <v>0</v>
      </c>
      <c r="U530" s="1">
        <f>IF(R530&lt;-100000000/100,1,0)</f>
        <v>0</v>
      </c>
      <c r="V530" s="1">
        <f>IF(T530&gt;100000000/100,1,0)</f>
        <v>0</v>
      </c>
      <c r="W530" s="1">
        <f>IF(L530&lt;0,1,0)</f>
        <v>0</v>
      </c>
      <c r="X530" s="1">
        <f>IF(W530=1,L530,0)</f>
        <v>0</v>
      </c>
      <c r="Y530" s="1">
        <f>IF(L530&gt;0,1,0)</f>
        <v>0</v>
      </c>
      <c r="Z530" s="1">
        <f>IF(Y530=1,L530,0)</f>
        <v>0</v>
      </c>
      <c r="AA530" s="1">
        <f>IF(X530&lt;-100000000/100,1,0)</f>
        <v>0</v>
      </c>
      <c r="AB530" s="1">
        <f>IF(Z530&gt;100000000/100,1,0)</f>
        <v>0</v>
      </c>
    </row>
    <row r="531" spans="1:28" s="1" customFormat="1">
      <c r="A531" s="3">
        <v>45757</v>
      </c>
      <c r="B531" s="2" t="s">
        <v>16</v>
      </c>
      <c r="C531" s="1">
        <f>SUM(PL!E531:H531)</f>
        <v>0</v>
      </c>
      <c r="D531" s="1">
        <f>SUM(PL!I531:L531)</f>
        <v>0</v>
      </c>
      <c r="E531" s="1">
        <f>SUM(C531:D531)</f>
        <v>0</v>
      </c>
      <c r="F531" s="1">
        <f>IF(C531 + F530 &lt; 0, C531 + F530, 0)</f>
        <v>0</v>
      </c>
      <c r="G531" s="1">
        <f>IF(D531 + G530 &lt; 0, D531 + G530, 0)</f>
        <v>0</v>
      </c>
      <c r="H531" s="1">
        <f>IF(E531 + H530 &lt; 0, E531 + H530, 0)</f>
        <v>0</v>
      </c>
      <c r="I531" s="1">
        <f>IF(H531 &lt; 0, 1 + I530, 0)</f>
        <v>0</v>
      </c>
      <c r="J531" s="1">
        <f>C531-((ABS(SUM(PL!E531:H531)))*0.125)</f>
        <v>0</v>
      </c>
      <c r="K531" s="1">
        <f>D531-((ABS(SUM(PL!I531:L531)))*0.125)</f>
        <v>0</v>
      </c>
      <c r="L531" s="1">
        <f>J531 + K531</f>
        <v>0</v>
      </c>
      <c r="M531" s="1">
        <f>IF(J531 + M530 &lt; 0, J531 + M530, 0)</f>
        <v>0</v>
      </c>
      <c r="N531" s="1">
        <f>IF(K531 + N530 &lt; 0, K531 + N530, 0)</f>
        <v>0</v>
      </c>
      <c r="O531" s="1">
        <f>IF(L531 + O530 &lt; 0, L531 + O530, 0)</f>
        <v>0</v>
      </c>
      <c r="P531" s="1">
        <f>IF(O531 &lt; 0, 1 + P530, 0)</f>
        <v>0</v>
      </c>
      <c r="Q531" s="1">
        <f>IF(E531&lt;0,1,0)</f>
        <v>0</v>
      </c>
      <c r="R531" s="1">
        <f>IF(Q531=1,E531,0)</f>
        <v>0</v>
      </c>
      <c r="S531" s="1">
        <f>IF(E531&gt;0,1,0)</f>
        <v>0</v>
      </c>
      <c r="T531" s="1">
        <f>IF(S531=1,E531,0)</f>
        <v>0</v>
      </c>
      <c r="U531" s="1">
        <f>IF(R531&lt;-100000000/100,1,0)</f>
        <v>0</v>
      </c>
      <c r="V531" s="1">
        <f>IF(T531&gt;100000000/100,1,0)</f>
        <v>0</v>
      </c>
      <c r="W531" s="1">
        <f>IF(L531&lt;0,1,0)</f>
        <v>0</v>
      </c>
      <c r="X531" s="1">
        <f>IF(W531=1,L531,0)</f>
        <v>0</v>
      </c>
      <c r="Y531" s="1">
        <f>IF(L531&gt;0,1,0)</f>
        <v>0</v>
      </c>
      <c r="Z531" s="1">
        <f>IF(Y531=1,L531,0)</f>
        <v>0</v>
      </c>
      <c r="AA531" s="1">
        <f>IF(X531&lt;-100000000/100,1,0)</f>
        <v>0</v>
      </c>
      <c r="AB531" s="1">
        <f>IF(Z531&gt;100000000/100,1,0)</f>
        <v>0</v>
      </c>
    </row>
    <row r="532" spans="1:28" s="1" customFormat="1">
      <c r="A532" s="3">
        <v>45758</v>
      </c>
      <c r="B532" s="2" t="s">
        <v>15</v>
      </c>
      <c r="C532" s="1">
        <f>SUM(PL!E532:H532)</f>
        <v>0</v>
      </c>
      <c r="D532" s="1">
        <f>SUM(PL!I532:L532)</f>
        <v>0</v>
      </c>
      <c r="E532" s="1">
        <f>SUM(C532:D532)</f>
        <v>0</v>
      </c>
      <c r="F532" s="1">
        <f>IF(C532 + F531 &lt; 0, C532 + F531, 0)</f>
        <v>0</v>
      </c>
      <c r="G532" s="1">
        <f>IF(D532 + G531 &lt; 0, D532 + G531, 0)</f>
        <v>0</v>
      </c>
      <c r="H532" s="1">
        <f>IF(E532 + H531 &lt; 0, E532 + H531, 0)</f>
        <v>0</v>
      </c>
      <c r="I532" s="1">
        <f>IF(H532 &lt; 0, 1 + I531, 0)</f>
        <v>0</v>
      </c>
      <c r="J532" s="1">
        <f>C532-((ABS(SUM(PL!E532:H532)))*0.125)</f>
        <v>0</v>
      </c>
      <c r="K532" s="1">
        <f>D532-((ABS(SUM(PL!I532:L532)))*0.125)</f>
        <v>0</v>
      </c>
      <c r="L532" s="1">
        <f>J532 + K532</f>
        <v>0</v>
      </c>
      <c r="M532" s="1">
        <f>IF(J532 + M531 &lt; 0, J532 + M531, 0)</f>
        <v>0</v>
      </c>
      <c r="N532" s="1">
        <f>IF(K532 + N531 &lt; 0, K532 + N531, 0)</f>
        <v>0</v>
      </c>
      <c r="O532" s="1">
        <f>IF(L532 + O531 &lt; 0, L532 + O531, 0)</f>
        <v>0</v>
      </c>
      <c r="P532" s="1">
        <f>IF(O532 &lt; 0, 1 + P531, 0)</f>
        <v>0</v>
      </c>
      <c r="Q532" s="1">
        <f>IF(E532&lt;0,1,0)</f>
        <v>0</v>
      </c>
      <c r="R532" s="1">
        <f>IF(Q532=1,E532,0)</f>
        <v>0</v>
      </c>
      <c r="S532" s="1">
        <f>IF(E532&gt;0,1,0)</f>
        <v>0</v>
      </c>
      <c r="T532" s="1">
        <f>IF(S532=1,E532,0)</f>
        <v>0</v>
      </c>
      <c r="U532" s="1">
        <f>IF(R532&lt;-100000000/100,1,0)</f>
        <v>0</v>
      </c>
      <c r="V532" s="1">
        <f>IF(T532&gt;100000000/100,1,0)</f>
        <v>0</v>
      </c>
      <c r="W532" s="1">
        <f>IF(L532&lt;0,1,0)</f>
        <v>0</v>
      </c>
      <c r="X532" s="1">
        <f>IF(W532=1,L532,0)</f>
        <v>0</v>
      </c>
      <c r="Y532" s="1">
        <f>IF(L532&gt;0,1,0)</f>
        <v>0</v>
      </c>
      <c r="Z532" s="1">
        <f>IF(Y532=1,L532,0)</f>
        <v>0</v>
      </c>
      <c r="AA532" s="1">
        <f>IF(X532&lt;-100000000/100,1,0)</f>
        <v>0</v>
      </c>
      <c r="AB532" s="1">
        <f>IF(Z532&gt;100000000/100,1,0)</f>
        <v>0</v>
      </c>
    </row>
    <row r="533" spans="1:28" s="1" customFormat="1">
      <c r="A533" s="3">
        <v>45761</v>
      </c>
      <c r="B533" s="2" t="s">
        <v>12</v>
      </c>
      <c r="C533" s="1">
        <f>SUM(PL!E533:H533)</f>
        <v>0</v>
      </c>
      <c r="D533" s="1">
        <f>SUM(PL!I533:L533)</f>
        <v>0</v>
      </c>
      <c r="E533" s="1">
        <f>SUM(C533:D533)</f>
        <v>0</v>
      </c>
      <c r="F533" s="1">
        <f>IF(C533 + F532 &lt; 0, C533 + F532, 0)</f>
        <v>0</v>
      </c>
      <c r="G533" s="1">
        <f>IF(D533 + G532 &lt; 0, D533 + G532, 0)</f>
        <v>0</v>
      </c>
      <c r="H533" s="1">
        <f>IF(E533 + H532 &lt; 0, E533 + H532, 0)</f>
        <v>0</v>
      </c>
      <c r="I533" s="1">
        <f>IF(H533 &lt; 0, 1 + I532, 0)</f>
        <v>0</v>
      </c>
      <c r="J533" s="1">
        <f>C533-((ABS(SUM(PL!E533:H533)))*0.125)</f>
        <v>0</v>
      </c>
      <c r="K533" s="1">
        <f>D533-((ABS(SUM(PL!I533:L533)))*0.125)</f>
        <v>0</v>
      </c>
      <c r="L533" s="1">
        <f>J533 + K533</f>
        <v>0</v>
      </c>
      <c r="M533" s="1">
        <f>IF(J533 + M532 &lt; 0, J533 + M532, 0)</f>
        <v>0</v>
      </c>
      <c r="N533" s="1">
        <f>IF(K533 + N532 &lt; 0, K533 + N532, 0)</f>
        <v>0</v>
      </c>
      <c r="O533" s="1">
        <f>IF(L533 + O532 &lt; 0, L533 + O532, 0)</f>
        <v>0</v>
      </c>
      <c r="P533" s="1">
        <f>IF(O533 &lt; 0, 1 + P532, 0)</f>
        <v>0</v>
      </c>
      <c r="Q533" s="1">
        <f>IF(E533&lt;0,1,0)</f>
        <v>0</v>
      </c>
      <c r="R533" s="1">
        <f>IF(Q533=1,E533,0)</f>
        <v>0</v>
      </c>
      <c r="S533" s="1">
        <f>IF(E533&gt;0,1,0)</f>
        <v>0</v>
      </c>
      <c r="T533" s="1">
        <f>IF(S533=1,E533,0)</f>
        <v>0</v>
      </c>
      <c r="U533" s="1">
        <f>IF(R533&lt;-100000000/100,1,0)</f>
        <v>0</v>
      </c>
      <c r="V533" s="1">
        <f>IF(T533&gt;100000000/100,1,0)</f>
        <v>0</v>
      </c>
      <c r="W533" s="1">
        <f>IF(L533&lt;0,1,0)</f>
        <v>0</v>
      </c>
      <c r="X533" s="1">
        <f>IF(W533=1,L533,0)</f>
        <v>0</v>
      </c>
      <c r="Y533" s="1">
        <f>IF(L533&gt;0,1,0)</f>
        <v>0</v>
      </c>
      <c r="Z533" s="1">
        <f>IF(Y533=1,L533,0)</f>
        <v>0</v>
      </c>
      <c r="AA533" s="1">
        <f>IF(X533&lt;-100000000/100,1,0)</f>
        <v>0</v>
      </c>
      <c r="AB533" s="1">
        <f>IF(Z533&gt;100000000/100,1,0)</f>
        <v>0</v>
      </c>
    </row>
    <row r="534" spans="1:28" s="1" customFormat="1">
      <c r="A534" s="3">
        <v>45762</v>
      </c>
      <c r="B534" s="2" t="s">
        <v>13</v>
      </c>
      <c r="C534" s="1">
        <f>SUM(PL!E534:H534)</f>
        <v>0</v>
      </c>
      <c r="D534" s="1">
        <f>SUM(PL!I534:L534)</f>
        <v>0</v>
      </c>
      <c r="E534" s="1">
        <f>SUM(C534:D534)</f>
        <v>0</v>
      </c>
      <c r="F534" s="1">
        <f>IF(C534 + F533 &lt; 0, C534 + F533, 0)</f>
        <v>0</v>
      </c>
      <c r="G534" s="1">
        <f>IF(D534 + G533 &lt; 0, D534 + G533, 0)</f>
        <v>0</v>
      </c>
      <c r="H534" s="1">
        <f>IF(E534 + H533 &lt; 0, E534 + H533, 0)</f>
        <v>0</v>
      </c>
      <c r="I534" s="1">
        <f>IF(H534 &lt; 0, 1 + I533, 0)</f>
        <v>0</v>
      </c>
      <c r="J534" s="1">
        <f>C534-((ABS(SUM(PL!E534:H534)))*0.125)</f>
        <v>0</v>
      </c>
      <c r="K534" s="1">
        <f>D534-((ABS(SUM(PL!I534:L534)))*0.125)</f>
        <v>0</v>
      </c>
      <c r="L534" s="1">
        <f>J534 + K534</f>
        <v>0</v>
      </c>
      <c r="M534" s="1">
        <f>IF(J534 + M533 &lt; 0, J534 + M533, 0)</f>
        <v>0</v>
      </c>
      <c r="N534" s="1">
        <f>IF(K534 + N533 &lt; 0, K534 + N533, 0)</f>
        <v>0</v>
      </c>
      <c r="O534" s="1">
        <f>IF(L534 + O533 &lt; 0, L534 + O533, 0)</f>
        <v>0</v>
      </c>
      <c r="P534" s="1">
        <f>IF(O534 &lt; 0, 1 + P533, 0)</f>
        <v>0</v>
      </c>
      <c r="Q534" s="1">
        <f>IF(E534&lt;0,1,0)</f>
        <v>0</v>
      </c>
      <c r="R534" s="1">
        <f>IF(Q534=1,E534,0)</f>
        <v>0</v>
      </c>
      <c r="S534" s="1">
        <f>IF(E534&gt;0,1,0)</f>
        <v>0</v>
      </c>
      <c r="T534" s="1">
        <f>IF(S534=1,E534,0)</f>
        <v>0</v>
      </c>
      <c r="U534" s="1">
        <f>IF(R534&lt;-100000000/100,1,0)</f>
        <v>0</v>
      </c>
      <c r="V534" s="1">
        <f>IF(T534&gt;100000000/100,1,0)</f>
        <v>0</v>
      </c>
      <c r="W534" s="1">
        <f>IF(L534&lt;0,1,0)</f>
        <v>0</v>
      </c>
      <c r="X534" s="1">
        <f>IF(W534=1,L534,0)</f>
        <v>0</v>
      </c>
      <c r="Y534" s="1">
        <f>IF(L534&gt;0,1,0)</f>
        <v>0</v>
      </c>
      <c r="Z534" s="1">
        <f>IF(Y534=1,L534,0)</f>
        <v>0</v>
      </c>
      <c r="AA534" s="1">
        <f>IF(X534&lt;-100000000/100,1,0)</f>
        <v>0</v>
      </c>
      <c r="AB534" s="1">
        <f>IF(Z534&gt;100000000/100,1,0)</f>
        <v>0</v>
      </c>
    </row>
    <row r="535" spans="1:28" s="1" customFormat="1">
      <c r="A535" s="3">
        <v>45763</v>
      </c>
      <c r="B535" s="2" t="s">
        <v>14</v>
      </c>
      <c r="C535" s="1">
        <f>SUM(PL!E535:H535)</f>
        <v>0</v>
      </c>
      <c r="D535" s="1">
        <f>SUM(PL!I535:L535)</f>
        <v>0</v>
      </c>
      <c r="E535" s="1">
        <f>SUM(C535:D535)</f>
        <v>0</v>
      </c>
      <c r="F535" s="1">
        <f>IF(C535 + F534 &lt; 0, C535 + F534, 0)</f>
        <v>0</v>
      </c>
      <c r="G535" s="1">
        <f>IF(D535 + G534 &lt; 0, D535 + G534, 0)</f>
        <v>0</v>
      </c>
      <c r="H535" s="1">
        <f>IF(E535 + H534 &lt; 0, E535 + H534, 0)</f>
        <v>0</v>
      </c>
      <c r="I535" s="1">
        <f>IF(H535 &lt; 0, 1 + I534, 0)</f>
        <v>0</v>
      </c>
      <c r="J535" s="1">
        <f>C535-((ABS(SUM(PL!E535:H535)))*0.125)</f>
        <v>0</v>
      </c>
      <c r="K535" s="1">
        <f>D535-((ABS(SUM(PL!I535:L535)))*0.125)</f>
        <v>0</v>
      </c>
      <c r="L535" s="1">
        <f>J535 + K535</f>
        <v>0</v>
      </c>
      <c r="M535" s="1">
        <f>IF(J535 + M534 &lt; 0, J535 + M534, 0)</f>
        <v>0</v>
      </c>
      <c r="N535" s="1">
        <f>IF(K535 + N534 &lt; 0, K535 + N534, 0)</f>
        <v>0</v>
      </c>
      <c r="O535" s="1">
        <f>IF(L535 + O534 &lt; 0, L535 + O534, 0)</f>
        <v>0</v>
      </c>
      <c r="P535" s="1">
        <f>IF(O535 &lt; 0, 1 + P534, 0)</f>
        <v>0</v>
      </c>
      <c r="Q535" s="1">
        <f>IF(E535&lt;0,1,0)</f>
        <v>0</v>
      </c>
      <c r="R535" s="1">
        <f>IF(Q535=1,E535,0)</f>
        <v>0</v>
      </c>
      <c r="S535" s="1">
        <f>IF(E535&gt;0,1,0)</f>
        <v>0</v>
      </c>
      <c r="T535" s="1">
        <f>IF(S535=1,E535,0)</f>
        <v>0</v>
      </c>
      <c r="U535" s="1">
        <f>IF(R535&lt;-100000000/100,1,0)</f>
        <v>0</v>
      </c>
      <c r="V535" s="1">
        <f>IF(T535&gt;100000000/100,1,0)</f>
        <v>0</v>
      </c>
      <c r="W535" s="1">
        <f>IF(L535&lt;0,1,0)</f>
        <v>0</v>
      </c>
      <c r="X535" s="1">
        <f>IF(W535=1,L535,0)</f>
        <v>0</v>
      </c>
      <c r="Y535" s="1">
        <f>IF(L535&gt;0,1,0)</f>
        <v>0</v>
      </c>
      <c r="Z535" s="1">
        <f>IF(Y535=1,L535,0)</f>
        <v>0</v>
      </c>
      <c r="AA535" s="1">
        <f>IF(X535&lt;-100000000/100,1,0)</f>
        <v>0</v>
      </c>
      <c r="AB535" s="1">
        <f>IF(Z535&gt;100000000/100,1,0)</f>
        <v>0</v>
      </c>
    </row>
    <row r="536" spans="1:28" s="1" customFormat="1">
      <c r="A536" s="3">
        <v>45764</v>
      </c>
      <c r="B536" s="2" t="s">
        <v>16</v>
      </c>
      <c r="C536" s="1">
        <f>SUM(PL!E536:H536)</f>
        <v>0</v>
      </c>
      <c r="D536" s="1">
        <f>SUM(PL!I536:L536)</f>
        <v>0</v>
      </c>
      <c r="E536" s="1">
        <f>SUM(C536:D536)</f>
        <v>0</v>
      </c>
      <c r="F536" s="1">
        <f>IF(C536 + F535 &lt; 0, C536 + F535, 0)</f>
        <v>0</v>
      </c>
      <c r="G536" s="1">
        <f>IF(D536 + G535 &lt; 0, D536 + G535, 0)</f>
        <v>0</v>
      </c>
      <c r="H536" s="1">
        <f>IF(E536 + H535 &lt; 0, E536 + H535, 0)</f>
        <v>0</v>
      </c>
      <c r="I536" s="1">
        <f>IF(H536 &lt; 0, 1 + I535, 0)</f>
        <v>0</v>
      </c>
      <c r="J536" s="1">
        <f>C536-((ABS(SUM(PL!E536:H536)))*0.125)</f>
        <v>0</v>
      </c>
      <c r="K536" s="1">
        <f>D536-((ABS(SUM(PL!I536:L536)))*0.125)</f>
        <v>0</v>
      </c>
      <c r="L536" s="1">
        <f>J536 + K536</f>
        <v>0</v>
      </c>
      <c r="M536" s="1">
        <f>IF(J536 + M535 &lt; 0, J536 + M535, 0)</f>
        <v>0</v>
      </c>
      <c r="N536" s="1">
        <f>IF(K536 + N535 &lt; 0, K536 + N535, 0)</f>
        <v>0</v>
      </c>
      <c r="O536" s="1">
        <f>IF(L536 + O535 &lt; 0, L536 + O535, 0)</f>
        <v>0</v>
      </c>
      <c r="P536" s="1">
        <f>IF(O536 &lt; 0, 1 + P535, 0)</f>
        <v>0</v>
      </c>
      <c r="Q536" s="1">
        <f>IF(E536&lt;0,1,0)</f>
        <v>0</v>
      </c>
      <c r="R536" s="1">
        <f>IF(Q536=1,E536,0)</f>
        <v>0</v>
      </c>
      <c r="S536" s="1">
        <f>IF(E536&gt;0,1,0)</f>
        <v>0</v>
      </c>
      <c r="T536" s="1">
        <f>IF(S536=1,E536,0)</f>
        <v>0</v>
      </c>
      <c r="U536" s="1">
        <f>IF(R536&lt;-100000000/100,1,0)</f>
        <v>0</v>
      </c>
      <c r="V536" s="1">
        <f>IF(T536&gt;100000000/100,1,0)</f>
        <v>0</v>
      </c>
      <c r="W536" s="1">
        <f>IF(L536&lt;0,1,0)</f>
        <v>0</v>
      </c>
      <c r="X536" s="1">
        <f>IF(W536=1,L536,0)</f>
        <v>0</v>
      </c>
      <c r="Y536" s="1">
        <f>IF(L536&gt;0,1,0)</f>
        <v>0</v>
      </c>
      <c r="Z536" s="1">
        <f>IF(Y536=1,L536,0)</f>
        <v>0</v>
      </c>
      <c r="AA536" s="1">
        <f>IF(X536&lt;-100000000/100,1,0)</f>
        <v>0</v>
      </c>
      <c r="AB536" s="1">
        <f>IF(Z536&gt;100000000/100,1,0)</f>
        <v>0</v>
      </c>
    </row>
    <row r="537" spans="1:28" s="1" customFormat="1">
      <c r="A537" s="3">
        <v>45768</v>
      </c>
      <c r="B537" s="2" t="s">
        <v>12</v>
      </c>
      <c r="C537" s="1">
        <f>SUM(PL!E537:H537)</f>
        <v>0</v>
      </c>
      <c r="D537" s="1">
        <f>SUM(PL!I537:L537)</f>
        <v>0</v>
      </c>
      <c r="E537" s="1">
        <f>SUM(C537:D537)</f>
        <v>0</v>
      </c>
      <c r="F537" s="1">
        <f>IF(C537 + F536 &lt; 0, C537 + F536, 0)</f>
        <v>0</v>
      </c>
      <c r="G537" s="1">
        <f>IF(D537 + G536 &lt; 0, D537 + G536, 0)</f>
        <v>0</v>
      </c>
      <c r="H537" s="1">
        <f>IF(E537 + H536 &lt; 0, E537 + H536, 0)</f>
        <v>0</v>
      </c>
      <c r="I537" s="1">
        <f>IF(H537 &lt; 0, 1 + I536, 0)</f>
        <v>0</v>
      </c>
      <c r="J537" s="1">
        <f>C537-((ABS(SUM(PL!E537:H537)))*0.125)</f>
        <v>0</v>
      </c>
      <c r="K537" s="1">
        <f>D537-((ABS(SUM(PL!I537:L537)))*0.125)</f>
        <v>0</v>
      </c>
      <c r="L537" s="1">
        <f>J537 + K537</f>
        <v>0</v>
      </c>
      <c r="M537" s="1">
        <f>IF(J537 + M536 &lt; 0, J537 + M536, 0)</f>
        <v>0</v>
      </c>
      <c r="N537" s="1">
        <f>IF(K537 + N536 &lt; 0, K537 + N536, 0)</f>
        <v>0</v>
      </c>
      <c r="O537" s="1">
        <f>IF(L537 + O536 &lt; 0, L537 + O536, 0)</f>
        <v>0</v>
      </c>
      <c r="P537" s="1">
        <f>IF(O537 &lt; 0, 1 + P536, 0)</f>
        <v>0</v>
      </c>
      <c r="Q537" s="1">
        <f>IF(E537&lt;0,1,0)</f>
        <v>0</v>
      </c>
      <c r="R537" s="1">
        <f>IF(Q537=1,E537,0)</f>
        <v>0</v>
      </c>
      <c r="S537" s="1">
        <f>IF(E537&gt;0,1,0)</f>
        <v>0</v>
      </c>
      <c r="T537" s="1">
        <f>IF(S537=1,E537,0)</f>
        <v>0</v>
      </c>
      <c r="U537" s="1">
        <f>IF(R537&lt;-100000000/100,1,0)</f>
        <v>0</v>
      </c>
      <c r="V537" s="1">
        <f>IF(T537&gt;100000000/100,1,0)</f>
        <v>0</v>
      </c>
      <c r="W537" s="1">
        <f>IF(L537&lt;0,1,0)</f>
        <v>0</v>
      </c>
      <c r="X537" s="1">
        <f>IF(W537=1,L537,0)</f>
        <v>0</v>
      </c>
      <c r="Y537" s="1">
        <f>IF(L537&gt;0,1,0)</f>
        <v>0</v>
      </c>
      <c r="Z537" s="1">
        <f>IF(Y537=1,L537,0)</f>
        <v>0</v>
      </c>
      <c r="AA537" s="1">
        <f>IF(X537&lt;-100000000/100,1,0)</f>
        <v>0</v>
      </c>
      <c r="AB537" s="1">
        <f>IF(Z537&gt;100000000/100,1,0)</f>
        <v>0</v>
      </c>
    </row>
    <row r="538" spans="1:28" s="1" customFormat="1">
      <c r="A538" s="3">
        <v>45769</v>
      </c>
      <c r="B538" s="2" t="s">
        <v>13</v>
      </c>
      <c r="C538" s="1">
        <f>SUM(PL!E538:H538)</f>
        <v>0</v>
      </c>
      <c r="D538" s="1">
        <f>SUM(PL!I538:L538)</f>
        <v>0</v>
      </c>
      <c r="E538" s="1">
        <f>SUM(C538:D538)</f>
        <v>0</v>
      </c>
      <c r="F538" s="1">
        <f>IF(C538 + F537 &lt; 0, C538 + F537, 0)</f>
        <v>0</v>
      </c>
      <c r="G538" s="1">
        <f>IF(D538 + G537 &lt; 0, D538 + G537, 0)</f>
        <v>0</v>
      </c>
      <c r="H538" s="1">
        <f>IF(E538 + H537 &lt; 0, E538 + H537, 0)</f>
        <v>0</v>
      </c>
      <c r="I538" s="1">
        <f>IF(H538 &lt; 0, 1 + I537, 0)</f>
        <v>0</v>
      </c>
      <c r="J538" s="1">
        <f>C538-((ABS(SUM(PL!E538:H538)))*0.125)</f>
        <v>0</v>
      </c>
      <c r="K538" s="1">
        <f>D538-((ABS(SUM(PL!I538:L538)))*0.125)</f>
        <v>0</v>
      </c>
      <c r="L538" s="1">
        <f>J538 + K538</f>
        <v>0</v>
      </c>
      <c r="M538" s="1">
        <f>IF(J538 + M537 &lt; 0, J538 + M537, 0)</f>
        <v>0</v>
      </c>
      <c r="N538" s="1">
        <f>IF(K538 + N537 &lt; 0, K538 + N537, 0)</f>
        <v>0</v>
      </c>
      <c r="O538" s="1">
        <f>IF(L538 + O537 &lt; 0, L538 + O537, 0)</f>
        <v>0</v>
      </c>
      <c r="P538" s="1">
        <f>IF(O538 &lt; 0, 1 + P537, 0)</f>
        <v>0</v>
      </c>
      <c r="Q538" s="1">
        <f>IF(E538&lt;0,1,0)</f>
        <v>0</v>
      </c>
      <c r="R538" s="1">
        <f>IF(Q538=1,E538,0)</f>
        <v>0</v>
      </c>
      <c r="S538" s="1">
        <f>IF(E538&gt;0,1,0)</f>
        <v>0</v>
      </c>
      <c r="T538" s="1">
        <f>IF(S538=1,E538,0)</f>
        <v>0</v>
      </c>
      <c r="U538" s="1">
        <f>IF(R538&lt;-100000000/100,1,0)</f>
        <v>0</v>
      </c>
      <c r="V538" s="1">
        <f>IF(T538&gt;100000000/100,1,0)</f>
        <v>0</v>
      </c>
      <c r="W538" s="1">
        <f>IF(L538&lt;0,1,0)</f>
        <v>0</v>
      </c>
      <c r="X538" s="1">
        <f>IF(W538=1,L538,0)</f>
        <v>0</v>
      </c>
      <c r="Y538" s="1">
        <f>IF(L538&gt;0,1,0)</f>
        <v>0</v>
      </c>
      <c r="Z538" s="1">
        <f>IF(Y538=1,L538,0)</f>
        <v>0</v>
      </c>
      <c r="AA538" s="1">
        <f>IF(X538&lt;-100000000/100,1,0)</f>
        <v>0</v>
      </c>
      <c r="AB538" s="1">
        <f>IF(Z538&gt;100000000/100,1,0)</f>
        <v>0</v>
      </c>
    </row>
    <row r="539" spans="1:28" s="1" customFormat="1">
      <c r="A539" s="3">
        <v>45770</v>
      </c>
      <c r="B539" s="2" t="s">
        <v>14</v>
      </c>
      <c r="C539" s="1">
        <f>SUM(PL!E539:H539)</f>
        <v>0</v>
      </c>
      <c r="D539" s="1">
        <f>SUM(PL!I539:L539)</f>
        <v>0</v>
      </c>
      <c r="E539" s="1">
        <f>SUM(C539:D539)</f>
        <v>0</v>
      </c>
      <c r="F539" s="1">
        <f>IF(C539 + F538 &lt; 0, C539 + F538, 0)</f>
        <v>0</v>
      </c>
      <c r="G539" s="1">
        <f>IF(D539 + G538 &lt; 0, D539 + G538, 0)</f>
        <v>0</v>
      </c>
      <c r="H539" s="1">
        <f>IF(E539 + H538 &lt; 0, E539 + H538, 0)</f>
        <v>0</v>
      </c>
      <c r="I539" s="1">
        <f>IF(H539 &lt; 0, 1 + I538, 0)</f>
        <v>0</v>
      </c>
      <c r="J539" s="1">
        <f>C539-((ABS(SUM(PL!E539:H539)))*0.125)</f>
        <v>0</v>
      </c>
      <c r="K539" s="1">
        <f>D539-((ABS(SUM(PL!I539:L539)))*0.125)</f>
        <v>0</v>
      </c>
      <c r="L539" s="1">
        <f>J539 + K539</f>
        <v>0</v>
      </c>
      <c r="M539" s="1">
        <f>IF(J539 + M538 &lt; 0, J539 + M538, 0)</f>
        <v>0</v>
      </c>
      <c r="N539" s="1">
        <f>IF(K539 + N538 &lt; 0, K539 + N538, 0)</f>
        <v>0</v>
      </c>
      <c r="O539" s="1">
        <f>IF(L539 + O538 &lt; 0, L539 + O538, 0)</f>
        <v>0</v>
      </c>
      <c r="P539" s="1">
        <f>IF(O539 &lt; 0, 1 + P538, 0)</f>
        <v>0</v>
      </c>
      <c r="Q539" s="1">
        <f>IF(E539&lt;0,1,0)</f>
        <v>0</v>
      </c>
      <c r="R539" s="1">
        <f>IF(Q539=1,E539,0)</f>
        <v>0</v>
      </c>
      <c r="S539" s="1">
        <f>IF(E539&gt;0,1,0)</f>
        <v>0</v>
      </c>
      <c r="T539" s="1">
        <f>IF(S539=1,E539,0)</f>
        <v>0</v>
      </c>
      <c r="U539" s="1">
        <f>IF(R539&lt;-100000000/100,1,0)</f>
        <v>0</v>
      </c>
      <c r="V539" s="1">
        <f>IF(T539&gt;100000000/100,1,0)</f>
        <v>0</v>
      </c>
      <c r="W539" s="1">
        <f>IF(L539&lt;0,1,0)</f>
        <v>0</v>
      </c>
      <c r="X539" s="1">
        <f>IF(W539=1,L539,0)</f>
        <v>0</v>
      </c>
      <c r="Y539" s="1">
        <f>IF(L539&gt;0,1,0)</f>
        <v>0</v>
      </c>
      <c r="Z539" s="1">
        <f>IF(Y539=1,L539,0)</f>
        <v>0</v>
      </c>
      <c r="AA539" s="1">
        <f>IF(X539&lt;-100000000/100,1,0)</f>
        <v>0</v>
      </c>
      <c r="AB539" s="1">
        <f>IF(Z539&gt;100000000/100,1,0)</f>
        <v>0</v>
      </c>
    </row>
    <row r="540" spans="1:28" s="1" customFormat="1">
      <c r="A540" s="3">
        <v>45771</v>
      </c>
      <c r="B540" s="2" t="s">
        <v>16</v>
      </c>
      <c r="C540" s="1">
        <f>SUM(PL!E540:H540)</f>
        <v>0</v>
      </c>
      <c r="D540" s="1">
        <f>SUM(PL!I540:L540)</f>
        <v>0</v>
      </c>
      <c r="E540" s="1">
        <f>SUM(C540:D540)</f>
        <v>0</v>
      </c>
      <c r="F540" s="1">
        <f>IF(C540 + F539 &lt; 0, C540 + F539, 0)</f>
        <v>0</v>
      </c>
      <c r="G540" s="1">
        <f>IF(D540 + G539 &lt; 0, D540 + G539, 0)</f>
        <v>0</v>
      </c>
      <c r="H540" s="1">
        <f>IF(E540 + H539 &lt; 0, E540 + H539, 0)</f>
        <v>0</v>
      </c>
      <c r="I540" s="1">
        <f>IF(H540 &lt; 0, 1 + I539, 0)</f>
        <v>0</v>
      </c>
      <c r="J540" s="1">
        <f>C540-((ABS(SUM(PL!E540:H540)))*0.125)</f>
        <v>0</v>
      </c>
      <c r="K540" s="1">
        <f>D540-((ABS(SUM(PL!I540:L540)))*0.125)</f>
        <v>0</v>
      </c>
      <c r="L540" s="1">
        <f>J540 + K540</f>
        <v>0</v>
      </c>
      <c r="M540" s="1">
        <f>IF(J540 + M539 &lt; 0, J540 + M539, 0)</f>
        <v>0</v>
      </c>
      <c r="N540" s="1">
        <f>IF(K540 + N539 &lt; 0, K540 + N539, 0)</f>
        <v>0</v>
      </c>
      <c r="O540" s="1">
        <f>IF(L540 + O539 &lt; 0, L540 + O539, 0)</f>
        <v>0</v>
      </c>
      <c r="P540" s="1">
        <f>IF(O540 &lt; 0, 1 + P539, 0)</f>
        <v>0</v>
      </c>
      <c r="Q540" s="1">
        <f>IF(E540&lt;0,1,0)</f>
        <v>0</v>
      </c>
      <c r="R540" s="1">
        <f>IF(Q540=1,E540,0)</f>
        <v>0</v>
      </c>
      <c r="S540" s="1">
        <f>IF(E540&gt;0,1,0)</f>
        <v>0</v>
      </c>
      <c r="T540" s="1">
        <f>IF(S540=1,E540,0)</f>
        <v>0</v>
      </c>
      <c r="U540" s="1">
        <f>IF(R540&lt;-100000000/100,1,0)</f>
        <v>0</v>
      </c>
      <c r="V540" s="1">
        <f>IF(T540&gt;100000000/100,1,0)</f>
        <v>0</v>
      </c>
      <c r="W540" s="1">
        <f>IF(L540&lt;0,1,0)</f>
        <v>0</v>
      </c>
      <c r="X540" s="1">
        <f>IF(W540=1,L540,0)</f>
        <v>0</v>
      </c>
      <c r="Y540" s="1">
        <f>IF(L540&gt;0,1,0)</f>
        <v>0</v>
      </c>
      <c r="Z540" s="1">
        <f>IF(Y540=1,L540,0)</f>
        <v>0</v>
      </c>
      <c r="AA540" s="1">
        <f>IF(X540&lt;-100000000/100,1,0)</f>
        <v>0</v>
      </c>
      <c r="AB540" s="1">
        <f>IF(Z540&gt;100000000/100,1,0)</f>
        <v>0</v>
      </c>
    </row>
    <row r="541" spans="1:28" s="1" customFormat="1">
      <c r="A541" s="3">
        <v>45772</v>
      </c>
      <c r="B541" s="2" t="s">
        <v>15</v>
      </c>
      <c r="C541" s="1">
        <f>SUM(PL!E541:H541)</f>
        <v>0</v>
      </c>
      <c r="D541" s="1">
        <f>SUM(PL!I541:L541)</f>
        <v>0</v>
      </c>
      <c r="E541" s="1">
        <f>SUM(C541:D541)</f>
        <v>0</v>
      </c>
      <c r="F541" s="1">
        <f>IF(C541 + F540 &lt; 0, C541 + F540, 0)</f>
        <v>0</v>
      </c>
      <c r="G541" s="1">
        <f>IF(D541 + G540 &lt; 0, D541 + G540, 0)</f>
        <v>0</v>
      </c>
      <c r="H541" s="1">
        <f>IF(E541 + H540 &lt; 0, E541 + H540, 0)</f>
        <v>0</v>
      </c>
      <c r="I541" s="1">
        <f>IF(H541 &lt; 0, 1 + I540, 0)</f>
        <v>0</v>
      </c>
      <c r="J541" s="1">
        <f>C541-((ABS(SUM(PL!E541:H541)))*0.125)</f>
        <v>0</v>
      </c>
      <c r="K541" s="1">
        <f>D541-((ABS(SUM(PL!I541:L541)))*0.125)</f>
        <v>0</v>
      </c>
      <c r="L541" s="1">
        <f>J541 + K541</f>
        <v>0</v>
      </c>
      <c r="M541" s="1">
        <f>IF(J541 + M540 &lt; 0, J541 + M540, 0)</f>
        <v>0</v>
      </c>
      <c r="N541" s="1">
        <f>IF(K541 + N540 &lt; 0, K541 + N540, 0)</f>
        <v>0</v>
      </c>
      <c r="O541" s="1">
        <f>IF(L541 + O540 &lt; 0, L541 + O540, 0)</f>
        <v>0</v>
      </c>
      <c r="P541" s="1">
        <f>IF(O541 &lt; 0, 1 + P540, 0)</f>
        <v>0</v>
      </c>
      <c r="Q541" s="1">
        <f>IF(E541&lt;0,1,0)</f>
        <v>0</v>
      </c>
      <c r="R541" s="1">
        <f>IF(Q541=1,E541,0)</f>
        <v>0</v>
      </c>
      <c r="S541" s="1">
        <f>IF(E541&gt;0,1,0)</f>
        <v>0</v>
      </c>
      <c r="T541" s="1">
        <f>IF(S541=1,E541,0)</f>
        <v>0</v>
      </c>
      <c r="U541" s="1">
        <f>IF(R541&lt;-100000000/100,1,0)</f>
        <v>0</v>
      </c>
      <c r="V541" s="1">
        <f>IF(T541&gt;100000000/100,1,0)</f>
        <v>0</v>
      </c>
      <c r="W541" s="1">
        <f>IF(L541&lt;0,1,0)</f>
        <v>0</v>
      </c>
      <c r="X541" s="1">
        <f>IF(W541=1,L541,0)</f>
        <v>0</v>
      </c>
      <c r="Y541" s="1">
        <f>IF(L541&gt;0,1,0)</f>
        <v>0</v>
      </c>
      <c r="Z541" s="1">
        <f>IF(Y541=1,L541,0)</f>
        <v>0</v>
      </c>
      <c r="AA541" s="1">
        <f>IF(X541&lt;-100000000/100,1,0)</f>
        <v>0</v>
      </c>
      <c r="AB541" s="1">
        <f>IF(Z541&gt;100000000/100,1,0)</f>
        <v>0</v>
      </c>
    </row>
    <row r="542" spans="1:28" s="1" customFormat="1">
      <c r="A542" s="3">
        <v>45775</v>
      </c>
      <c r="B542" s="2" t="s">
        <v>12</v>
      </c>
      <c r="C542" s="1">
        <f>SUM(PL!E542:H542)</f>
        <v>0</v>
      </c>
      <c r="D542" s="1">
        <f>SUM(PL!I542:L542)</f>
        <v>0</v>
      </c>
      <c r="E542" s="1">
        <f>SUM(C542:D542)</f>
        <v>0</v>
      </c>
      <c r="F542" s="1">
        <f>IF(C542 + F541 &lt; 0, C542 + F541, 0)</f>
        <v>0</v>
      </c>
      <c r="G542" s="1">
        <f>IF(D542 + G541 &lt; 0, D542 + G541, 0)</f>
        <v>0</v>
      </c>
      <c r="H542" s="1">
        <f>IF(E542 + H541 &lt; 0, E542 + H541, 0)</f>
        <v>0</v>
      </c>
      <c r="I542" s="1">
        <f>IF(H542 &lt; 0, 1 + I541, 0)</f>
        <v>0</v>
      </c>
      <c r="J542" s="1">
        <f>C542-((ABS(SUM(PL!E542:H542)))*0.125)</f>
        <v>0</v>
      </c>
      <c r="K542" s="1">
        <f>D542-((ABS(SUM(PL!I542:L542)))*0.125)</f>
        <v>0</v>
      </c>
      <c r="L542" s="1">
        <f>J542 + K542</f>
        <v>0</v>
      </c>
      <c r="M542" s="1">
        <f>IF(J542 + M541 &lt; 0, J542 + M541, 0)</f>
        <v>0</v>
      </c>
      <c r="N542" s="1">
        <f>IF(K542 + N541 &lt; 0, K542 + N541, 0)</f>
        <v>0</v>
      </c>
      <c r="O542" s="1">
        <f>IF(L542 + O541 &lt; 0, L542 + O541, 0)</f>
        <v>0</v>
      </c>
      <c r="P542" s="1">
        <f>IF(O542 &lt; 0, 1 + P541, 0)</f>
        <v>0</v>
      </c>
      <c r="Q542" s="1">
        <f>IF(E542&lt;0,1,0)</f>
        <v>0</v>
      </c>
      <c r="R542" s="1">
        <f>IF(Q542=1,E542,0)</f>
        <v>0</v>
      </c>
      <c r="S542" s="1">
        <f>IF(E542&gt;0,1,0)</f>
        <v>0</v>
      </c>
      <c r="T542" s="1">
        <f>IF(S542=1,E542,0)</f>
        <v>0</v>
      </c>
      <c r="U542" s="1">
        <f>IF(R542&lt;-100000000/100,1,0)</f>
        <v>0</v>
      </c>
      <c r="V542" s="1">
        <f>IF(T542&gt;100000000/100,1,0)</f>
        <v>0</v>
      </c>
      <c r="W542" s="1">
        <f>IF(L542&lt;0,1,0)</f>
        <v>0</v>
      </c>
      <c r="X542" s="1">
        <f>IF(W542=1,L542,0)</f>
        <v>0</v>
      </c>
      <c r="Y542" s="1">
        <f>IF(L542&gt;0,1,0)</f>
        <v>0</v>
      </c>
      <c r="Z542" s="1">
        <f>IF(Y542=1,L542,0)</f>
        <v>0</v>
      </c>
      <c r="AA542" s="1">
        <f>IF(X542&lt;-100000000/100,1,0)</f>
        <v>0</v>
      </c>
      <c r="AB542" s="1">
        <f>IF(Z542&gt;100000000/100,1,0)</f>
        <v>0</v>
      </c>
    </row>
    <row r="543" spans="1:28" s="1" customFormat="1">
      <c r="A543" s="3">
        <v>45777</v>
      </c>
      <c r="B543" s="2" t="s">
        <v>14</v>
      </c>
      <c r="C543" s="1">
        <f>SUM(PL!E543:H543)</f>
        <v>0</v>
      </c>
      <c r="D543" s="1">
        <f>SUM(PL!I543:L543)</f>
        <v>0</v>
      </c>
      <c r="E543" s="1">
        <f>SUM(C543:D543)</f>
        <v>0</v>
      </c>
      <c r="F543" s="1">
        <f>IF(C543 + F542 &lt; 0, C543 + F542, 0)</f>
        <v>0</v>
      </c>
      <c r="G543" s="1">
        <f>IF(D543 + G542 &lt; 0, D543 + G542, 0)</f>
        <v>0</v>
      </c>
      <c r="H543" s="1">
        <f>IF(E543 + H542 &lt; 0, E543 + H542, 0)</f>
        <v>0</v>
      </c>
      <c r="I543" s="1">
        <f>IF(H543 &lt; 0, 1 + I542, 0)</f>
        <v>0</v>
      </c>
      <c r="J543" s="1">
        <f>C543-((ABS(SUM(PL!E543:H543)))*0.125)</f>
        <v>0</v>
      </c>
      <c r="K543" s="1">
        <f>D543-((ABS(SUM(PL!I543:L543)))*0.125)</f>
        <v>0</v>
      </c>
      <c r="L543" s="1">
        <f>J543 + K543</f>
        <v>0</v>
      </c>
      <c r="M543" s="1">
        <f>IF(J543 + M542 &lt; 0, J543 + M542, 0)</f>
        <v>0</v>
      </c>
      <c r="N543" s="1">
        <f>IF(K543 + N542 &lt; 0, K543 + N542, 0)</f>
        <v>0</v>
      </c>
      <c r="O543" s="1">
        <f>IF(L543 + O542 &lt; 0, L543 + O542, 0)</f>
        <v>0</v>
      </c>
      <c r="P543" s="1">
        <f>IF(O543 &lt; 0, 1 + P542, 0)</f>
        <v>0</v>
      </c>
      <c r="Q543" s="1">
        <f>IF(E543&lt;0,1,0)</f>
        <v>0</v>
      </c>
      <c r="R543" s="1">
        <f>IF(Q543=1,E543,0)</f>
        <v>0</v>
      </c>
      <c r="S543" s="1">
        <f>IF(E543&gt;0,1,0)</f>
        <v>0</v>
      </c>
      <c r="T543" s="1">
        <f>IF(S543=1,E543,0)</f>
        <v>0</v>
      </c>
      <c r="U543" s="1">
        <f>IF(R543&lt;-100000000/100,1,0)</f>
        <v>0</v>
      </c>
      <c r="V543" s="1">
        <f>IF(T543&gt;100000000/100,1,0)</f>
        <v>0</v>
      </c>
      <c r="W543" s="1">
        <f>IF(L543&lt;0,1,0)</f>
        <v>0</v>
      </c>
      <c r="X543" s="1">
        <f>IF(W543=1,L543,0)</f>
        <v>0</v>
      </c>
      <c r="Y543" s="1">
        <f>IF(L543&gt;0,1,0)</f>
        <v>0</v>
      </c>
      <c r="Z543" s="1">
        <f>IF(Y543=1,L543,0)</f>
        <v>0</v>
      </c>
      <c r="AA543" s="1">
        <f>IF(X543&lt;-100000000/100,1,0)</f>
        <v>0</v>
      </c>
      <c r="AB543" s="1">
        <f>IF(Z543&gt;100000000/100,1,0)</f>
        <v>0</v>
      </c>
    </row>
    <row r="544" spans="1:28" s="1" customFormat="1">
      <c r="A544" s="3">
        <v>45778</v>
      </c>
      <c r="B544" s="2" t="s">
        <v>16</v>
      </c>
      <c r="C544" s="1">
        <f>SUM(PL!E544:H544)</f>
        <v>0</v>
      </c>
      <c r="D544" s="1">
        <f>SUM(PL!I544:L544)</f>
        <v>0</v>
      </c>
      <c r="E544" s="1">
        <f>SUM(C544:D544)</f>
        <v>0</v>
      </c>
      <c r="F544" s="1">
        <f>IF(C544 + F543 &lt; 0, C544 + F543, 0)</f>
        <v>0</v>
      </c>
      <c r="G544" s="1">
        <f>IF(D544 + G543 &lt; 0, D544 + G543, 0)</f>
        <v>0</v>
      </c>
      <c r="H544" s="1">
        <f>IF(E544 + H543 &lt; 0, E544 + H543, 0)</f>
        <v>0</v>
      </c>
      <c r="I544" s="1">
        <f>IF(H544 &lt; 0, 1 + I543, 0)</f>
        <v>0</v>
      </c>
      <c r="J544" s="1">
        <f>C544-((ABS(SUM(PL!E544:H544)))*0.125)</f>
        <v>0</v>
      </c>
      <c r="K544" s="1">
        <f>D544-((ABS(SUM(PL!I544:L544)))*0.125)</f>
        <v>0</v>
      </c>
      <c r="L544" s="1">
        <f>J544 + K544</f>
        <v>0</v>
      </c>
      <c r="M544" s="1">
        <f>IF(J544 + M543 &lt; 0, J544 + M543, 0)</f>
        <v>0</v>
      </c>
      <c r="N544" s="1">
        <f>IF(K544 + N543 &lt; 0, K544 + N543, 0)</f>
        <v>0</v>
      </c>
      <c r="O544" s="1">
        <f>IF(L544 + O543 &lt; 0, L544 + O543, 0)</f>
        <v>0</v>
      </c>
      <c r="P544" s="1">
        <f>IF(O544 &lt; 0, 1 + P543, 0)</f>
        <v>0</v>
      </c>
      <c r="Q544" s="1">
        <f>IF(E544&lt;0,1,0)</f>
        <v>0</v>
      </c>
      <c r="R544" s="1">
        <f>IF(Q544=1,E544,0)</f>
        <v>0</v>
      </c>
      <c r="S544" s="1">
        <f>IF(E544&gt;0,1,0)</f>
        <v>0</v>
      </c>
      <c r="T544" s="1">
        <f>IF(S544=1,E544,0)</f>
        <v>0</v>
      </c>
      <c r="U544" s="1">
        <f>IF(R544&lt;-100000000/100,1,0)</f>
        <v>0</v>
      </c>
      <c r="V544" s="1">
        <f>IF(T544&gt;100000000/100,1,0)</f>
        <v>0</v>
      </c>
      <c r="W544" s="1">
        <f>IF(L544&lt;0,1,0)</f>
        <v>0</v>
      </c>
      <c r="X544" s="1">
        <f>IF(W544=1,L544,0)</f>
        <v>0</v>
      </c>
      <c r="Y544" s="1">
        <f>IF(L544&gt;0,1,0)</f>
        <v>0</v>
      </c>
      <c r="Z544" s="1">
        <f>IF(Y544=1,L544,0)</f>
        <v>0</v>
      </c>
      <c r="AA544" s="1">
        <f>IF(X544&lt;-100000000/100,1,0)</f>
        <v>0</v>
      </c>
      <c r="AB544" s="1">
        <f>IF(Z544&gt;100000000/100,1,0)</f>
        <v>0</v>
      </c>
    </row>
    <row r="545" spans="1:28" s="1" customFormat="1">
      <c r="A545" s="3">
        <v>45779</v>
      </c>
      <c r="B545" s="2" t="s">
        <v>15</v>
      </c>
      <c r="C545" s="1">
        <f>SUM(PL!E545:H545)</f>
        <v>0</v>
      </c>
      <c r="D545" s="1">
        <f>SUM(PL!I545:L545)</f>
        <v>0</v>
      </c>
      <c r="E545" s="1">
        <f>SUM(C545:D545)</f>
        <v>0</v>
      </c>
      <c r="F545" s="1">
        <f>IF(C545 + F544 &lt; 0, C545 + F544, 0)</f>
        <v>0</v>
      </c>
      <c r="G545" s="1">
        <f>IF(D545 + G544 &lt; 0, D545 + G544, 0)</f>
        <v>0</v>
      </c>
      <c r="H545" s="1">
        <f>IF(E545 + H544 &lt; 0, E545 + H544, 0)</f>
        <v>0</v>
      </c>
      <c r="I545" s="1">
        <f>IF(H545 &lt; 0, 1 + I544, 0)</f>
        <v>0</v>
      </c>
      <c r="J545" s="1">
        <f>C545-((ABS(SUM(PL!E545:H545)))*0.125)</f>
        <v>0</v>
      </c>
      <c r="K545" s="1">
        <f>D545-((ABS(SUM(PL!I545:L545)))*0.125)</f>
        <v>0</v>
      </c>
      <c r="L545" s="1">
        <f>J545 + K545</f>
        <v>0</v>
      </c>
      <c r="M545" s="1">
        <f>IF(J545 + M544 &lt; 0, J545 + M544, 0)</f>
        <v>0</v>
      </c>
      <c r="N545" s="1">
        <f>IF(K545 + N544 &lt; 0, K545 + N544, 0)</f>
        <v>0</v>
      </c>
      <c r="O545" s="1">
        <f>IF(L545 + O544 &lt; 0, L545 + O544, 0)</f>
        <v>0</v>
      </c>
      <c r="P545" s="1">
        <f>IF(O545 &lt; 0, 1 + P544, 0)</f>
        <v>0</v>
      </c>
      <c r="Q545" s="1">
        <f>IF(E545&lt;0,1,0)</f>
        <v>0</v>
      </c>
      <c r="R545" s="1">
        <f>IF(Q545=1,E545,0)</f>
        <v>0</v>
      </c>
      <c r="S545" s="1">
        <f>IF(E545&gt;0,1,0)</f>
        <v>0</v>
      </c>
      <c r="T545" s="1">
        <f>IF(S545=1,E545,0)</f>
        <v>0</v>
      </c>
      <c r="U545" s="1">
        <f>IF(R545&lt;-100000000/100,1,0)</f>
        <v>0</v>
      </c>
      <c r="V545" s="1">
        <f>IF(T545&gt;100000000/100,1,0)</f>
        <v>0</v>
      </c>
      <c r="W545" s="1">
        <f>IF(L545&lt;0,1,0)</f>
        <v>0</v>
      </c>
      <c r="X545" s="1">
        <f>IF(W545=1,L545,0)</f>
        <v>0</v>
      </c>
      <c r="Y545" s="1">
        <f>IF(L545&gt;0,1,0)</f>
        <v>0</v>
      </c>
      <c r="Z545" s="1">
        <f>IF(Y545=1,L545,0)</f>
        <v>0</v>
      </c>
      <c r="AA545" s="1">
        <f>IF(X545&lt;-100000000/100,1,0)</f>
        <v>0</v>
      </c>
      <c r="AB545" s="1">
        <f>IF(Z545&gt;100000000/100,1,0)</f>
        <v>0</v>
      </c>
    </row>
    <row r="546" spans="1:28" s="1" customFormat="1">
      <c r="A546" s="3">
        <v>45782</v>
      </c>
      <c r="B546" s="2" t="s">
        <v>12</v>
      </c>
      <c r="C546" s="1">
        <f>SUM(PL!E546:H546)</f>
        <v>0</v>
      </c>
      <c r="D546" s="1">
        <f>SUM(PL!I546:L546)</f>
        <v>0</v>
      </c>
      <c r="E546" s="1">
        <f>SUM(C546:D546)</f>
        <v>0</v>
      </c>
      <c r="F546" s="1">
        <f>IF(C546 + F545 &lt; 0, C546 + F545, 0)</f>
        <v>0</v>
      </c>
      <c r="G546" s="1">
        <f>IF(D546 + G545 &lt; 0, D546 + G545, 0)</f>
        <v>0</v>
      </c>
      <c r="H546" s="1">
        <f>IF(E546 + H545 &lt; 0, E546 + H545, 0)</f>
        <v>0</v>
      </c>
      <c r="I546" s="1">
        <f>IF(H546 &lt; 0, 1 + I545, 0)</f>
        <v>0</v>
      </c>
      <c r="J546" s="1">
        <f>C546-((ABS(SUM(PL!E546:H546)))*0.125)</f>
        <v>0</v>
      </c>
      <c r="K546" s="1">
        <f>D546-((ABS(SUM(PL!I546:L546)))*0.125)</f>
        <v>0</v>
      </c>
      <c r="L546" s="1">
        <f>J546 + K546</f>
        <v>0</v>
      </c>
      <c r="M546" s="1">
        <f>IF(J546 + M545 &lt; 0, J546 + M545, 0)</f>
        <v>0</v>
      </c>
      <c r="N546" s="1">
        <f>IF(K546 + N545 &lt; 0, K546 + N545, 0)</f>
        <v>0</v>
      </c>
      <c r="O546" s="1">
        <f>IF(L546 + O545 &lt; 0, L546 + O545, 0)</f>
        <v>0</v>
      </c>
      <c r="P546" s="1">
        <f>IF(O546 &lt; 0, 1 + P545, 0)</f>
        <v>0</v>
      </c>
      <c r="Q546" s="1">
        <f>IF(E546&lt;0,1,0)</f>
        <v>0</v>
      </c>
      <c r="R546" s="1">
        <f>IF(Q546=1,E546,0)</f>
        <v>0</v>
      </c>
      <c r="S546" s="1">
        <f>IF(E546&gt;0,1,0)</f>
        <v>0</v>
      </c>
      <c r="T546" s="1">
        <f>IF(S546=1,E546,0)</f>
        <v>0</v>
      </c>
      <c r="U546" s="1">
        <f>IF(R546&lt;-100000000/100,1,0)</f>
        <v>0</v>
      </c>
      <c r="V546" s="1">
        <f>IF(T546&gt;100000000/100,1,0)</f>
        <v>0</v>
      </c>
      <c r="W546" s="1">
        <f>IF(L546&lt;0,1,0)</f>
        <v>0</v>
      </c>
      <c r="X546" s="1">
        <f>IF(W546=1,L546,0)</f>
        <v>0</v>
      </c>
      <c r="Y546" s="1">
        <f>IF(L546&gt;0,1,0)</f>
        <v>0</v>
      </c>
      <c r="Z546" s="1">
        <f>IF(Y546=1,L546,0)</f>
        <v>0</v>
      </c>
      <c r="AA546" s="1">
        <f>IF(X546&lt;-100000000/100,1,0)</f>
        <v>0</v>
      </c>
      <c r="AB546" s="1">
        <f>IF(Z546&gt;100000000/100,1,0)</f>
        <v>0</v>
      </c>
    </row>
    <row r="547" spans="1:28" s="1" customFormat="1">
      <c r="A547" s="3">
        <v>45783</v>
      </c>
      <c r="B547" s="2" t="s">
        <v>13</v>
      </c>
      <c r="C547" s="1">
        <f>SUM(PL!E547:H547)</f>
        <v>0</v>
      </c>
      <c r="D547" s="1">
        <f>SUM(PL!I547:L547)</f>
        <v>0</v>
      </c>
      <c r="E547" s="1">
        <f>SUM(C547:D547)</f>
        <v>0</v>
      </c>
      <c r="F547" s="1">
        <f>IF(C547 + F546 &lt; 0, C547 + F546, 0)</f>
        <v>0</v>
      </c>
      <c r="G547" s="1">
        <f>IF(D547 + G546 &lt; 0, D547 + G546, 0)</f>
        <v>0</v>
      </c>
      <c r="H547" s="1">
        <f>IF(E547 + H546 &lt; 0, E547 + H546, 0)</f>
        <v>0</v>
      </c>
      <c r="I547" s="1">
        <f>IF(H547 &lt; 0, 1 + I546, 0)</f>
        <v>0</v>
      </c>
      <c r="J547" s="1">
        <f>C547-((ABS(SUM(PL!E547:H547)))*0.125)</f>
        <v>0</v>
      </c>
      <c r="K547" s="1">
        <f>D547-((ABS(SUM(PL!I547:L547)))*0.125)</f>
        <v>0</v>
      </c>
      <c r="L547" s="1">
        <f>J547 + K547</f>
        <v>0</v>
      </c>
      <c r="M547" s="1">
        <f>IF(J547 + M546 &lt; 0, J547 + M546, 0)</f>
        <v>0</v>
      </c>
      <c r="N547" s="1">
        <f>IF(K547 + N546 &lt; 0, K547 + N546, 0)</f>
        <v>0</v>
      </c>
      <c r="O547" s="1">
        <f>IF(L547 + O546 &lt; 0, L547 + O546, 0)</f>
        <v>0</v>
      </c>
      <c r="P547" s="1">
        <f>IF(O547 &lt; 0, 1 + P546, 0)</f>
        <v>0</v>
      </c>
      <c r="Q547" s="1">
        <f>IF(E547&lt;0,1,0)</f>
        <v>0</v>
      </c>
      <c r="R547" s="1">
        <f>IF(Q547=1,E547,0)</f>
        <v>0</v>
      </c>
      <c r="S547" s="1">
        <f>IF(E547&gt;0,1,0)</f>
        <v>0</v>
      </c>
      <c r="T547" s="1">
        <f>IF(S547=1,E547,0)</f>
        <v>0</v>
      </c>
      <c r="U547" s="1">
        <f>IF(R547&lt;-100000000/100,1,0)</f>
        <v>0</v>
      </c>
      <c r="V547" s="1">
        <f>IF(T547&gt;100000000/100,1,0)</f>
        <v>0</v>
      </c>
      <c r="W547" s="1">
        <f>IF(L547&lt;0,1,0)</f>
        <v>0</v>
      </c>
      <c r="X547" s="1">
        <f>IF(W547=1,L547,0)</f>
        <v>0</v>
      </c>
      <c r="Y547" s="1">
        <f>IF(L547&gt;0,1,0)</f>
        <v>0</v>
      </c>
      <c r="Z547" s="1">
        <f>IF(Y547=1,L547,0)</f>
        <v>0</v>
      </c>
      <c r="AA547" s="1">
        <f>IF(X547&lt;-100000000/100,1,0)</f>
        <v>0</v>
      </c>
      <c r="AB547" s="1">
        <f>IF(Z547&gt;100000000/100,1,0)</f>
        <v>0</v>
      </c>
    </row>
    <row r="548" spans="1:28" s="1" customFormat="1">
      <c r="A548" s="3">
        <v>45784</v>
      </c>
      <c r="B548" s="2" t="s">
        <v>14</v>
      </c>
      <c r="C548" s="1">
        <f>SUM(PL!E548:H548)</f>
        <v>0</v>
      </c>
      <c r="D548" s="1">
        <f>SUM(PL!I548:L548)</f>
        <v>0</v>
      </c>
      <c r="E548" s="1">
        <f>SUM(C548:D548)</f>
        <v>0</v>
      </c>
      <c r="F548" s="1">
        <f>IF(C548 + F547 &lt; 0, C548 + F547, 0)</f>
        <v>0</v>
      </c>
      <c r="G548" s="1">
        <f>IF(D548 + G547 &lt; 0, D548 + G547, 0)</f>
        <v>0</v>
      </c>
      <c r="H548" s="1">
        <f>IF(E548 + H547 &lt; 0, E548 + H547, 0)</f>
        <v>0</v>
      </c>
      <c r="I548" s="1">
        <f>IF(H548 &lt; 0, 1 + I547, 0)</f>
        <v>0</v>
      </c>
      <c r="J548" s="1">
        <f>C548-((ABS(SUM(PL!E548:H548)))*0.125)</f>
        <v>0</v>
      </c>
      <c r="K548" s="1">
        <f>D548-((ABS(SUM(PL!I548:L548)))*0.125)</f>
        <v>0</v>
      </c>
      <c r="L548" s="1">
        <f>J548 + K548</f>
        <v>0</v>
      </c>
      <c r="M548" s="1">
        <f>IF(J548 + M547 &lt; 0, J548 + M547, 0)</f>
        <v>0</v>
      </c>
      <c r="N548" s="1">
        <f>IF(K548 + N547 &lt; 0, K548 + N547, 0)</f>
        <v>0</v>
      </c>
      <c r="O548" s="1">
        <f>IF(L548 + O547 &lt; 0, L548 + O547, 0)</f>
        <v>0</v>
      </c>
      <c r="P548" s="1">
        <f>IF(O548 &lt; 0, 1 + P547, 0)</f>
        <v>0</v>
      </c>
      <c r="Q548" s="1">
        <f>IF(E548&lt;0,1,0)</f>
        <v>0</v>
      </c>
      <c r="R548" s="1">
        <f>IF(Q548=1,E548,0)</f>
        <v>0</v>
      </c>
      <c r="S548" s="1">
        <f>IF(E548&gt;0,1,0)</f>
        <v>0</v>
      </c>
      <c r="T548" s="1">
        <f>IF(S548=1,E548,0)</f>
        <v>0</v>
      </c>
      <c r="U548" s="1">
        <f>IF(R548&lt;-100000000/100,1,0)</f>
        <v>0</v>
      </c>
      <c r="V548" s="1">
        <f>IF(T548&gt;100000000/100,1,0)</f>
        <v>0</v>
      </c>
      <c r="W548" s="1">
        <f>IF(L548&lt;0,1,0)</f>
        <v>0</v>
      </c>
      <c r="X548" s="1">
        <f>IF(W548=1,L548,0)</f>
        <v>0</v>
      </c>
      <c r="Y548" s="1">
        <f>IF(L548&gt;0,1,0)</f>
        <v>0</v>
      </c>
      <c r="Z548" s="1">
        <f>IF(Y548=1,L548,0)</f>
        <v>0</v>
      </c>
      <c r="AA548" s="1">
        <f>IF(X548&lt;-100000000/100,1,0)</f>
        <v>0</v>
      </c>
      <c r="AB548" s="1">
        <f>IF(Z548&gt;100000000/100,1,0)</f>
        <v>0</v>
      </c>
    </row>
    <row r="549" spans="1:28" s="1" customFormat="1">
      <c r="A549" s="3">
        <v>45785</v>
      </c>
      <c r="B549" s="2" t="s">
        <v>16</v>
      </c>
      <c r="C549" s="1">
        <f>SUM(PL!E549:H549)</f>
        <v>0</v>
      </c>
      <c r="D549" s="1">
        <f>SUM(PL!I549:L549)</f>
        <v>0</v>
      </c>
      <c r="E549" s="1">
        <f>SUM(C549:D549)</f>
        <v>0</v>
      </c>
      <c r="F549" s="1">
        <f>IF(C549 + F548 &lt; 0, C549 + F548, 0)</f>
        <v>0</v>
      </c>
      <c r="G549" s="1">
        <f>IF(D549 + G548 &lt; 0, D549 + G548, 0)</f>
        <v>0</v>
      </c>
      <c r="H549" s="1">
        <f>IF(E549 + H548 &lt; 0, E549 + H548, 0)</f>
        <v>0</v>
      </c>
      <c r="I549" s="1">
        <f>IF(H549 &lt; 0, 1 + I548, 0)</f>
        <v>0</v>
      </c>
      <c r="J549" s="1">
        <f>C549-((ABS(SUM(PL!E549:H549)))*0.125)</f>
        <v>0</v>
      </c>
      <c r="K549" s="1">
        <f>D549-((ABS(SUM(PL!I549:L549)))*0.125)</f>
        <v>0</v>
      </c>
      <c r="L549" s="1">
        <f>J549 + K549</f>
        <v>0</v>
      </c>
      <c r="M549" s="1">
        <f>IF(J549 + M548 &lt; 0, J549 + M548, 0)</f>
        <v>0</v>
      </c>
      <c r="N549" s="1">
        <f>IF(K549 + N548 &lt; 0, K549 + N548, 0)</f>
        <v>0</v>
      </c>
      <c r="O549" s="1">
        <f>IF(L549 + O548 &lt; 0, L549 + O548, 0)</f>
        <v>0</v>
      </c>
      <c r="P549" s="1">
        <f>IF(O549 &lt; 0, 1 + P548, 0)</f>
        <v>0</v>
      </c>
      <c r="Q549" s="1">
        <f>IF(E549&lt;0,1,0)</f>
        <v>0</v>
      </c>
      <c r="R549" s="1">
        <f>IF(Q549=1,E549,0)</f>
        <v>0</v>
      </c>
      <c r="S549" s="1">
        <f>IF(E549&gt;0,1,0)</f>
        <v>0</v>
      </c>
      <c r="T549" s="1">
        <f>IF(S549=1,E549,0)</f>
        <v>0</v>
      </c>
      <c r="U549" s="1">
        <f>IF(R549&lt;-100000000/100,1,0)</f>
        <v>0</v>
      </c>
      <c r="V549" s="1">
        <f>IF(T549&gt;100000000/100,1,0)</f>
        <v>0</v>
      </c>
      <c r="W549" s="1">
        <f>IF(L549&lt;0,1,0)</f>
        <v>0</v>
      </c>
      <c r="X549" s="1">
        <f>IF(W549=1,L549,0)</f>
        <v>0</v>
      </c>
      <c r="Y549" s="1">
        <f>IF(L549&gt;0,1,0)</f>
        <v>0</v>
      </c>
      <c r="Z549" s="1">
        <f>IF(Y549=1,L549,0)</f>
        <v>0</v>
      </c>
      <c r="AA549" s="1">
        <f>IF(X549&lt;-100000000/100,1,0)</f>
        <v>0</v>
      </c>
      <c r="AB549" s="1">
        <f>IF(Z549&gt;100000000/100,1,0)</f>
        <v>0</v>
      </c>
    </row>
    <row r="550" spans="1:28" s="1" customFormat="1">
      <c r="A550" s="3">
        <v>45786</v>
      </c>
      <c r="B550" s="2" t="s">
        <v>15</v>
      </c>
      <c r="C550" s="1">
        <f>SUM(PL!E550:H550)</f>
        <v>0</v>
      </c>
      <c r="D550" s="1">
        <f>SUM(PL!I550:L550)</f>
        <v>0</v>
      </c>
      <c r="E550" s="1">
        <f>SUM(C550:D550)</f>
        <v>0</v>
      </c>
      <c r="F550" s="1">
        <f>IF(C550 + F549 &lt; 0, C550 + F549, 0)</f>
        <v>0</v>
      </c>
      <c r="G550" s="1">
        <f>IF(D550 + G549 &lt; 0, D550 + G549, 0)</f>
        <v>0</v>
      </c>
      <c r="H550" s="1">
        <f>IF(E550 + H549 &lt; 0, E550 + H549, 0)</f>
        <v>0</v>
      </c>
      <c r="I550" s="1">
        <f>IF(H550 &lt; 0, 1 + I549, 0)</f>
        <v>0</v>
      </c>
      <c r="J550" s="1">
        <f>C550-((ABS(SUM(PL!E550:H550)))*0.125)</f>
        <v>0</v>
      </c>
      <c r="K550" s="1">
        <f>D550-((ABS(SUM(PL!I550:L550)))*0.125)</f>
        <v>0</v>
      </c>
      <c r="L550" s="1">
        <f>J550 + K550</f>
        <v>0</v>
      </c>
      <c r="M550" s="1">
        <f>IF(J550 + M549 &lt; 0, J550 + M549, 0)</f>
        <v>0</v>
      </c>
      <c r="N550" s="1">
        <f>IF(K550 + N549 &lt; 0, K550 + N549, 0)</f>
        <v>0</v>
      </c>
      <c r="O550" s="1">
        <f>IF(L550 + O549 &lt; 0, L550 + O549, 0)</f>
        <v>0</v>
      </c>
      <c r="P550" s="1">
        <f>IF(O550 &lt; 0, 1 + P549, 0)</f>
        <v>0</v>
      </c>
      <c r="Q550" s="1">
        <f>IF(E550&lt;0,1,0)</f>
        <v>0</v>
      </c>
      <c r="R550" s="1">
        <f>IF(Q550=1,E550,0)</f>
        <v>0</v>
      </c>
      <c r="S550" s="1">
        <f>IF(E550&gt;0,1,0)</f>
        <v>0</v>
      </c>
      <c r="T550" s="1">
        <f>IF(S550=1,E550,0)</f>
        <v>0</v>
      </c>
      <c r="U550" s="1">
        <f>IF(R550&lt;-100000000/100,1,0)</f>
        <v>0</v>
      </c>
      <c r="V550" s="1">
        <f>IF(T550&gt;100000000/100,1,0)</f>
        <v>0</v>
      </c>
      <c r="W550" s="1">
        <f>IF(L550&lt;0,1,0)</f>
        <v>0</v>
      </c>
      <c r="X550" s="1">
        <f>IF(W550=1,L550,0)</f>
        <v>0</v>
      </c>
      <c r="Y550" s="1">
        <f>IF(L550&gt;0,1,0)</f>
        <v>0</v>
      </c>
      <c r="Z550" s="1">
        <f>IF(Y550=1,L550,0)</f>
        <v>0</v>
      </c>
      <c r="AA550" s="1">
        <f>IF(X550&lt;-100000000/100,1,0)</f>
        <v>0</v>
      </c>
      <c r="AB550" s="1">
        <f>IF(Z550&gt;100000000/100,1,0)</f>
        <v>0</v>
      </c>
    </row>
    <row r="551" spans="1:28" s="1" customFormat="1">
      <c r="A551" s="3">
        <v>45789</v>
      </c>
      <c r="B551" s="2" t="s">
        <v>12</v>
      </c>
      <c r="C551" s="1">
        <f>SUM(PL!E551:H551)</f>
        <v>0</v>
      </c>
      <c r="D551" s="1">
        <f>SUM(PL!I551:L551)</f>
        <v>0</v>
      </c>
      <c r="E551" s="1">
        <f>SUM(C551:D551)</f>
        <v>0</v>
      </c>
      <c r="F551" s="1">
        <f>IF(C551 + F550 &lt; 0, C551 + F550, 0)</f>
        <v>0</v>
      </c>
      <c r="G551" s="1">
        <f>IF(D551 + G550 &lt; 0, D551 + G550, 0)</f>
        <v>0</v>
      </c>
      <c r="H551" s="1">
        <f>IF(E551 + H550 &lt; 0, E551 + H550, 0)</f>
        <v>0</v>
      </c>
      <c r="I551" s="1">
        <f>IF(H551 &lt; 0, 1 + I550, 0)</f>
        <v>0</v>
      </c>
      <c r="J551" s="1">
        <f>C551-((ABS(SUM(PL!E551:H551)))*0.125)</f>
        <v>0</v>
      </c>
      <c r="K551" s="1">
        <f>D551-((ABS(SUM(PL!I551:L551)))*0.125)</f>
        <v>0</v>
      </c>
      <c r="L551" s="1">
        <f>J551 + K551</f>
        <v>0</v>
      </c>
      <c r="M551" s="1">
        <f>IF(J551 + M550 &lt; 0, J551 + M550, 0)</f>
        <v>0</v>
      </c>
      <c r="N551" s="1">
        <f>IF(K551 + N550 &lt; 0, K551 + N550, 0)</f>
        <v>0</v>
      </c>
      <c r="O551" s="1">
        <f>IF(L551 + O550 &lt; 0, L551 + O550, 0)</f>
        <v>0</v>
      </c>
      <c r="P551" s="1">
        <f>IF(O551 &lt; 0, 1 + P550, 0)</f>
        <v>0</v>
      </c>
      <c r="Q551" s="1">
        <f>IF(E551&lt;0,1,0)</f>
        <v>0</v>
      </c>
      <c r="R551" s="1">
        <f>IF(Q551=1,E551,0)</f>
        <v>0</v>
      </c>
      <c r="S551" s="1">
        <f>IF(E551&gt;0,1,0)</f>
        <v>0</v>
      </c>
      <c r="T551" s="1">
        <f>IF(S551=1,E551,0)</f>
        <v>0</v>
      </c>
      <c r="U551" s="1">
        <f>IF(R551&lt;-100000000/100,1,0)</f>
        <v>0</v>
      </c>
      <c r="V551" s="1">
        <f>IF(T551&gt;100000000/100,1,0)</f>
        <v>0</v>
      </c>
      <c r="W551" s="1">
        <f>IF(L551&lt;0,1,0)</f>
        <v>0</v>
      </c>
      <c r="X551" s="1">
        <f>IF(W551=1,L551,0)</f>
        <v>0</v>
      </c>
      <c r="Y551" s="1">
        <f>IF(L551&gt;0,1,0)</f>
        <v>0</v>
      </c>
      <c r="Z551" s="1">
        <f>IF(Y551=1,L551,0)</f>
        <v>0</v>
      </c>
      <c r="AA551" s="1">
        <f>IF(X551&lt;-100000000/100,1,0)</f>
        <v>0</v>
      </c>
      <c r="AB551" s="1">
        <f>IF(Z551&gt;100000000/100,1,0)</f>
        <v>0</v>
      </c>
    </row>
    <row r="552" spans="1:28" s="1" customFormat="1">
      <c r="A552" s="3">
        <v>45790</v>
      </c>
      <c r="B552" s="2" t="s">
        <v>13</v>
      </c>
      <c r="C552" s="1">
        <f>SUM(PL!E552:H552)</f>
        <v>0</v>
      </c>
      <c r="D552" s="1">
        <f>SUM(PL!I552:L552)</f>
        <v>0</v>
      </c>
      <c r="E552" s="1">
        <f>SUM(C552:D552)</f>
        <v>0</v>
      </c>
      <c r="F552" s="1">
        <f>IF(C552 + F551 &lt; 0, C552 + F551, 0)</f>
        <v>0</v>
      </c>
      <c r="G552" s="1">
        <f>IF(D552 + G551 &lt; 0, D552 + G551, 0)</f>
        <v>0</v>
      </c>
      <c r="H552" s="1">
        <f>IF(E552 + H551 &lt; 0, E552 + H551, 0)</f>
        <v>0</v>
      </c>
      <c r="I552" s="1">
        <f>IF(H552 &lt; 0, 1 + I551, 0)</f>
        <v>0</v>
      </c>
      <c r="J552" s="1">
        <f>C552-((ABS(SUM(PL!E552:H552)))*0.125)</f>
        <v>0</v>
      </c>
      <c r="K552" s="1">
        <f>D552-((ABS(SUM(PL!I552:L552)))*0.125)</f>
        <v>0</v>
      </c>
      <c r="L552" s="1">
        <f>J552 + K552</f>
        <v>0</v>
      </c>
      <c r="M552" s="1">
        <f>IF(J552 + M551 &lt; 0, J552 + M551, 0)</f>
        <v>0</v>
      </c>
      <c r="N552" s="1">
        <f>IF(K552 + N551 &lt; 0, K552 + N551, 0)</f>
        <v>0</v>
      </c>
      <c r="O552" s="1">
        <f>IF(L552 + O551 &lt; 0, L552 + O551, 0)</f>
        <v>0</v>
      </c>
      <c r="P552" s="1">
        <f>IF(O552 &lt; 0, 1 + P551, 0)</f>
        <v>0</v>
      </c>
      <c r="Q552" s="1">
        <f>IF(E552&lt;0,1,0)</f>
        <v>0</v>
      </c>
      <c r="R552" s="1">
        <f>IF(Q552=1,E552,0)</f>
        <v>0</v>
      </c>
      <c r="S552" s="1">
        <f>IF(E552&gt;0,1,0)</f>
        <v>0</v>
      </c>
      <c r="T552" s="1">
        <f>IF(S552=1,E552,0)</f>
        <v>0</v>
      </c>
      <c r="U552" s="1">
        <f>IF(R552&lt;-100000000/100,1,0)</f>
        <v>0</v>
      </c>
      <c r="V552" s="1">
        <f>IF(T552&gt;100000000/100,1,0)</f>
        <v>0</v>
      </c>
      <c r="W552" s="1">
        <f>IF(L552&lt;0,1,0)</f>
        <v>0</v>
      </c>
      <c r="X552" s="1">
        <f>IF(W552=1,L552,0)</f>
        <v>0</v>
      </c>
      <c r="Y552" s="1">
        <f>IF(L552&gt;0,1,0)</f>
        <v>0</v>
      </c>
      <c r="Z552" s="1">
        <f>IF(Y552=1,L552,0)</f>
        <v>0</v>
      </c>
      <c r="AA552" s="1">
        <f>IF(X552&lt;-100000000/100,1,0)</f>
        <v>0</v>
      </c>
      <c r="AB552" s="1">
        <f>IF(Z552&gt;100000000/100,1,0)</f>
        <v>0</v>
      </c>
    </row>
    <row r="553" spans="1:28" s="1" customFormat="1">
      <c r="A553" s="3">
        <v>45791</v>
      </c>
      <c r="B553" s="2" t="s">
        <v>14</v>
      </c>
      <c r="C553" s="1">
        <f>SUM(PL!E553:H553)</f>
        <v>0</v>
      </c>
      <c r="D553" s="1">
        <f>SUM(PL!I553:L553)</f>
        <v>0</v>
      </c>
      <c r="E553" s="1">
        <f>SUM(C553:D553)</f>
        <v>0</v>
      </c>
      <c r="F553" s="1">
        <f>IF(C553 + F552 &lt; 0, C553 + F552, 0)</f>
        <v>0</v>
      </c>
      <c r="G553" s="1">
        <f>IF(D553 + G552 &lt; 0, D553 + G552, 0)</f>
        <v>0</v>
      </c>
      <c r="H553" s="1">
        <f>IF(E553 + H552 &lt; 0, E553 + H552, 0)</f>
        <v>0</v>
      </c>
      <c r="I553" s="1">
        <f>IF(H553 &lt; 0, 1 + I552, 0)</f>
        <v>0</v>
      </c>
      <c r="J553" s="1">
        <f>C553-((ABS(SUM(PL!E553:H553)))*0.125)</f>
        <v>0</v>
      </c>
      <c r="K553" s="1">
        <f>D553-((ABS(SUM(PL!I553:L553)))*0.125)</f>
        <v>0</v>
      </c>
      <c r="L553" s="1">
        <f>J553 + K553</f>
        <v>0</v>
      </c>
      <c r="M553" s="1">
        <f>IF(J553 + M552 &lt; 0, J553 + M552, 0)</f>
        <v>0</v>
      </c>
      <c r="N553" s="1">
        <f>IF(K553 + N552 &lt; 0, K553 + N552, 0)</f>
        <v>0</v>
      </c>
      <c r="O553" s="1">
        <f>IF(L553 + O552 &lt; 0, L553 + O552, 0)</f>
        <v>0</v>
      </c>
      <c r="P553" s="1">
        <f>IF(O553 &lt; 0, 1 + P552, 0)</f>
        <v>0</v>
      </c>
      <c r="Q553" s="1">
        <f>IF(E553&lt;0,1,0)</f>
        <v>0</v>
      </c>
      <c r="R553" s="1">
        <f>IF(Q553=1,E553,0)</f>
        <v>0</v>
      </c>
      <c r="S553" s="1">
        <f>IF(E553&gt;0,1,0)</f>
        <v>0</v>
      </c>
      <c r="T553" s="1">
        <f>IF(S553=1,E553,0)</f>
        <v>0</v>
      </c>
      <c r="U553" s="1">
        <f>IF(R553&lt;-100000000/100,1,0)</f>
        <v>0</v>
      </c>
      <c r="V553" s="1">
        <f>IF(T553&gt;100000000/100,1,0)</f>
        <v>0</v>
      </c>
      <c r="W553" s="1">
        <f>IF(L553&lt;0,1,0)</f>
        <v>0</v>
      </c>
      <c r="X553" s="1">
        <f>IF(W553=1,L553,0)</f>
        <v>0</v>
      </c>
      <c r="Y553" s="1">
        <f>IF(L553&gt;0,1,0)</f>
        <v>0</v>
      </c>
      <c r="Z553" s="1">
        <f>IF(Y553=1,L553,0)</f>
        <v>0</v>
      </c>
      <c r="AA553" s="1">
        <f>IF(X553&lt;-100000000/100,1,0)</f>
        <v>0</v>
      </c>
      <c r="AB553" s="1">
        <f>IF(Z553&gt;100000000/100,1,0)</f>
        <v>0</v>
      </c>
    </row>
    <row r="554" spans="1:28" s="1" customFormat="1">
      <c r="A554" s="3">
        <v>45792</v>
      </c>
      <c r="B554" s="2" t="s">
        <v>16</v>
      </c>
      <c r="C554" s="1">
        <f>SUM(PL!E554:H554)</f>
        <v>0</v>
      </c>
      <c r="D554" s="1">
        <f>SUM(PL!I554:L554)</f>
        <v>0</v>
      </c>
      <c r="E554" s="1">
        <f>SUM(C554:D554)</f>
        <v>0</v>
      </c>
      <c r="F554" s="1">
        <f>IF(C554 + F553 &lt; 0, C554 + F553, 0)</f>
        <v>0</v>
      </c>
      <c r="G554" s="1">
        <f>IF(D554 + G553 &lt; 0, D554 + G553, 0)</f>
        <v>0</v>
      </c>
      <c r="H554" s="1">
        <f>IF(E554 + H553 &lt; 0, E554 + H553, 0)</f>
        <v>0</v>
      </c>
      <c r="I554" s="1">
        <f>IF(H554 &lt; 0, 1 + I553, 0)</f>
        <v>0</v>
      </c>
      <c r="J554" s="1">
        <f>C554-((ABS(SUM(PL!E554:H554)))*0.125)</f>
        <v>0</v>
      </c>
      <c r="K554" s="1">
        <f>D554-((ABS(SUM(PL!I554:L554)))*0.125)</f>
        <v>0</v>
      </c>
      <c r="L554" s="1">
        <f>J554 + K554</f>
        <v>0</v>
      </c>
      <c r="M554" s="1">
        <f>IF(J554 + M553 &lt; 0, J554 + M553, 0)</f>
        <v>0</v>
      </c>
      <c r="N554" s="1">
        <f>IF(K554 + N553 &lt; 0, K554 + N553, 0)</f>
        <v>0</v>
      </c>
      <c r="O554" s="1">
        <f>IF(L554 + O553 &lt; 0, L554 + O553, 0)</f>
        <v>0</v>
      </c>
      <c r="P554" s="1">
        <f>IF(O554 &lt; 0, 1 + P553, 0)</f>
        <v>0</v>
      </c>
      <c r="Q554" s="1">
        <f>IF(E554&lt;0,1,0)</f>
        <v>0</v>
      </c>
      <c r="R554" s="1">
        <f>IF(Q554=1,E554,0)</f>
        <v>0</v>
      </c>
      <c r="S554" s="1">
        <f>IF(E554&gt;0,1,0)</f>
        <v>0</v>
      </c>
      <c r="T554" s="1">
        <f>IF(S554=1,E554,0)</f>
        <v>0</v>
      </c>
      <c r="U554" s="1">
        <f>IF(R554&lt;-100000000/100,1,0)</f>
        <v>0</v>
      </c>
      <c r="V554" s="1">
        <f>IF(T554&gt;100000000/100,1,0)</f>
        <v>0</v>
      </c>
      <c r="W554" s="1">
        <f>IF(L554&lt;0,1,0)</f>
        <v>0</v>
      </c>
      <c r="X554" s="1">
        <f>IF(W554=1,L554,0)</f>
        <v>0</v>
      </c>
      <c r="Y554" s="1">
        <f>IF(L554&gt;0,1,0)</f>
        <v>0</v>
      </c>
      <c r="Z554" s="1">
        <f>IF(Y554=1,L554,0)</f>
        <v>0</v>
      </c>
      <c r="AA554" s="1">
        <f>IF(X554&lt;-100000000/100,1,0)</f>
        <v>0</v>
      </c>
      <c r="AB554" s="1">
        <f>IF(Z554&gt;100000000/100,1,0)</f>
        <v>0</v>
      </c>
    </row>
    <row r="555" spans="1:28" s="1" customFormat="1">
      <c r="A555" s="3">
        <v>45793</v>
      </c>
      <c r="B555" s="2" t="s">
        <v>15</v>
      </c>
      <c r="C555" s="1">
        <f>SUM(PL!E555:H555)</f>
        <v>0</v>
      </c>
      <c r="D555" s="1">
        <f>SUM(PL!I555:L555)</f>
        <v>0</v>
      </c>
      <c r="E555" s="1">
        <f>SUM(C555:D555)</f>
        <v>0</v>
      </c>
      <c r="F555" s="1">
        <f>IF(C555 + F554 &lt; 0, C555 + F554, 0)</f>
        <v>0</v>
      </c>
      <c r="G555" s="1">
        <f>IF(D555 + G554 &lt; 0, D555 + G554, 0)</f>
        <v>0</v>
      </c>
      <c r="H555" s="1">
        <f>IF(E555 + H554 &lt; 0, E555 + H554, 0)</f>
        <v>0</v>
      </c>
      <c r="I555" s="1">
        <f>IF(H555 &lt; 0, 1 + I554, 0)</f>
        <v>0</v>
      </c>
      <c r="J555" s="1">
        <f>C555-((ABS(SUM(PL!E555:H555)))*0.125)</f>
        <v>0</v>
      </c>
      <c r="K555" s="1">
        <f>D555-((ABS(SUM(PL!I555:L555)))*0.125)</f>
        <v>0</v>
      </c>
      <c r="L555" s="1">
        <f>J555 + K555</f>
        <v>0</v>
      </c>
      <c r="M555" s="1">
        <f>IF(J555 + M554 &lt; 0, J555 + M554, 0)</f>
        <v>0</v>
      </c>
      <c r="N555" s="1">
        <f>IF(K555 + N554 &lt; 0, K555 + N554, 0)</f>
        <v>0</v>
      </c>
      <c r="O555" s="1">
        <f>IF(L555 + O554 &lt; 0, L555 + O554, 0)</f>
        <v>0</v>
      </c>
      <c r="P555" s="1">
        <f>IF(O555 &lt; 0, 1 + P554, 0)</f>
        <v>0</v>
      </c>
      <c r="Q555" s="1">
        <f>IF(E555&lt;0,1,0)</f>
        <v>0</v>
      </c>
      <c r="R555" s="1">
        <f>IF(Q555=1,E555,0)</f>
        <v>0</v>
      </c>
      <c r="S555" s="1">
        <f>IF(E555&gt;0,1,0)</f>
        <v>0</v>
      </c>
      <c r="T555" s="1">
        <f>IF(S555=1,E555,0)</f>
        <v>0</v>
      </c>
      <c r="U555" s="1">
        <f>IF(R555&lt;-100000000/100,1,0)</f>
        <v>0</v>
      </c>
      <c r="V555" s="1">
        <f>IF(T555&gt;100000000/100,1,0)</f>
        <v>0</v>
      </c>
      <c r="W555" s="1">
        <f>IF(L555&lt;0,1,0)</f>
        <v>0</v>
      </c>
      <c r="X555" s="1">
        <f>IF(W555=1,L555,0)</f>
        <v>0</v>
      </c>
      <c r="Y555" s="1">
        <f>IF(L555&gt;0,1,0)</f>
        <v>0</v>
      </c>
      <c r="Z555" s="1">
        <f>IF(Y555=1,L555,0)</f>
        <v>0</v>
      </c>
      <c r="AA555" s="1">
        <f>IF(X555&lt;-100000000/100,1,0)</f>
        <v>0</v>
      </c>
      <c r="AB555" s="1">
        <f>IF(Z555&gt;100000000/100,1,0)</f>
        <v>0</v>
      </c>
    </row>
    <row r="556" spans="1:28" s="1" customFormat="1">
      <c r="A556" s="3">
        <v>45796</v>
      </c>
      <c r="B556" s="2" t="s">
        <v>12</v>
      </c>
      <c r="C556" s="1">
        <f>SUM(PL!E556:H556)</f>
        <v>0</v>
      </c>
      <c r="D556" s="1">
        <f>SUM(PL!I556:L556)</f>
        <v>0</v>
      </c>
      <c r="E556" s="1">
        <f>SUM(C556:D556)</f>
        <v>0</v>
      </c>
      <c r="F556" s="1">
        <f>IF(C556 + F555 &lt; 0, C556 + F555, 0)</f>
        <v>0</v>
      </c>
      <c r="G556" s="1">
        <f>IF(D556 + G555 &lt; 0, D556 + G555, 0)</f>
        <v>0</v>
      </c>
      <c r="H556" s="1">
        <f>IF(E556 + H555 &lt; 0, E556 + H555, 0)</f>
        <v>0</v>
      </c>
      <c r="I556" s="1">
        <f>IF(H556 &lt; 0, 1 + I555, 0)</f>
        <v>0</v>
      </c>
      <c r="J556" s="1">
        <f>C556-((ABS(SUM(PL!E556:H556)))*0.125)</f>
        <v>0</v>
      </c>
      <c r="K556" s="1">
        <f>D556-((ABS(SUM(PL!I556:L556)))*0.125)</f>
        <v>0</v>
      </c>
      <c r="L556" s="1">
        <f>J556 + K556</f>
        <v>0</v>
      </c>
      <c r="M556" s="1">
        <f>IF(J556 + M555 &lt; 0, J556 + M555, 0)</f>
        <v>0</v>
      </c>
      <c r="N556" s="1">
        <f>IF(K556 + N555 &lt; 0, K556 + N555, 0)</f>
        <v>0</v>
      </c>
      <c r="O556" s="1">
        <f>IF(L556 + O555 &lt; 0, L556 + O555, 0)</f>
        <v>0</v>
      </c>
      <c r="P556" s="1">
        <f>IF(O556 &lt; 0, 1 + P555, 0)</f>
        <v>0</v>
      </c>
      <c r="Q556" s="1">
        <f>IF(E556&lt;0,1,0)</f>
        <v>0</v>
      </c>
      <c r="R556" s="1">
        <f>IF(Q556=1,E556,0)</f>
        <v>0</v>
      </c>
      <c r="S556" s="1">
        <f>IF(E556&gt;0,1,0)</f>
        <v>0</v>
      </c>
      <c r="T556" s="1">
        <f>IF(S556=1,E556,0)</f>
        <v>0</v>
      </c>
      <c r="U556" s="1">
        <f>IF(R556&lt;-100000000/100,1,0)</f>
        <v>0</v>
      </c>
      <c r="V556" s="1">
        <f>IF(T556&gt;100000000/100,1,0)</f>
        <v>0</v>
      </c>
      <c r="W556" s="1">
        <f>IF(L556&lt;0,1,0)</f>
        <v>0</v>
      </c>
      <c r="X556" s="1">
        <f>IF(W556=1,L556,0)</f>
        <v>0</v>
      </c>
      <c r="Y556" s="1">
        <f>IF(L556&gt;0,1,0)</f>
        <v>0</v>
      </c>
      <c r="Z556" s="1">
        <f>IF(Y556=1,L556,0)</f>
        <v>0</v>
      </c>
      <c r="AA556" s="1">
        <f>IF(X556&lt;-100000000/100,1,0)</f>
        <v>0</v>
      </c>
      <c r="AB556" s="1">
        <f>IF(Z556&gt;100000000/100,1,0)</f>
        <v>0</v>
      </c>
    </row>
    <row r="557" spans="1:28" s="1" customFormat="1">
      <c r="A557" s="3">
        <v>45797</v>
      </c>
      <c r="B557" s="2" t="s">
        <v>13</v>
      </c>
      <c r="C557" s="1">
        <f>SUM(PL!E557:H557)</f>
        <v>0</v>
      </c>
      <c r="D557" s="1">
        <f>SUM(PL!I557:L557)</f>
        <v>0</v>
      </c>
      <c r="E557" s="1">
        <f>SUM(C557:D557)</f>
        <v>0</v>
      </c>
      <c r="F557" s="1">
        <f>IF(C557 + F556 &lt; 0, C557 + F556, 0)</f>
        <v>0</v>
      </c>
      <c r="G557" s="1">
        <f>IF(D557 + G556 &lt; 0, D557 + G556, 0)</f>
        <v>0</v>
      </c>
      <c r="H557" s="1">
        <f>IF(E557 + H556 &lt; 0, E557 + H556, 0)</f>
        <v>0</v>
      </c>
      <c r="I557" s="1">
        <f>IF(H557 &lt; 0, 1 + I556, 0)</f>
        <v>0</v>
      </c>
      <c r="J557" s="1">
        <f>C557-((ABS(SUM(PL!E557:H557)))*0.125)</f>
        <v>0</v>
      </c>
      <c r="K557" s="1">
        <f>D557-((ABS(SUM(PL!I557:L557)))*0.125)</f>
        <v>0</v>
      </c>
      <c r="L557" s="1">
        <f>J557 + K557</f>
        <v>0</v>
      </c>
      <c r="M557" s="1">
        <f>IF(J557 + M556 &lt; 0, J557 + M556, 0)</f>
        <v>0</v>
      </c>
      <c r="N557" s="1">
        <f>IF(K557 + N556 &lt; 0, K557 + N556, 0)</f>
        <v>0</v>
      </c>
      <c r="O557" s="1">
        <f>IF(L557 + O556 &lt; 0, L557 + O556, 0)</f>
        <v>0</v>
      </c>
      <c r="P557" s="1">
        <f>IF(O557 &lt; 0, 1 + P556, 0)</f>
        <v>0</v>
      </c>
      <c r="Q557" s="1">
        <f>IF(E557&lt;0,1,0)</f>
        <v>0</v>
      </c>
      <c r="R557" s="1">
        <f>IF(Q557=1,E557,0)</f>
        <v>0</v>
      </c>
      <c r="S557" s="1">
        <f>IF(E557&gt;0,1,0)</f>
        <v>0</v>
      </c>
      <c r="T557" s="1">
        <f>IF(S557=1,E557,0)</f>
        <v>0</v>
      </c>
      <c r="U557" s="1">
        <f>IF(R557&lt;-100000000/100,1,0)</f>
        <v>0</v>
      </c>
      <c r="V557" s="1">
        <f>IF(T557&gt;100000000/100,1,0)</f>
        <v>0</v>
      </c>
      <c r="W557" s="1">
        <f>IF(L557&lt;0,1,0)</f>
        <v>0</v>
      </c>
      <c r="X557" s="1">
        <f>IF(W557=1,L557,0)</f>
        <v>0</v>
      </c>
      <c r="Y557" s="1">
        <f>IF(L557&gt;0,1,0)</f>
        <v>0</v>
      </c>
      <c r="Z557" s="1">
        <f>IF(Y557=1,L557,0)</f>
        <v>0</v>
      </c>
      <c r="AA557" s="1">
        <f>IF(X557&lt;-100000000/100,1,0)</f>
        <v>0</v>
      </c>
      <c r="AB557" s="1">
        <f>IF(Z557&gt;100000000/100,1,0)</f>
        <v>0</v>
      </c>
    </row>
    <row r="558" spans="1:28" s="1" customFormat="1">
      <c r="A558" s="3">
        <v>45798</v>
      </c>
      <c r="B558" s="2" t="s">
        <v>14</v>
      </c>
      <c r="C558" s="1">
        <f>SUM(PL!E558:H558)</f>
        <v>0</v>
      </c>
      <c r="D558" s="1">
        <f>SUM(PL!I558:L558)</f>
        <v>0</v>
      </c>
      <c r="E558" s="1">
        <f>SUM(C558:D558)</f>
        <v>0</v>
      </c>
      <c r="F558" s="1">
        <f>IF(C558 + F557 &lt; 0, C558 + F557, 0)</f>
        <v>0</v>
      </c>
      <c r="G558" s="1">
        <f>IF(D558 + G557 &lt; 0, D558 + G557, 0)</f>
        <v>0</v>
      </c>
      <c r="H558" s="1">
        <f>IF(E558 + H557 &lt; 0, E558 + H557, 0)</f>
        <v>0</v>
      </c>
      <c r="I558" s="1">
        <f>IF(H558 &lt; 0, 1 + I557, 0)</f>
        <v>0</v>
      </c>
      <c r="J558" s="1">
        <f>C558-((ABS(SUM(PL!E558:H558)))*0.125)</f>
        <v>0</v>
      </c>
      <c r="K558" s="1">
        <f>D558-((ABS(SUM(PL!I558:L558)))*0.125)</f>
        <v>0</v>
      </c>
      <c r="L558" s="1">
        <f>J558 + K558</f>
        <v>0</v>
      </c>
      <c r="M558" s="1">
        <f>IF(J558 + M557 &lt; 0, J558 + M557, 0)</f>
        <v>0</v>
      </c>
      <c r="N558" s="1">
        <f>IF(K558 + N557 &lt; 0, K558 + N557, 0)</f>
        <v>0</v>
      </c>
      <c r="O558" s="1">
        <f>IF(L558 + O557 &lt; 0, L558 + O557, 0)</f>
        <v>0</v>
      </c>
      <c r="P558" s="1">
        <f>IF(O558 &lt; 0, 1 + P557, 0)</f>
        <v>0</v>
      </c>
      <c r="Q558" s="1">
        <f>IF(E558&lt;0,1,0)</f>
        <v>0</v>
      </c>
      <c r="R558" s="1">
        <f>IF(Q558=1,E558,0)</f>
        <v>0</v>
      </c>
      <c r="S558" s="1">
        <f>IF(E558&gt;0,1,0)</f>
        <v>0</v>
      </c>
      <c r="T558" s="1">
        <f>IF(S558=1,E558,0)</f>
        <v>0</v>
      </c>
      <c r="U558" s="1">
        <f>IF(R558&lt;-100000000/100,1,0)</f>
        <v>0</v>
      </c>
      <c r="V558" s="1">
        <f>IF(T558&gt;100000000/100,1,0)</f>
        <v>0</v>
      </c>
      <c r="W558" s="1">
        <f>IF(L558&lt;0,1,0)</f>
        <v>0</v>
      </c>
      <c r="X558" s="1">
        <f>IF(W558=1,L558,0)</f>
        <v>0</v>
      </c>
      <c r="Y558" s="1">
        <f>IF(L558&gt;0,1,0)</f>
        <v>0</v>
      </c>
      <c r="Z558" s="1">
        <f>IF(Y558=1,L558,0)</f>
        <v>0</v>
      </c>
      <c r="AA558" s="1">
        <f>IF(X558&lt;-100000000/100,1,0)</f>
        <v>0</v>
      </c>
      <c r="AB558" s="1">
        <f>IF(Z558&gt;100000000/100,1,0)</f>
        <v>0</v>
      </c>
    </row>
    <row r="559" spans="1:28" s="1" customFormat="1">
      <c r="A559" s="3">
        <v>45799</v>
      </c>
      <c r="B559" s="2" t="s">
        <v>16</v>
      </c>
      <c r="C559" s="1">
        <f>SUM(PL!E559:H559)</f>
        <v>0</v>
      </c>
      <c r="D559" s="1">
        <f>SUM(PL!I559:L559)</f>
        <v>0</v>
      </c>
      <c r="E559" s="1">
        <f>SUM(C559:D559)</f>
        <v>0</v>
      </c>
      <c r="F559" s="1">
        <f>IF(C559 + F558 &lt; 0, C559 + F558, 0)</f>
        <v>0</v>
      </c>
      <c r="G559" s="1">
        <f>IF(D559 + G558 &lt; 0, D559 + G558, 0)</f>
        <v>0</v>
      </c>
      <c r="H559" s="1">
        <f>IF(E559 + H558 &lt; 0, E559 + H558, 0)</f>
        <v>0</v>
      </c>
      <c r="I559" s="1">
        <f>IF(H559 &lt; 0, 1 + I558, 0)</f>
        <v>0</v>
      </c>
      <c r="J559" s="1">
        <f>C559-((ABS(SUM(PL!E559:H559)))*0.125)</f>
        <v>0</v>
      </c>
      <c r="K559" s="1">
        <f>D559-((ABS(SUM(PL!I559:L559)))*0.125)</f>
        <v>0</v>
      </c>
      <c r="L559" s="1">
        <f>J559 + K559</f>
        <v>0</v>
      </c>
      <c r="M559" s="1">
        <f>IF(J559 + M558 &lt; 0, J559 + M558, 0)</f>
        <v>0</v>
      </c>
      <c r="N559" s="1">
        <f>IF(K559 + N558 &lt; 0, K559 + N558, 0)</f>
        <v>0</v>
      </c>
      <c r="O559" s="1">
        <f>IF(L559 + O558 &lt; 0, L559 + O558, 0)</f>
        <v>0</v>
      </c>
      <c r="P559" s="1">
        <f>IF(O559 &lt; 0, 1 + P558, 0)</f>
        <v>0</v>
      </c>
      <c r="Q559" s="1">
        <f>IF(E559&lt;0,1,0)</f>
        <v>0</v>
      </c>
      <c r="R559" s="1">
        <f>IF(Q559=1,E559,0)</f>
        <v>0</v>
      </c>
      <c r="S559" s="1">
        <f>IF(E559&gt;0,1,0)</f>
        <v>0</v>
      </c>
      <c r="T559" s="1">
        <f>IF(S559=1,E559,0)</f>
        <v>0</v>
      </c>
      <c r="U559" s="1">
        <f>IF(R559&lt;-100000000/100,1,0)</f>
        <v>0</v>
      </c>
      <c r="V559" s="1">
        <f>IF(T559&gt;100000000/100,1,0)</f>
        <v>0</v>
      </c>
      <c r="W559" s="1">
        <f>IF(L559&lt;0,1,0)</f>
        <v>0</v>
      </c>
      <c r="X559" s="1">
        <f>IF(W559=1,L559,0)</f>
        <v>0</v>
      </c>
      <c r="Y559" s="1">
        <f>IF(L559&gt;0,1,0)</f>
        <v>0</v>
      </c>
      <c r="Z559" s="1">
        <f>IF(Y559=1,L559,0)</f>
        <v>0</v>
      </c>
      <c r="AA559" s="1">
        <f>IF(X559&lt;-100000000/100,1,0)</f>
        <v>0</v>
      </c>
      <c r="AB559" s="1">
        <f>IF(Z559&gt;100000000/100,1,0)</f>
        <v>0</v>
      </c>
    </row>
    <row r="560" spans="1:28" s="1" customFormat="1">
      <c r="A560" s="3">
        <v>45800</v>
      </c>
      <c r="B560" s="2" t="s">
        <v>15</v>
      </c>
      <c r="C560" s="1">
        <f>SUM(PL!E560:H560)</f>
        <v>0</v>
      </c>
      <c r="D560" s="1">
        <f>SUM(PL!I560:L560)</f>
        <v>0</v>
      </c>
      <c r="E560" s="1">
        <f>SUM(C560:D560)</f>
        <v>0</v>
      </c>
      <c r="F560" s="1">
        <f>IF(C560 + F559 &lt; 0, C560 + F559, 0)</f>
        <v>0</v>
      </c>
      <c r="G560" s="1">
        <f>IF(D560 + G559 &lt; 0, D560 + G559, 0)</f>
        <v>0</v>
      </c>
      <c r="H560" s="1">
        <f>IF(E560 + H559 &lt; 0, E560 + H559, 0)</f>
        <v>0</v>
      </c>
      <c r="I560" s="1">
        <f>IF(H560 &lt; 0, 1 + I559, 0)</f>
        <v>0</v>
      </c>
      <c r="J560" s="1">
        <f>C560-((ABS(SUM(PL!E560:H560)))*0.125)</f>
        <v>0</v>
      </c>
      <c r="K560" s="1">
        <f>D560-((ABS(SUM(PL!I560:L560)))*0.125)</f>
        <v>0</v>
      </c>
      <c r="L560" s="1">
        <f>J560 + K560</f>
        <v>0</v>
      </c>
      <c r="M560" s="1">
        <f>IF(J560 + M559 &lt; 0, J560 + M559, 0)</f>
        <v>0</v>
      </c>
      <c r="N560" s="1">
        <f>IF(K560 + N559 &lt; 0, K560 + N559, 0)</f>
        <v>0</v>
      </c>
      <c r="O560" s="1">
        <f>IF(L560 + O559 &lt; 0, L560 + O559, 0)</f>
        <v>0</v>
      </c>
      <c r="P560" s="1">
        <f>IF(O560 &lt; 0, 1 + P559, 0)</f>
        <v>0</v>
      </c>
      <c r="Q560" s="1">
        <f>IF(E560&lt;0,1,0)</f>
        <v>0</v>
      </c>
      <c r="R560" s="1">
        <f>IF(Q560=1,E560,0)</f>
        <v>0</v>
      </c>
      <c r="S560" s="1">
        <f>IF(E560&gt;0,1,0)</f>
        <v>0</v>
      </c>
      <c r="T560" s="1">
        <f>IF(S560=1,E560,0)</f>
        <v>0</v>
      </c>
      <c r="U560" s="1">
        <f>IF(R560&lt;-100000000/100,1,0)</f>
        <v>0</v>
      </c>
      <c r="V560" s="1">
        <f>IF(T560&gt;100000000/100,1,0)</f>
        <v>0</v>
      </c>
      <c r="W560" s="1">
        <f>IF(L560&lt;0,1,0)</f>
        <v>0</v>
      </c>
      <c r="X560" s="1">
        <f>IF(W560=1,L560,0)</f>
        <v>0</v>
      </c>
      <c r="Y560" s="1">
        <f>IF(L560&gt;0,1,0)</f>
        <v>0</v>
      </c>
      <c r="Z560" s="1">
        <f>IF(Y560=1,L560,0)</f>
        <v>0</v>
      </c>
      <c r="AA560" s="1">
        <f>IF(X560&lt;-100000000/100,1,0)</f>
        <v>0</v>
      </c>
      <c r="AB560" s="1">
        <f>IF(Z560&gt;100000000/100,1,0)</f>
        <v>0</v>
      </c>
    </row>
    <row r="561" spans="1:28" s="1" customFormat="1">
      <c r="A561" s="3">
        <v>45803</v>
      </c>
      <c r="B561" s="2" t="s">
        <v>12</v>
      </c>
      <c r="C561" s="1">
        <f>SUM(PL!E561:H561)</f>
        <v>0</v>
      </c>
      <c r="D561" s="1">
        <f>SUM(PL!I561:L561)</f>
        <v>0</v>
      </c>
      <c r="E561" s="1">
        <f>SUM(C561:D561)</f>
        <v>0</v>
      </c>
      <c r="F561" s="1">
        <f>IF(C561 + F560 &lt; 0, C561 + F560, 0)</f>
        <v>0</v>
      </c>
      <c r="G561" s="1">
        <f>IF(D561 + G560 &lt; 0, D561 + G560, 0)</f>
        <v>0</v>
      </c>
      <c r="H561" s="1">
        <f>IF(E561 + H560 &lt; 0, E561 + H560, 0)</f>
        <v>0</v>
      </c>
      <c r="I561" s="1">
        <f>IF(H561 &lt; 0, 1 + I560, 0)</f>
        <v>0</v>
      </c>
      <c r="J561" s="1">
        <f>C561-((ABS(SUM(PL!E561:H561)))*0.125)</f>
        <v>0</v>
      </c>
      <c r="K561" s="1">
        <f>D561-((ABS(SUM(PL!I561:L561)))*0.125)</f>
        <v>0</v>
      </c>
      <c r="L561" s="1">
        <f>J561 + K561</f>
        <v>0</v>
      </c>
      <c r="M561" s="1">
        <f>IF(J561 + M560 &lt; 0, J561 + M560, 0)</f>
        <v>0</v>
      </c>
      <c r="N561" s="1">
        <f>IF(K561 + N560 &lt; 0, K561 + N560, 0)</f>
        <v>0</v>
      </c>
      <c r="O561" s="1">
        <f>IF(L561 + O560 &lt; 0, L561 + O560, 0)</f>
        <v>0</v>
      </c>
      <c r="P561" s="1">
        <f>IF(O561 &lt; 0, 1 + P560, 0)</f>
        <v>0</v>
      </c>
      <c r="Q561" s="1">
        <f>IF(E561&lt;0,1,0)</f>
        <v>0</v>
      </c>
      <c r="R561" s="1">
        <f>IF(Q561=1,E561,0)</f>
        <v>0</v>
      </c>
      <c r="S561" s="1">
        <f>IF(E561&gt;0,1,0)</f>
        <v>0</v>
      </c>
      <c r="T561" s="1">
        <f>IF(S561=1,E561,0)</f>
        <v>0</v>
      </c>
      <c r="U561" s="1">
        <f>IF(R561&lt;-100000000/100,1,0)</f>
        <v>0</v>
      </c>
      <c r="V561" s="1">
        <f>IF(T561&gt;100000000/100,1,0)</f>
        <v>0</v>
      </c>
      <c r="W561" s="1">
        <f>IF(L561&lt;0,1,0)</f>
        <v>0</v>
      </c>
      <c r="X561" s="1">
        <f>IF(W561=1,L561,0)</f>
        <v>0</v>
      </c>
      <c r="Y561" s="1">
        <f>IF(L561&gt;0,1,0)</f>
        <v>0</v>
      </c>
      <c r="Z561" s="1">
        <f>IF(Y561=1,L561,0)</f>
        <v>0</v>
      </c>
      <c r="AA561" s="1">
        <f>IF(X561&lt;-100000000/100,1,0)</f>
        <v>0</v>
      </c>
      <c r="AB561" s="1">
        <f>IF(Z561&gt;100000000/100,1,0)</f>
        <v>0</v>
      </c>
    </row>
    <row r="562" spans="1:28" s="1" customFormat="1">
      <c r="A562" s="3">
        <v>45804</v>
      </c>
      <c r="B562" s="2" t="s">
        <v>13</v>
      </c>
      <c r="C562" s="1">
        <f>SUM(PL!E562:H562)</f>
        <v>0</v>
      </c>
      <c r="D562" s="1">
        <f>SUM(PL!I562:L562)</f>
        <v>0</v>
      </c>
      <c r="E562" s="1">
        <f>SUM(C562:D562)</f>
        <v>0</v>
      </c>
      <c r="F562" s="1">
        <f>IF(C562 + F561 &lt; 0, C562 + F561, 0)</f>
        <v>0</v>
      </c>
      <c r="G562" s="1">
        <f>IF(D562 + G561 &lt; 0, D562 + G561, 0)</f>
        <v>0</v>
      </c>
      <c r="H562" s="1">
        <f>IF(E562 + H561 &lt; 0, E562 + H561, 0)</f>
        <v>0</v>
      </c>
      <c r="I562" s="1">
        <f>IF(H562 &lt; 0, 1 + I561, 0)</f>
        <v>0</v>
      </c>
      <c r="J562" s="1">
        <f>C562-((ABS(SUM(PL!E562:H562)))*0.125)</f>
        <v>0</v>
      </c>
      <c r="K562" s="1">
        <f>D562-((ABS(SUM(PL!I562:L562)))*0.125)</f>
        <v>0</v>
      </c>
      <c r="L562" s="1">
        <f>J562 + K562</f>
        <v>0</v>
      </c>
      <c r="M562" s="1">
        <f>IF(J562 + M561 &lt; 0, J562 + M561, 0)</f>
        <v>0</v>
      </c>
      <c r="N562" s="1">
        <f>IF(K562 + N561 &lt; 0, K562 + N561, 0)</f>
        <v>0</v>
      </c>
      <c r="O562" s="1">
        <f>IF(L562 + O561 &lt; 0, L562 + O561, 0)</f>
        <v>0</v>
      </c>
      <c r="P562" s="1">
        <f>IF(O562 &lt; 0, 1 + P561, 0)</f>
        <v>0</v>
      </c>
      <c r="Q562" s="1">
        <f>IF(E562&lt;0,1,0)</f>
        <v>0</v>
      </c>
      <c r="R562" s="1">
        <f>IF(Q562=1,E562,0)</f>
        <v>0</v>
      </c>
      <c r="S562" s="1">
        <f>IF(E562&gt;0,1,0)</f>
        <v>0</v>
      </c>
      <c r="T562" s="1">
        <f>IF(S562=1,E562,0)</f>
        <v>0</v>
      </c>
      <c r="U562" s="1">
        <f>IF(R562&lt;-100000000/100,1,0)</f>
        <v>0</v>
      </c>
      <c r="V562" s="1">
        <f>IF(T562&gt;100000000/100,1,0)</f>
        <v>0</v>
      </c>
      <c r="W562" s="1">
        <f>IF(L562&lt;0,1,0)</f>
        <v>0</v>
      </c>
      <c r="X562" s="1">
        <f>IF(W562=1,L562,0)</f>
        <v>0</v>
      </c>
      <c r="Y562" s="1">
        <f>IF(L562&gt;0,1,0)</f>
        <v>0</v>
      </c>
      <c r="Z562" s="1">
        <f>IF(Y562=1,L562,0)</f>
        <v>0</v>
      </c>
      <c r="AA562" s="1">
        <f>IF(X562&lt;-100000000/100,1,0)</f>
        <v>0</v>
      </c>
      <c r="AB562" s="1">
        <f>IF(Z562&gt;100000000/100,1,0)</f>
        <v>0</v>
      </c>
    </row>
    <row r="563" spans="1:28" s="1" customFormat="1">
      <c r="A563" s="3">
        <v>45805</v>
      </c>
      <c r="B563" s="2" t="s">
        <v>14</v>
      </c>
      <c r="C563" s="1">
        <f>SUM(PL!E563:H563)</f>
        <v>0</v>
      </c>
      <c r="D563" s="1">
        <f>SUM(PL!I563:L563)</f>
        <v>0</v>
      </c>
      <c r="E563" s="1">
        <f>SUM(C563:D563)</f>
        <v>0</v>
      </c>
      <c r="F563" s="1">
        <f>IF(C563 + F562 &lt; 0, C563 + F562, 0)</f>
        <v>0</v>
      </c>
      <c r="G563" s="1">
        <f>IF(D563 + G562 &lt; 0, D563 + G562, 0)</f>
        <v>0</v>
      </c>
      <c r="H563" s="1">
        <f>IF(E563 + H562 &lt; 0, E563 + H562, 0)</f>
        <v>0</v>
      </c>
      <c r="I563" s="1">
        <f>IF(H563 &lt; 0, 1 + I562, 0)</f>
        <v>0</v>
      </c>
      <c r="J563" s="1">
        <f>C563-((ABS(SUM(PL!E563:H563)))*0.125)</f>
        <v>0</v>
      </c>
      <c r="K563" s="1">
        <f>D563-((ABS(SUM(PL!I563:L563)))*0.125)</f>
        <v>0</v>
      </c>
      <c r="L563" s="1">
        <f>J563 + K563</f>
        <v>0</v>
      </c>
      <c r="M563" s="1">
        <f>IF(J563 + M562 &lt; 0, J563 + M562, 0)</f>
        <v>0</v>
      </c>
      <c r="N563" s="1">
        <f>IF(K563 + N562 &lt; 0, K563 + N562, 0)</f>
        <v>0</v>
      </c>
      <c r="O563" s="1">
        <f>IF(L563 + O562 &lt; 0, L563 + O562, 0)</f>
        <v>0</v>
      </c>
      <c r="P563" s="1">
        <f>IF(O563 &lt; 0, 1 + P562, 0)</f>
        <v>0</v>
      </c>
      <c r="Q563" s="1">
        <f>IF(E563&lt;0,1,0)</f>
        <v>0</v>
      </c>
      <c r="R563" s="1">
        <f>IF(Q563=1,E563,0)</f>
        <v>0</v>
      </c>
      <c r="S563" s="1">
        <f>IF(E563&gt;0,1,0)</f>
        <v>0</v>
      </c>
      <c r="T563" s="1">
        <f>IF(S563=1,E563,0)</f>
        <v>0</v>
      </c>
      <c r="U563" s="1">
        <f>IF(R563&lt;-100000000/100,1,0)</f>
        <v>0</v>
      </c>
      <c r="V563" s="1">
        <f>IF(T563&gt;100000000/100,1,0)</f>
        <v>0</v>
      </c>
      <c r="W563" s="1">
        <f>IF(L563&lt;0,1,0)</f>
        <v>0</v>
      </c>
      <c r="X563" s="1">
        <f>IF(W563=1,L563,0)</f>
        <v>0</v>
      </c>
      <c r="Y563" s="1">
        <f>IF(L563&gt;0,1,0)</f>
        <v>0</v>
      </c>
      <c r="Z563" s="1">
        <f>IF(Y563=1,L563,0)</f>
        <v>0</v>
      </c>
      <c r="AA563" s="1">
        <f>IF(X563&lt;-100000000/100,1,0)</f>
        <v>0</v>
      </c>
      <c r="AB563" s="1">
        <f>IF(Z563&gt;100000000/100,1,0)</f>
        <v>0</v>
      </c>
    </row>
    <row r="564" spans="1:28" s="1" customFormat="1">
      <c r="A564" s="3">
        <v>45806</v>
      </c>
      <c r="B564" s="2" t="s">
        <v>16</v>
      </c>
      <c r="C564" s="1">
        <f>SUM(PL!E564:H564)</f>
        <v>0</v>
      </c>
      <c r="D564" s="1">
        <f>SUM(PL!I564:L564)</f>
        <v>0</v>
      </c>
      <c r="E564" s="1">
        <f>SUM(C564:D564)</f>
        <v>0</v>
      </c>
      <c r="F564" s="1">
        <f>IF(C564 + F563 &lt; 0, C564 + F563, 0)</f>
        <v>0</v>
      </c>
      <c r="G564" s="1">
        <f>IF(D564 + G563 &lt; 0, D564 + G563, 0)</f>
        <v>0</v>
      </c>
      <c r="H564" s="1">
        <f>IF(E564 + H563 &lt; 0, E564 + H563, 0)</f>
        <v>0</v>
      </c>
      <c r="I564" s="1">
        <f>IF(H564 &lt; 0, 1 + I563, 0)</f>
        <v>0</v>
      </c>
      <c r="J564" s="1">
        <f>C564-((ABS(SUM(PL!E564:H564)))*0.125)</f>
        <v>0</v>
      </c>
      <c r="K564" s="1">
        <f>D564-((ABS(SUM(PL!I564:L564)))*0.125)</f>
        <v>0</v>
      </c>
      <c r="L564" s="1">
        <f>J564 + K564</f>
        <v>0</v>
      </c>
      <c r="M564" s="1">
        <f>IF(J564 + M563 &lt; 0, J564 + M563, 0)</f>
        <v>0</v>
      </c>
      <c r="N564" s="1">
        <f>IF(K564 + N563 &lt; 0, K564 + N563, 0)</f>
        <v>0</v>
      </c>
      <c r="O564" s="1">
        <f>IF(L564 + O563 &lt; 0, L564 + O563, 0)</f>
        <v>0</v>
      </c>
      <c r="P564" s="1">
        <f>IF(O564 &lt; 0, 1 + P563, 0)</f>
        <v>0</v>
      </c>
      <c r="Q564" s="1">
        <f>IF(E564&lt;0,1,0)</f>
        <v>0</v>
      </c>
      <c r="R564" s="1">
        <f>IF(Q564=1,E564,0)</f>
        <v>0</v>
      </c>
      <c r="S564" s="1">
        <f>IF(E564&gt;0,1,0)</f>
        <v>0</v>
      </c>
      <c r="T564" s="1">
        <f>IF(S564=1,E564,0)</f>
        <v>0</v>
      </c>
      <c r="U564" s="1">
        <f>IF(R564&lt;-100000000/100,1,0)</f>
        <v>0</v>
      </c>
      <c r="V564" s="1">
        <f>IF(T564&gt;100000000/100,1,0)</f>
        <v>0</v>
      </c>
      <c r="W564" s="1">
        <f>IF(L564&lt;0,1,0)</f>
        <v>0</v>
      </c>
      <c r="X564" s="1">
        <f>IF(W564=1,L564,0)</f>
        <v>0</v>
      </c>
      <c r="Y564" s="1">
        <f>IF(L564&gt;0,1,0)</f>
        <v>0</v>
      </c>
      <c r="Z564" s="1">
        <f>IF(Y564=1,L564,0)</f>
        <v>0</v>
      </c>
      <c r="AA564" s="1">
        <f>IF(X564&lt;-100000000/100,1,0)</f>
        <v>0</v>
      </c>
      <c r="AB564" s="1">
        <f>IF(Z564&gt;100000000/100,1,0)</f>
        <v>0</v>
      </c>
    </row>
    <row r="565" spans="1:28" s="1" customFormat="1">
      <c r="A565" s="3">
        <v>45807</v>
      </c>
      <c r="B565" s="2" t="s">
        <v>15</v>
      </c>
      <c r="C565" s="1">
        <f>SUM(PL!E565:H565)</f>
        <v>0</v>
      </c>
      <c r="D565" s="1">
        <f>SUM(PL!I565:L565)</f>
        <v>0</v>
      </c>
      <c r="E565" s="1">
        <f>SUM(C565:D565)</f>
        <v>0</v>
      </c>
      <c r="F565" s="1">
        <f>IF(C565 + F564 &lt; 0, C565 + F564, 0)</f>
        <v>0</v>
      </c>
      <c r="G565" s="1">
        <f>IF(D565 + G564 &lt; 0, D565 + G564, 0)</f>
        <v>0</v>
      </c>
      <c r="H565" s="1">
        <f>IF(E565 + H564 &lt; 0, E565 + H564, 0)</f>
        <v>0</v>
      </c>
      <c r="I565" s="1">
        <f>IF(H565 &lt; 0, 1 + I564, 0)</f>
        <v>0</v>
      </c>
      <c r="J565" s="1">
        <f>C565-((ABS(SUM(PL!E565:H565)))*0.125)</f>
        <v>0</v>
      </c>
      <c r="K565" s="1">
        <f>D565-((ABS(SUM(PL!I565:L565)))*0.125)</f>
        <v>0</v>
      </c>
      <c r="L565" s="1">
        <f>J565 + K565</f>
        <v>0</v>
      </c>
      <c r="M565" s="1">
        <f>IF(J565 + M564 &lt; 0, J565 + M564, 0)</f>
        <v>0</v>
      </c>
      <c r="N565" s="1">
        <f>IF(K565 + N564 &lt; 0, K565 + N564, 0)</f>
        <v>0</v>
      </c>
      <c r="O565" s="1">
        <f>IF(L565 + O564 &lt; 0, L565 + O564, 0)</f>
        <v>0</v>
      </c>
      <c r="P565" s="1">
        <f>IF(O565 &lt; 0, 1 + P564, 0)</f>
        <v>0</v>
      </c>
      <c r="Q565" s="1">
        <f>IF(E565&lt;0,1,0)</f>
        <v>0</v>
      </c>
      <c r="R565" s="1">
        <f>IF(Q565=1,E565,0)</f>
        <v>0</v>
      </c>
      <c r="S565" s="1">
        <f>IF(E565&gt;0,1,0)</f>
        <v>0</v>
      </c>
      <c r="T565" s="1">
        <f>IF(S565=1,E565,0)</f>
        <v>0</v>
      </c>
      <c r="U565" s="1">
        <f>IF(R565&lt;-100000000/100,1,0)</f>
        <v>0</v>
      </c>
      <c r="V565" s="1">
        <f>IF(T565&gt;100000000/100,1,0)</f>
        <v>0</v>
      </c>
      <c r="W565" s="1">
        <f>IF(L565&lt;0,1,0)</f>
        <v>0</v>
      </c>
      <c r="X565" s="1">
        <f>IF(W565=1,L565,0)</f>
        <v>0</v>
      </c>
      <c r="Y565" s="1">
        <f>IF(L565&gt;0,1,0)</f>
        <v>0</v>
      </c>
      <c r="Z565" s="1">
        <f>IF(Y565=1,L565,0)</f>
        <v>0</v>
      </c>
      <c r="AA565" s="1">
        <f>IF(X565&lt;-100000000/100,1,0)</f>
        <v>0</v>
      </c>
      <c r="AB565" s="1">
        <f>IF(Z565&gt;100000000/100,1,0)</f>
        <v>0</v>
      </c>
    </row>
    <row r="566" spans="1:28" s="1" customFormat="1">
      <c r="A566" s="3">
        <v>45810</v>
      </c>
      <c r="B566" s="2" t="s">
        <v>12</v>
      </c>
      <c r="C566" s="1">
        <f>SUM(PL!E566:H566)</f>
        <v>0</v>
      </c>
      <c r="D566" s="1">
        <f>SUM(PL!I566:L566)</f>
        <v>0</v>
      </c>
      <c r="E566" s="1">
        <f>SUM(C566:D566)</f>
        <v>0</v>
      </c>
      <c r="F566" s="1">
        <f>IF(C566 + F565 &lt; 0, C566 + F565, 0)</f>
        <v>0</v>
      </c>
      <c r="G566" s="1">
        <f>IF(D566 + G565 &lt; 0, D566 + G565, 0)</f>
        <v>0</v>
      </c>
      <c r="H566" s="1">
        <f>IF(E566 + H565 &lt; 0, E566 + H565, 0)</f>
        <v>0</v>
      </c>
      <c r="I566" s="1">
        <f>IF(H566 &lt; 0, 1 + I565, 0)</f>
        <v>0</v>
      </c>
      <c r="J566" s="1">
        <f>C566-((ABS(SUM(PL!E566:H566)))*0.125)</f>
        <v>0</v>
      </c>
      <c r="K566" s="1">
        <f>D566-((ABS(SUM(PL!I566:L566)))*0.125)</f>
        <v>0</v>
      </c>
      <c r="L566" s="1">
        <f>J566 + K566</f>
        <v>0</v>
      </c>
      <c r="M566" s="1">
        <f>IF(J566 + M565 &lt; 0, J566 + M565, 0)</f>
        <v>0</v>
      </c>
      <c r="N566" s="1">
        <f>IF(K566 + N565 &lt; 0, K566 + N565, 0)</f>
        <v>0</v>
      </c>
      <c r="O566" s="1">
        <f>IF(L566 + O565 &lt; 0, L566 + O565, 0)</f>
        <v>0</v>
      </c>
      <c r="P566" s="1">
        <f>IF(O566 &lt; 0, 1 + P565, 0)</f>
        <v>0</v>
      </c>
      <c r="Q566" s="1">
        <f>IF(E566&lt;0,1,0)</f>
        <v>0</v>
      </c>
      <c r="R566" s="1">
        <f>IF(Q566=1,E566,0)</f>
        <v>0</v>
      </c>
      <c r="S566" s="1">
        <f>IF(E566&gt;0,1,0)</f>
        <v>0</v>
      </c>
      <c r="T566" s="1">
        <f>IF(S566=1,E566,0)</f>
        <v>0</v>
      </c>
      <c r="U566" s="1">
        <f>IF(R566&lt;-100000000/100,1,0)</f>
        <v>0</v>
      </c>
      <c r="V566" s="1">
        <f>IF(T566&gt;100000000/100,1,0)</f>
        <v>0</v>
      </c>
      <c r="W566" s="1">
        <f>IF(L566&lt;0,1,0)</f>
        <v>0</v>
      </c>
      <c r="X566" s="1">
        <f>IF(W566=1,L566,0)</f>
        <v>0</v>
      </c>
      <c r="Y566" s="1">
        <f>IF(L566&gt;0,1,0)</f>
        <v>0</v>
      </c>
      <c r="Z566" s="1">
        <f>IF(Y566=1,L566,0)</f>
        <v>0</v>
      </c>
      <c r="AA566" s="1">
        <f>IF(X566&lt;-100000000/100,1,0)</f>
        <v>0</v>
      </c>
      <c r="AB566" s="1">
        <f>IF(Z566&gt;100000000/100,1,0)</f>
        <v>0</v>
      </c>
    </row>
    <row r="567" spans="1:28" s="1" customFormat="1">
      <c r="A567" s="3">
        <v>45811</v>
      </c>
      <c r="B567" s="2" t="s">
        <v>13</v>
      </c>
      <c r="C567" s="1">
        <f>SUM(PL!E567:H567)</f>
        <v>0</v>
      </c>
      <c r="D567" s="1">
        <f>SUM(PL!I567:L567)</f>
        <v>0</v>
      </c>
      <c r="E567" s="1">
        <f>SUM(C567:D567)</f>
        <v>0</v>
      </c>
      <c r="F567" s="1">
        <f>IF(C567 + F566 &lt; 0, C567 + F566, 0)</f>
        <v>0</v>
      </c>
      <c r="G567" s="1">
        <f>IF(D567 + G566 &lt; 0, D567 + G566, 0)</f>
        <v>0</v>
      </c>
      <c r="H567" s="1">
        <f>IF(E567 + H566 &lt; 0, E567 + H566, 0)</f>
        <v>0</v>
      </c>
      <c r="I567" s="1">
        <f>IF(H567 &lt; 0, 1 + I566, 0)</f>
        <v>0</v>
      </c>
      <c r="J567" s="1">
        <f>C567-((ABS(SUM(PL!E567:H567)))*0.125)</f>
        <v>0</v>
      </c>
      <c r="K567" s="1">
        <f>D567-((ABS(SUM(PL!I567:L567)))*0.125)</f>
        <v>0</v>
      </c>
      <c r="L567" s="1">
        <f>J567 + K567</f>
        <v>0</v>
      </c>
      <c r="M567" s="1">
        <f>IF(J567 + M566 &lt; 0, J567 + M566, 0)</f>
        <v>0</v>
      </c>
      <c r="N567" s="1">
        <f>IF(K567 + N566 &lt; 0, K567 + N566, 0)</f>
        <v>0</v>
      </c>
      <c r="O567" s="1">
        <f>IF(L567 + O566 &lt; 0, L567 + O566, 0)</f>
        <v>0</v>
      </c>
      <c r="P567" s="1">
        <f>IF(O567 &lt; 0, 1 + P566, 0)</f>
        <v>0</v>
      </c>
      <c r="Q567" s="1">
        <f>IF(E567&lt;0,1,0)</f>
        <v>0</v>
      </c>
      <c r="R567" s="1">
        <f>IF(Q567=1,E567,0)</f>
        <v>0</v>
      </c>
      <c r="S567" s="1">
        <f>IF(E567&gt;0,1,0)</f>
        <v>0</v>
      </c>
      <c r="T567" s="1">
        <f>IF(S567=1,E567,0)</f>
        <v>0</v>
      </c>
      <c r="U567" s="1">
        <f>IF(R567&lt;-100000000/100,1,0)</f>
        <v>0</v>
      </c>
      <c r="V567" s="1">
        <f>IF(T567&gt;100000000/100,1,0)</f>
        <v>0</v>
      </c>
      <c r="W567" s="1">
        <f>IF(L567&lt;0,1,0)</f>
        <v>0</v>
      </c>
      <c r="X567" s="1">
        <f>IF(W567=1,L567,0)</f>
        <v>0</v>
      </c>
      <c r="Y567" s="1">
        <f>IF(L567&gt;0,1,0)</f>
        <v>0</v>
      </c>
      <c r="Z567" s="1">
        <f>IF(Y567=1,L567,0)</f>
        <v>0</v>
      </c>
      <c r="AA567" s="1">
        <f>IF(X567&lt;-100000000/100,1,0)</f>
        <v>0</v>
      </c>
      <c r="AB567" s="1">
        <f>IF(Z567&gt;100000000/100,1,0)</f>
        <v>0</v>
      </c>
    </row>
    <row r="568" spans="1:28" s="1" customFormat="1">
      <c r="A568" s="3">
        <v>45812</v>
      </c>
      <c r="B568" s="2" t="s">
        <v>14</v>
      </c>
      <c r="C568" s="1">
        <f>SUM(PL!E568:H568)</f>
        <v>0</v>
      </c>
      <c r="D568" s="1">
        <f>SUM(PL!I568:L568)</f>
        <v>0</v>
      </c>
      <c r="E568" s="1">
        <f>SUM(C568:D568)</f>
        <v>0</v>
      </c>
      <c r="F568" s="1">
        <f>IF(C568 + F567 &lt; 0, C568 + F567, 0)</f>
        <v>0</v>
      </c>
      <c r="G568" s="1">
        <f>IF(D568 + G567 &lt; 0, D568 + G567, 0)</f>
        <v>0</v>
      </c>
      <c r="H568" s="1">
        <f>IF(E568 + H567 &lt; 0, E568 + H567, 0)</f>
        <v>0</v>
      </c>
      <c r="I568" s="1">
        <f>IF(H568 &lt; 0, 1 + I567, 0)</f>
        <v>0</v>
      </c>
      <c r="J568" s="1">
        <f>C568-((ABS(SUM(PL!E568:H568)))*0.125)</f>
        <v>0</v>
      </c>
      <c r="K568" s="1">
        <f>D568-((ABS(SUM(PL!I568:L568)))*0.125)</f>
        <v>0</v>
      </c>
      <c r="L568" s="1">
        <f>J568 + K568</f>
        <v>0</v>
      </c>
      <c r="M568" s="1">
        <f>IF(J568 + M567 &lt; 0, J568 + M567, 0)</f>
        <v>0</v>
      </c>
      <c r="N568" s="1">
        <f>IF(K568 + N567 &lt; 0, K568 + N567, 0)</f>
        <v>0</v>
      </c>
      <c r="O568" s="1">
        <f>IF(L568 + O567 &lt; 0, L568 + O567, 0)</f>
        <v>0</v>
      </c>
      <c r="P568" s="1">
        <f>IF(O568 &lt; 0, 1 + P567, 0)</f>
        <v>0</v>
      </c>
      <c r="Q568" s="1">
        <f>IF(E568&lt;0,1,0)</f>
        <v>0</v>
      </c>
      <c r="R568" s="1">
        <f>IF(Q568=1,E568,0)</f>
        <v>0</v>
      </c>
      <c r="S568" s="1">
        <f>IF(E568&gt;0,1,0)</f>
        <v>0</v>
      </c>
      <c r="T568" s="1">
        <f>IF(S568=1,E568,0)</f>
        <v>0</v>
      </c>
      <c r="U568" s="1">
        <f>IF(R568&lt;-100000000/100,1,0)</f>
        <v>0</v>
      </c>
      <c r="V568" s="1">
        <f>IF(T568&gt;100000000/100,1,0)</f>
        <v>0</v>
      </c>
      <c r="W568" s="1">
        <f>IF(L568&lt;0,1,0)</f>
        <v>0</v>
      </c>
      <c r="X568" s="1">
        <f>IF(W568=1,L568,0)</f>
        <v>0</v>
      </c>
      <c r="Y568" s="1">
        <f>IF(L568&gt;0,1,0)</f>
        <v>0</v>
      </c>
      <c r="Z568" s="1">
        <f>IF(Y568=1,L568,0)</f>
        <v>0</v>
      </c>
      <c r="AA568" s="1">
        <f>IF(X568&lt;-100000000/100,1,0)</f>
        <v>0</v>
      </c>
      <c r="AB568" s="1">
        <f>IF(Z568&gt;100000000/100,1,0)</f>
        <v>0</v>
      </c>
    </row>
    <row r="569" spans="1:28" s="1" customFormat="1">
      <c r="A569" s="3">
        <v>45813</v>
      </c>
      <c r="B569" s="2" t="s">
        <v>16</v>
      </c>
      <c r="C569" s="1">
        <f>SUM(PL!E569:H569)</f>
        <v>0</v>
      </c>
      <c r="D569" s="1">
        <f>SUM(PL!I569:L569)</f>
        <v>0</v>
      </c>
      <c r="E569" s="1">
        <f>SUM(C569:D569)</f>
        <v>0</v>
      </c>
      <c r="F569" s="1">
        <f>IF(C569 + F568 &lt; 0, C569 + F568, 0)</f>
        <v>0</v>
      </c>
      <c r="G569" s="1">
        <f>IF(D569 + G568 &lt; 0, D569 + G568, 0)</f>
        <v>0</v>
      </c>
      <c r="H569" s="1">
        <f>IF(E569 + H568 &lt; 0, E569 + H568, 0)</f>
        <v>0</v>
      </c>
      <c r="I569" s="1">
        <f>IF(H569 &lt; 0, 1 + I568, 0)</f>
        <v>0</v>
      </c>
      <c r="J569" s="1">
        <f>C569-((ABS(SUM(PL!E569:H569)))*0.125)</f>
        <v>0</v>
      </c>
      <c r="K569" s="1">
        <f>D569-((ABS(SUM(PL!I569:L569)))*0.125)</f>
        <v>0</v>
      </c>
      <c r="L569" s="1">
        <f>J569 + K569</f>
        <v>0</v>
      </c>
      <c r="M569" s="1">
        <f>IF(J569 + M568 &lt; 0, J569 + M568, 0)</f>
        <v>0</v>
      </c>
      <c r="N569" s="1">
        <f>IF(K569 + N568 &lt; 0, K569 + N568, 0)</f>
        <v>0</v>
      </c>
      <c r="O569" s="1">
        <f>IF(L569 + O568 &lt; 0, L569 + O568, 0)</f>
        <v>0</v>
      </c>
      <c r="P569" s="1">
        <f>IF(O569 &lt; 0, 1 + P568, 0)</f>
        <v>0</v>
      </c>
      <c r="Q569" s="1">
        <f>IF(E569&lt;0,1,0)</f>
        <v>0</v>
      </c>
      <c r="R569" s="1">
        <f>IF(Q569=1,E569,0)</f>
        <v>0</v>
      </c>
      <c r="S569" s="1">
        <f>IF(E569&gt;0,1,0)</f>
        <v>0</v>
      </c>
      <c r="T569" s="1">
        <f>IF(S569=1,E569,0)</f>
        <v>0</v>
      </c>
      <c r="U569" s="1">
        <f>IF(R569&lt;-100000000/100,1,0)</f>
        <v>0</v>
      </c>
      <c r="V569" s="1">
        <f>IF(T569&gt;100000000/100,1,0)</f>
        <v>0</v>
      </c>
      <c r="W569" s="1">
        <f>IF(L569&lt;0,1,0)</f>
        <v>0</v>
      </c>
      <c r="X569" s="1">
        <f>IF(W569=1,L569,0)</f>
        <v>0</v>
      </c>
      <c r="Y569" s="1">
        <f>IF(L569&gt;0,1,0)</f>
        <v>0</v>
      </c>
      <c r="Z569" s="1">
        <f>IF(Y569=1,L569,0)</f>
        <v>0</v>
      </c>
      <c r="AA569" s="1">
        <f>IF(X569&lt;-100000000/100,1,0)</f>
        <v>0</v>
      </c>
      <c r="AB569" s="1">
        <f>IF(Z569&gt;100000000/100,1,0)</f>
        <v>0</v>
      </c>
    </row>
    <row r="570" spans="1:28" s="1" customFormat="1">
      <c r="A570" s="3">
        <v>45814</v>
      </c>
      <c r="B570" s="2" t="s">
        <v>15</v>
      </c>
      <c r="C570" s="1">
        <f>SUM(PL!E570:H570)</f>
        <v>0</v>
      </c>
      <c r="D570" s="1">
        <f>SUM(PL!I570:L570)</f>
        <v>0</v>
      </c>
      <c r="E570" s="1">
        <f>SUM(C570:D570)</f>
        <v>0</v>
      </c>
      <c r="F570" s="1">
        <f>IF(C570 + F569 &lt; 0, C570 + F569, 0)</f>
        <v>0</v>
      </c>
      <c r="G570" s="1">
        <f>IF(D570 + G569 &lt; 0, D570 + G569, 0)</f>
        <v>0</v>
      </c>
      <c r="H570" s="1">
        <f>IF(E570 + H569 &lt; 0, E570 + H569, 0)</f>
        <v>0</v>
      </c>
      <c r="I570" s="1">
        <f>IF(H570 &lt; 0, 1 + I569, 0)</f>
        <v>0</v>
      </c>
      <c r="J570" s="1">
        <f>C570-((ABS(SUM(PL!E570:H570)))*0.125)</f>
        <v>0</v>
      </c>
      <c r="K570" s="1">
        <f>D570-((ABS(SUM(PL!I570:L570)))*0.125)</f>
        <v>0</v>
      </c>
      <c r="L570" s="1">
        <f>J570 + K570</f>
        <v>0</v>
      </c>
      <c r="M570" s="1">
        <f>IF(J570 + M569 &lt; 0, J570 + M569, 0)</f>
        <v>0</v>
      </c>
      <c r="N570" s="1">
        <f>IF(K570 + N569 &lt; 0, K570 + N569, 0)</f>
        <v>0</v>
      </c>
      <c r="O570" s="1">
        <f>IF(L570 + O569 &lt; 0, L570 + O569, 0)</f>
        <v>0</v>
      </c>
      <c r="P570" s="1">
        <f>IF(O570 &lt; 0, 1 + P569, 0)</f>
        <v>0</v>
      </c>
      <c r="Q570" s="1">
        <f>IF(E570&lt;0,1,0)</f>
        <v>0</v>
      </c>
      <c r="R570" s="1">
        <f>IF(Q570=1,E570,0)</f>
        <v>0</v>
      </c>
      <c r="S570" s="1">
        <f>IF(E570&gt;0,1,0)</f>
        <v>0</v>
      </c>
      <c r="T570" s="1">
        <f>IF(S570=1,E570,0)</f>
        <v>0</v>
      </c>
      <c r="U570" s="1">
        <f>IF(R570&lt;-100000000/100,1,0)</f>
        <v>0</v>
      </c>
      <c r="V570" s="1">
        <f>IF(T570&gt;100000000/100,1,0)</f>
        <v>0</v>
      </c>
      <c r="W570" s="1">
        <f>IF(L570&lt;0,1,0)</f>
        <v>0</v>
      </c>
      <c r="X570" s="1">
        <f>IF(W570=1,L570,0)</f>
        <v>0</v>
      </c>
      <c r="Y570" s="1">
        <f>IF(L570&gt;0,1,0)</f>
        <v>0</v>
      </c>
      <c r="Z570" s="1">
        <f>IF(Y570=1,L570,0)</f>
        <v>0</v>
      </c>
      <c r="AA570" s="1">
        <f>IF(X570&lt;-100000000/100,1,0)</f>
        <v>0</v>
      </c>
      <c r="AB570" s="1">
        <f>IF(Z570&gt;100000000/100,1,0)</f>
        <v>0</v>
      </c>
    </row>
    <row r="571" spans="1:28" s="1" customFormat="1">
      <c r="A571" s="3">
        <v>45817</v>
      </c>
      <c r="B571" s="2" t="s">
        <v>12</v>
      </c>
      <c r="C571" s="1">
        <f>SUM(PL!E571:H571)</f>
        <v>0</v>
      </c>
      <c r="D571" s="1">
        <f>SUM(PL!I571:L571)</f>
        <v>0</v>
      </c>
      <c r="E571" s="1">
        <f>SUM(C571:D571)</f>
        <v>0</v>
      </c>
      <c r="F571" s="1">
        <f>IF(C571 + F570 &lt; 0, C571 + F570, 0)</f>
        <v>0</v>
      </c>
      <c r="G571" s="1">
        <f>IF(D571 + G570 &lt; 0, D571 + G570, 0)</f>
        <v>0</v>
      </c>
      <c r="H571" s="1">
        <f>IF(E571 + H570 &lt; 0, E571 + H570, 0)</f>
        <v>0</v>
      </c>
      <c r="I571" s="1">
        <f>IF(H571 &lt; 0, 1 + I570, 0)</f>
        <v>0</v>
      </c>
      <c r="J571" s="1">
        <f>C571-((ABS(SUM(PL!E571:H571)))*0.125)</f>
        <v>0</v>
      </c>
      <c r="K571" s="1">
        <f>D571-((ABS(SUM(PL!I571:L571)))*0.125)</f>
        <v>0</v>
      </c>
      <c r="L571" s="1">
        <f>J571 + K571</f>
        <v>0</v>
      </c>
      <c r="M571" s="1">
        <f>IF(J571 + M570 &lt; 0, J571 + M570, 0)</f>
        <v>0</v>
      </c>
      <c r="N571" s="1">
        <f>IF(K571 + N570 &lt; 0, K571 + N570, 0)</f>
        <v>0</v>
      </c>
      <c r="O571" s="1">
        <f>IF(L571 + O570 &lt; 0, L571 + O570, 0)</f>
        <v>0</v>
      </c>
      <c r="P571" s="1">
        <f>IF(O571 &lt; 0, 1 + P570, 0)</f>
        <v>0</v>
      </c>
      <c r="Q571" s="1">
        <f>IF(E571&lt;0,1,0)</f>
        <v>0</v>
      </c>
      <c r="R571" s="1">
        <f>IF(Q571=1,E571,0)</f>
        <v>0</v>
      </c>
      <c r="S571" s="1">
        <f>IF(E571&gt;0,1,0)</f>
        <v>0</v>
      </c>
      <c r="T571" s="1">
        <f>IF(S571=1,E571,0)</f>
        <v>0</v>
      </c>
      <c r="U571" s="1">
        <f>IF(R571&lt;-100000000/100,1,0)</f>
        <v>0</v>
      </c>
      <c r="V571" s="1">
        <f>IF(T571&gt;100000000/100,1,0)</f>
        <v>0</v>
      </c>
      <c r="W571" s="1">
        <f>IF(L571&lt;0,1,0)</f>
        <v>0</v>
      </c>
      <c r="X571" s="1">
        <f>IF(W571=1,L571,0)</f>
        <v>0</v>
      </c>
      <c r="Y571" s="1">
        <f>IF(L571&gt;0,1,0)</f>
        <v>0</v>
      </c>
      <c r="Z571" s="1">
        <f>IF(Y571=1,L571,0)</f>
        <v>0</v>
      </c>
      <c r="AA571" s="1">
        <f>IF(X571&lt;-100000000/100,1,0)</f>
        <v>0</v>
      </c>
      <c r="AB571" s="1">
        <f>IF(Z571&gt;100000000/100,1,0)</f>
        <v>0</v>
      </c>
    </row>
    <row r="572" spans="1:28" s="1" customFormat="1">
      <c r="A572" s="3">
        <v>45818</v>
      </c>
      <c r="B572" s="2" t="s">
        <v>13</v>
      </c>
      <c r="C572" s="1">
        <f>SUM(PL!E572:H572)</f>
        <v>0</v>
      </c>
      <c r="D572" s="1">
        <f>SUM(PL!I572:L572)</f>
        <v>0</v>
      </c>
      <c r="E572" s="1">
        <f>SUM(C572:D572)</f>
        <v>0</v>
      </c>
      <c r="F572" s="1">
        <f>IF(C572 + F571 &lt; 0, C572 + F571, 0)</f>
        <v>0</v>
      </c>
      <c r="G572" s="1">
        <f>IF(D572 + G571 &lt; 0, D572 + G571, 0)</f>
        <v>0</v>
      </c>
      <c r="H572" s="1">
        <f>IF(E572 + H571 &lt; 0, E572 + H571, 0)</f>
        <v>0</v>
      </c>
      <c r="I572" s="1">
        <f>IF(H572 &lt; 0, 1 + I571, 0)</f>
        <v>0</v>
      </c>
      <c r="J572" s="1">
        <f>C572-((ABS(SUM(PL!E572:H572)))*0.125)</f>
        <v>0</v>
      </c>
      <c r="K572" s="1">
        <f>D572-((ABS(SUM(PL!I572:L572)))*0.125)</f>
        <v>0</v>
      </c>
      <c r="L572" s="1">
        <f>J572 + K572</f>
        <v>0</v>
      </c>
      <c r="M572" s="1">
        <f>IF(J572 + M571 &lt; 0, J572 + M571, 0)</f>
        <v>0</v>
      </c>
      <c r="N572" s="1">
        <f>IF(K572 + N571 &lt; 0, K572 + N571, 0)</f>
        <v>0</v>
      </c>
      <c r="O572" s="1">
        <f>IF(L572 + O571 &lt; 0, L572 + O571, 0)</f>
        <v>0</v>
      </c>
      <c r="P572" s="1">
        <f>IF(O572 &lt; 0, 1 + P571, 0)</f>
        <v>0</v>
      </c>
      <c r="Q572" s="1">
        <f>IF(E572&lt;0,1,0)</f>
        <v>0</v>
      </c>
      <c r="R572" s="1">
        <f>IF(Q572=1,E572,0)</f>
        <v>0</v>
      </c>
      <c r="S572" s="1">
        <f>IF(E572&gt;0,1,0)</f>
        <v>0</v>
      </c>
      <c r="T572" s="1">
        <f>IF(S572=1,E572,0)</f>
        <v>0</v>
      </c>
      <c r="U572" s="1">
        <f>IF(R572&lt;-100000000/100,1,0)</f>
        <v>0</v>
      </c>
      <c r="V572" s="1">
        <f>IF(T572&gt;100000000/100,1,0)</f>
        <v>0</v>
      </c>
      <c r="W572" s="1">
        <f>IF(L572&lt;0,1,0)</f>
        <v>0</v>
      </c>
      <c r="X572" s="1">
        <f>IF(W572=1,L572,0)</f>
        <v>0</v>
      </c>
      <c r="Y572" s="1">
        <f>IF(L572&gt;0,1,0)</f>
        <v>0</v>
      </c>
      <c r="Z572" s="1">
        <f>IF(Y572=1,L572,0)</f>
        <v>0</v>
      </c>
      <c r="AA572" s="1">
        <f>IF(X572&lt;-100000000/100,1,0)</f>
        <v>0</v>
      </c>
      <c r="AB572" s="1">
        <f>IF(Z572&gt;100000000/100,1,0)</f>
        <v>0</v>
      </c>
    </row>
    <row r="573" spans="1:28" s="1" customFormat="1">
      <c r="A573" s="3">
        <v>45819</v>
      </c>
      <c r="B573" s="2" t="s">
        <v>14</v>
      </c>
      <c r="C573" s="1">
        <f>SUM(PL!E573:H573)</f>
        <v>0</v>
      </c>
      <c r="D573" s="1">
        <f>SUM(PL!I573:L573)</f>
        <v>0</v>
      </c>
      <c r="E573" s="1">
        <f>SUM(C573:D573)</f>
        <v>0</v>
      </c>
      <c r="F573" s="1">
        <f>IF(C573 + F572 &lt; 0, C573 + F572, 0)</f>
        <v>0</v>
      </c>
      <c r="G573" s="1">
        <f>IF(D573 + G572 &lt; 0, D573 + G572, 0)</f>
        <v>0</v>
      </c>
      <c r="H573" s="1">
        <f>IF(E573 + H572 &lt; 0, E573 + H572, 0)</f>
        <v>0</v>
      </c>
      <c r="I573" s="1">
        <f>IF(H573 &lt; 0, 1 + I572, 0)</f>
        <v>0</v>
      </c>
      <c r="J573" s="1">
        <f>C573-((ABS(SUM(PL!E573:H573)))*0.125)</f>
        <v>0</v>
      </c>
      <c r="K573" s="1">
        <f>D573-((ABS(SUM(PL!I573:L573)))*0.125)</f>
        <v>0</v>
      </c>
      <c r="L573" s="1">
        <f>J573 + K573</f>
        <v>0</v>
      </c>
      <c r="M573" s="1">
        <f>IF(J573 + M572 &lt; 0, J573 + M572, 0)</f>
        <v>0</v>
      </c>
      <c r="N573" s="1">
        <f>IF(K573 + N572 &lt; 0, K573 + N572, 0)</f>
        <v>0</v>
      </c>
      <c r="O573" s="1">
        <f>IF(L573 + O572 &lt; 0, L573 + O572, 0)</f>
        <v>0</v>
      </c>
      <c r="P573" s="1">
        <f>IF(O573 &lt; 0, 1 + P572, 0)</f>
        <v>0</v>
      </c>
      <c r="Q573" s="1">
        <f>IF(E573&lt;0,1,0)</f>
        <v>0</v>
      </c>
      <c r="R573" s="1">
        <f>IF(Q573=1,E573,0)</f>
        <v>0</v>
      </c>
      <c r="S573" s="1">
        <f>IF(E573&gt;0,1,0)</f>
        <v>0</v>
      </c>
      <c r="T573" s="1">
        <f>IF(S573=1,E573,0)</f>
        <v>0</v>
      </c>
      <c r="U573" s="1">
        <f>IF(R573&lt;-100000000/100,1,0)</f>
        <v>0</v>
      </c>
      <c r="V573" s="1">
        <f>IF(T573&gt;100000000/100,1,0)</f>
        <v>0</v>
      </c>
      <c r="W573" s="1">
        <f>IF(L573&lt;0,1,0)</f>
        <v>0</v>
      </c>
      <c r="X573" s="1">
        <f>IF(W573=1,L573,0)</f>
        <v>0</v>
      </c>
      <c r="Y573" s="1">
        <f>IF(L573&gt;0,1,0)</f>
        <v>0</v>
      </c>
      <c r="Z573" s="1">
        <f>IF(Y573=1,L573,0)</f>
        <v>0</v>
      </c>
      <c r="AA573" s="1">
        <f>IF(X573&lt;-100000000/100,1,0)</f>
        <v>0</v>
      </c>
      <c r="AB573" s="1">
        <f>IF(Z573&gt;100000000/100,1,0)</f>
        <v>0</v>
      </c>
    </row>
    <row r="574" spans="1:28" s="1" customFormat="1">
      <c r="A574" s="3">
        <v>45820</v>
      </c>
      <c r="B574" s="2" t="s">
        <v>16</v>
      </c>
      <c r="C574" s="1">
        <f>SUM(PL!E574:H574)</f>
        <v>0</v>
      </c>
      <c r="D574" s="1">
        <f>SUM(PL!I574:L574)</f>
        <v>0</v>
      </c>
      <c r="E574" s="1">
        <f>SUM(C574:D574)</f>
        <v>0</v>
      </c>
      <c r="F574" s="1">
        <f>IF(C574 + F573 &lt; 0, C574 + F573, 0)</f>
        <v>0</v>
      </c>
      <c r="G574" s="1">
        <f>IF(D574 + G573 &lt; 0, D574 + G573, 0)</f>
        <v>0</v>
      </c>
      <c r="H574" s="1">
        <f>IF(E574 + H573 &lt; 0, E574 + H573, 0)</f>
        <v>0</v>
      </c>
      <c r="I574" s="1">
        <f>IF(H574 &lt; 0, 1 + I573, 0)</f>
        <v>0</v>
      </c>
      <c r="J574" s="1">
        <f>C574-((ABS(SUM(PL!E574:H574)))*0.125)</f>
        <v>0</v>
      </c>
      <c r="K574" s="1">
        <f>D574-((ABS(SUM(PL!I574:L574)))*0.125)</f>
        <v>0</v>
      </c>
      <c r="L574" s="1">
        <f>J574 + K574</f>
        <v>0</v>
      </c>
      <c r="M574" s="1">
        <f>IF(J574 + M573 &lt; 0, J574 + M573, 0)</f>
        <v>0</v>
      </c>
      <c r="N574" s="1">
        <f>IF(K574 + N573 &lt; 0, K574 + N573, 0)</f>
        <v>0</v>
      </c>
      <c r="O574" s="1">
        <f>IF(L574 + O573 &lt; 0, L574 + O573, 0)</f>
        <v>0</v>
      </c>
      <c r="P574" s="1">
        <f>IF(O574 &lt; 0, 1 + P573, 0)</f>
        <v>0</v>
      </c>
      <c r="Q574" s="1">
        <f>IF(E574&lt;0,1,0)</f>
        <v>0</v>
      </c>
      <c r="R574" s="1">
        <f>IF(Q574=1,E574,0)</f>
        <v>0</v>
      </c>
      <c r="S574" s="1">
        <f>IF(E574&gt;0,1,0)</f>
        <v>0</v>
      </c>
      <c r="T574" s="1">
        <f>IF(S574=1,E574,0)</f>
        <v>0</v>
      </c>
      <c r="U574" s="1">
        <f>IF(R574&lt;-100000000/100,1,0)</f>
        <v>0</v>
      </c>
      <c r="V574" s="1">
        <f>IF(T574&gt;100000000/100,1,0)</f>
        <v>0</v>
      </c>
      <c r="W574" s="1">
        <f>IF(L574&lt;0,1,0)</f>
        <v>0</v>
      </c>
      <c r="X574" s="1">
        <f>IF(W574=1,L574,0)</f>
        <v>0</v>
      </c>
      <c r="Y574" s="1">
        <f>IF(L574&gt;0,1,0)</f>
        <v>0</v>
      </c>
      <c r="Z574" s="1">
        <f>IF(Y574=1,L574,0)</f>
        <v>0</v>
      </c>
      <c r="AA574" s="1">
        <f>IF(X574&lt;-100000000/100,1,0)</f>
        <v>0</v>
      </c>
      <c r="AB574" s="1">
        <f>IF(Z574&gt;100000000/100,1,0)</f>
        <v>0</v>
      </c>
    </row>
    <row r="575" spans="1:28" s="1" customFormat="1">
      <c r="A575" s="3">
        <v>45821</v>
      </c>
      <c r="B575" s="2" t="s">
        <v>15</v>
      </c>
      <c r="C575" s="1">
        <f>SUM(PL!E575:H575)</f>
        <v>0</v>
      </c>
      <c r="D575" s="1">
        <f>SUM(PL!I575:L575)</f>
        <v>0</v>
      </c>
      <c r="E575" s="1">
        <f>SUM(C575:D575)</f>
        <v>0</v>
      </c>
      <c r="F575" s="1">
        <f>IF(C575 + F574 &lt; 0, C575 + F574, 0)</f>
        <v>0</v>
      </c>
      <c r="G575" s="1">
        <f>IF(D575 + G574 &lt; 0, D575 + G574, 0)</f>
        <v>0</v>
      </c>
      <c r="H575" s="1">
        <f>IF(E575 + H574 &lt; 0, E575 + H574, 0)</f>
        <v>0</v>
      </c>
      <c r="I575" s="1">
        <f>IF(H575 &lt; 0, 1 + I574, 0)</f>
        <v>0</v>
      </c>
      <c r="J575" s="1">
        <f>C575-((ABS(SUM(PL!E575:H575)))*0.125)</f>
        <v>0</v>
      </c>
      <c r="K575" s="1">
        <f>D575-((ABS(SUM(PL!I575:L575)))*0.125)</f>
        <v>0</v>
      </c>
      <c r="L575" s="1">
        <f>J575 + K575</f>
        <v>0</v>
      </c>
      <c r="M575" s="1">
        <f>IF(J575 + M574 &lt; 0, J575 + M574, 0)</f>
        <v>0</v>
      </c>
      <c r="N575" s="1">
        <f>IF(K575 + N574 &lt; 0, K575 + N574, 0)</f>
        <v>0</v>
      </c>
      <c r="O575" s="1">
        <f>IF(L575 + O574 &lt; 0, L575 + O574, 0)</f>
        <v>0</v>
      </c>
      <c r="P575" s="1">
        <f>IF(O575 &lt; 0, 1 + P574, 0)</f>
        <v>0</v>
      </c>
      <c r="Q575" s="1">
        <f>IF(E575&lt;0,1,0)</f>
        <v>0</v>
      </c>
      <c r="R575" s="1">
        <f>IF(Q575=1,E575,0)</f>
        <v>0</v>
      </c>
      <c r="S575" s="1">
        <f>IF(E575&gt;0,1,0)</f>
        <v>0</v>
      </c>
      <c r="T575" s="1">
        <f>IF(S575=1,E575,0)</f>
        <v>0</v>
      </c>
      <c r="U575" s="1">
        <f>IF(R575&lt;-100000000/100,1,0)</f>
        <v>0</v>
      </c>
      <c r="V575" s="1">
        <f>IF(T575&gt;100000000/100,1,0)</f>
        <v>0</v>
      </c>
      <c r="W575" s="1">
        <f>IF(L575&lt;0,1,0)</f>
        <v>0</v>
      </c>
      <c r="X575" s="1">
        <f>IF(W575=1,L575,0)</f>
        <v>0</v>
      </c>
      <c r="Y575" s="1">
        <f>IF(L575&gt;0,1,0)</f>
        <v>0</v>
      </c>
      <c r="Z575" s="1">
        <f>IF(Y575=1,L575,0)</f>
        <v>0</v>
      </c>
      <c r="AA575" s="1">
        <f>IF(X575&lt;-100000000/100,1,0)</f>
        <v>0</v>
      </c>
      <c r="AB575" s="1">
        <f>IF(Z575&gt;100000000/100,1,0)</f>
        <v>0</v>
      </c>
    </row>
    <row r="576" spans="1:28" s="1" customFormat="1">
      <c r="A576" s="3">
        <v>45824</v>
      </c>
      <c r="B576" s="2" t="s">
        <v>12</v>
      </c>
      <c r="C576" s="1">
        <f>SUM(PL!E576:H576)</f>
        <v>0</v>
      </c>
      <c r="D576" s="1">
        <f>SUM(PL!I576:L576)</f>
        <v>0</v>
      </c>
      <c r="E576" s="1">
        <f>SUM(C576:D576)</f>
        <v>0</v>
      </c>
      <c r="F576" s="1">
        <f>IF(C576 + F575 &lt; 0, C576 + F575, 0)</f>
        <v>0</v>
      </c>
      <c r="G576" s="1">
        <f>IF(D576 + G575 &lt; 0, D576 + G575, 0)</f>
        <v>0</v>
      </c>
      <c r="H576" s="1">
        <f>IF(E576 + H575 &lt; 0, E576 + H575, 0)</f>
        <v>0</v>
      </c>
      <c r="I576" s="1">
        <f>IF(H576 &lt; 0, 1 + I575, 0)</f>
        <v>0</v>
      </c>
      <c r="J576" s="1">
        <f>C576-((ABS(SUM(PL!E576:H576)))*0.125)</f>
        <v>0</v>
      </c>
      <c r="K576" s="1">
        <f>D576-((ABS(SUM(PL!I576:L576)))*0.125)</f>
        <v>0</v>
      </c>
      <c r="L576" s="1">
        <f>J576 + K576</f>
        <v>0</v>
      </c>
      <c r="M576" s="1">
        <f>IF(J576 + M575 &lt; 0, J576 + M575, 0)</f>
        <v>0</v>
      </c>
      <c r="N576" s="1">
        <f>IF(K576 + N575 &lt; 0, K576 + N575, 0)</f>
        <v>0</v>
      </c>
      <c r="O576" s="1">
        <f>IF(L576 + O575 &lt; 0, L576 + O575, 0)</f>
        <v>0</v>
      </c>
      <c r="P576" s="1">
        <f>IF(O576 &lt; 0, 1 + P575, 0)</f>
        <v>0</v>
      </c>
      <c r="Q576" s="1">
        <f>IF(E576&lt;0,1,0)</f>
        <v>0</v>
      </c>
      <c r="R576" s="1">
        <f>IF(Q576=1,E576,0)</f>
        <v>0</v>
      </c>
      <c r="S576" s="1">
        <f>IF(E576&gt;0,1,0)</f>
        <v>0</v>
      </c>
      <c r="T576" s="1">
        <f>IF(S576=1,E576,0)</f>
        <v>0</v>
      </c>
      <c r="U576" s="1">
        <f>IF(R576&lt;-100000000/100,1,0)</f>
        <v>0</v>
      </c>
      <c r="V576" s="1">
        <f>IF(T576&gt;100000000/100,1,0)</f>
        <v>0</v>
      </c>
      <c r="W576" s="1">
        <f>IF(L576&lt;0,1,0)</f>
        <v>0</v>
      </c>
      <c r="X576" s="1">
        <f>IF(W576=1,L576,0)</f>
        <v>0</v>
      </c>
      <c r="Y576" s="1">
        <f>IF(L576&gt;0,1,0)</f>
        <v>0</v>
      </c>
      <c r="Z576" s="1">
        <f>IF(Y576=1,L576,0)</f>
        <v>0</v>
      </c>
      <c r="AA576" s="1">
        <f>IF(X576&lt;-100000000/100,1,0)</f>
        <v>0</v>
      </c>
      <c r="AB576" s="1">
        <f>IF(Z576&gt;100000000/100,1,0)</f>
        <v>0</v>
      </c>
    </row>
    <row r="577" spans="1:28" s="1" customFormat="1">
      <c r="A577" s="3">
        <v>45825</v>
      </c>
      <c r="B577" s="2" t="s">
        <v>13</v>
      </c>
      <c r="C577" s="1">
        <f>SUM(PL!E577:H577)</f>
        <v>0</v>
      </c>
      <c r="D577" s="1">
        <f>SUM(PL!I577:L577)</f>
        <v>0</v>
      </c>
      <c r="E577" s="1">
        <f>SUM(C577:D577)</f>
        <v>0</v>
      </c>
      <c r="F577" s="1">
        <f>IF(C577 + F576 &lt; 0, C577 + F576, 0)</f>
        <v>0</v>
      </c>
      <c r="G577" s="1">
        <f>IF(D577 + G576 &lt; 0, D577 + G576, 0)</f>
        <v>0</v>
      </c>
      <c r="H577" s="1">
        <f>IF(E577 + H576 &lt; 0, E577 + H576, 0)</f>
        <v>0</v>
      </c>
      <c r="I577" s="1">
        <f>IF(H577 &lt; 0, 1 + I576, 0)</f>
        <v>0</v>
      </c>
      <c r="J577" s="1">
        <f>C577-((ABS(SUM(PL!E577:H577)))*0.125)</f>
        <v>0</v>
      </c>
      <c r="K577" s="1">
        <f>D577-((ABS(SUM(PL!I577:L577)))*0.125)</f>
        <v>0</v>
      </c>
      <c r="L577" s="1">
        <f>J577 + K577</f>
        <v>0</v>
      </c>
      <c r="M577" s="1">
        <f>IF(J577 + M576 &lt; 0, J577 + M576, 0)</f>
        <v>0</v>
      </c>
      <c r="N577" s="1">
        <f>IF(K577 + N576 &lt; 0, K577 + N576, 0)</f>
        <v>0</v>
      </c>
      <c r="O577" s="1">
        <f>IF(L577 + O576 &lt; 0, L577 + O576, 0)</f>
        <v>0</v>
      </c>
      <c r="P577" s="1">
        <f>IF(O577 &lt; 0, 1 + P576, 0)</f>
        <v>0</v>
      </c>
      <c r="Q577" s="1">
        <f>IF(E577&lt;0,1,0)</f>
        <v>0</v>
      </c>
      <c r="R577" s="1">
        <f>IF(Q577=1,E577,0)</f>
        <v>0</v>
      </c>
      <c r="S577" s="1">
        <f>IF(E577&gt;0,1,0)</f>
        <v>0</v>
      </c>
      <c r="T577" s="1">
        <f>IF(S577=1,E577,0)</f>
        <v>0</v>
      </c>
      <c r="U577" s="1">
        <f>IF(R577&lt;-100000000/100,1,0)</f>
        <v>0</v>
      </c>
      <c r="V577" s="1">
        <f>IF(T577&gt;100000000/100,1,0)</f>
        <v>0</v>
      </c>
      <c r="W577" s="1">
        <f>IF(L577&lt;0,1,0)</f>
        <v>0</v>
      </c>
      <c r="X577" s="1">
        <f>IF(W577=1,L577,0)</f>
        <v>0</v>
      </c>
      <c r="Y577" s="1">
        <f>IF(L577&gt;0,1,0)</f>
        <v>0</v>
      </c>
      <c r="Z577" s="1">
        <f>IF(Y577=1,L577,0)</f>
        <v>0</v>
      </c>
      <c r="AA577" s="1">
        <f>IF(X577&lt;-100000000/100,1,0)</f>
        <v>0</v>
      </c>
      <c r="AB577" s="1">
        <f>IF(Z577&gt;100000000/100,1,0)</f>
        <v>0</v>
      </c>
    </row>
    <row r="578" spans="1:28" s="1" customFormat="1">
      <c r="A578" s="3">
        <v>45826</v>
      </c>
      <c r="B578" s="2" t="s">
        <v>14</v>
      </c>
      <c r="C578" s="1">
        <f>SUM(PL!E578:H578)</f>
        <v>0</v>
      </c>
      <c r="D578" s="1">
        <f>SUM(PL!I578:L578)</f>
        <v>0</v>
      </c>
      <c r="E578" s="1">
        <f>SUM(C578:D578)</f>
        <v>0</v>
      </c>
      <c r="F578" s="1">
        <f>IF(C578 + F577 &lt; 0, C578 + F577, 0)</f>
        <v>0</v>
      </c>
      <c r="G578" s="1">
        <f>IF(D578 + G577 &lt; 0, D578 + G577, 0)</f>
        <v>0</v>
      </c>
      <c r="H578" s="1">
        <f>IF(E578 + H577 &lt; 0, E578 + H577, 0)</f>
        <v>0</v>
      </c>
      <c r="I578" s="1">
        <f>IF(H578 &lt; 0, 1 + I577, 0)</f>
        <v>0</v>
      </c>
      <c r="J578" s="1">
        <f>C578-((ABS(SUM(PL!E578:H578)))*0.125)</f>
        <v>0</v>
      </c>
      <c r="K578" s="1">
        <f>D578-((ABS(SUM(PL!I578:L578)))*0.125)</f>
        <v>0</v>
      </c>
      <c r="L578" s="1">
        <f>J578 + K578</f>
        <v>0</v>
      </c>
      <c r="M578" s="1">
        <f>IF(J578 + M577 &lt; 0, J578 + M577, 0)</f>
        <v>0</v>
      </c>
      <c r="N578" s="1">
        <f>IF(K578 + N577 &lt; 0, K578 + N577, 0)</f>
        <v>0</v>
      </c>
      <c r="O578" s="1">
        <f>IF(L578 + O577 &lt; 0, L578 + O577, 0)</f>
        <v>0</v>
      </c>
      <c r="P578" s="1">
        <f>IF(O578 &lt; 0, 1 + P577, 0)</f>
        <v>0</v>
      </c>
      <c r="Q578" s="1">
        <f>IF(E578&lt;0,1,0)</f>
        <v>0</v>
      </c>
      <c r="R578" s="1">
        <f>IF(Q578=1,E578,0)</f>
        <v>0</v>
      </c>
      <c r="S578" s="1">
        <f>IF(E578&gt;0,1,0)</f>
        <v>0</v>
      </c>
      <c r="T578" s="1">
        <f>IF(S578=1,E578,0)</f>
        <v>0</v>
      </c>
      <c r="U578" s="1">
        <f>IF(R578&lt;-100000000/100,1,0)</f>
        <v>0</v>
      </c>
      <c r="V578" s="1">
        <f>IF(T578&gt;100000000/100,1,0)</f>
        <v>0</v>
      </c>
      <c r="W578" s="1">
        <f>IF(L578&lt;0,1,0)</f>
        <v>0</v>
      </c>
      <c r="X578" s="1">
        <f>IF(W578=1,L578,0)</f>
        <v>0</v>
      </c>
      <c r="Y578" s="1">
        <f>IF(L578&gt;0,1,0)</f>
        <v>0</v>
      </c>
      <c r="Z578" s="1">
        <f>IF(Y578=1,L578,0)</f>
        <v>0</v>
      </c>
      <c r="AA578" s="1">
        <f>IF(X578&lt;-100000000/100,1,0)</f>
        <v>0</v>
      </c>
      <c r="AB578" s="1">
        <f>IF(Z578&gt;100000000/100,1,0)</f>
        <v>0</v>
      </c>
    </row>
    <row r="579" spans="1:28" s="1" customFormat="1">
      <c r="A579" s="3">
        <v>45827</v>
      </c>
      <c r="B579" s="2" t="s">
        <v>16</v>
      </c>
      <c r="C579" s="1">
        <f>SUM(PL!E579:H579)</f>
        <v>0</v>
      </c>
      <c r="D579" s="1">
        <f>SUM(PL!I579:L579)</f>
        <v>0</v>
      </c>
      <c r="E579" s="1">
        <f>SUM(C579:D579)</f>
        <v>0</v>
      </c>
      <c r="F579" s="1">
        <f>IF(C579 + F578 &lt; 0, C579 + F578, 0)</f>
        <v>0</v>
      </c>
      <c r="G579" s="1">
        <f>IF(D579 + G578 &lt; 0, D579 + G578, 0)</f>
        <v>0</v>
      </c>
      <c r="H579" s="1">
        <f>IF(E579 + H578 &lt; 0, E579 + H578, 0)</f>
        <v>0</v>
      </c>
      <c r="I579" s="1">
        <f>IF(H579 &lt; 0, 1 + I578, 0)</f>
        <v>0</v>
      </c>
      <c r="J579" s="1">
        <f>C579-((ABS(SUM(PL!E579:H579)))*0.125)</f>
        <v>0</v>
      </c>
      <c r="K579" s="1">
        <f>D579-((ABS(SUM(PL!I579:L579)))*0.125)</f>
        <v>0</v>
      </c>
      <c r="L579" s="1">
        <f>J579 + K579</f>
        <v>0</v>
      </c>
      <c r="M579" s="1">
        <f>IF(J579 + M578 &lt; 0, J579 + M578, 0)</f>
        <v>0</v>
      </c>
      <c r="N579" s="1">
        <f>IF(K579 + N578 &lt; 0, K579 + N578, 0)</f>
        <v>0</v>
      </c>
      <c r="O579" s="1">
        <f>IF(L579 + O578 &lt; 0, L579 + O578, 0)</f>
        <v>0</v>
      </c>
      <c r="P579" s="1">
        <f>IF(O579 &lt; 0, 1 + P578, 0)</f>
        <v>0</v>
      </c>
      <c r="Q579" s="1">
        <f>IF(E579&lt;0,1,0)</f>
        <v>0</v>
      </c>
      <c r="R579" s="1">
        <f>IF(Q579=1,E579,0)</f>
        <v>0</v>
      </c>
      <c r="S579" s="1">
        <f>IF(E579&gt;0,1,0)</f>
        <v>0</v>
      </c>
      <c r="T579" s="1">
        <f>IF(S579=1,E579,0)</f>
        <v>0</v>
      </c>
      <c r="U579" s="1">
        <f>IF(R579&lt;-100000000/100,1,0)</f>
        <v>0</v>
      </c>
      <c r="V579" s="1">
        <f>IF(T579&gt;100000000/100,1,0)</f>
        <v>0</v>
      </c>
      <c r="W579" s="1">
        <f>IF(L579&lt;0,1,0)</f>
        <v>0</v>
      </c>
      <c r="X579" s="1">
        <f>IF(W579=1,L579,0)</f>
        <v>0</v>
      </c>
      <c r="Y579" s="1">
        <f>IF(L579&gt;0,1,0)</f>
        <v>0</v>
      </c>
      <c r="Z579" s="1">
        <f>IF(Y579=1,L579,0)</f>
        <v>0</v>
      </c>
      <c r="AA579" s="1">
        <f>IF(X579&lt;-100000000/100,1,0)</f>
        <v>0</v>
      </c>
      <c r="AB579" s="1">
        <f>IF(Z579&gt;100000000/100,1,0)</f>
        <v>0</v>
      </c>
    </row>
    <row r="580" spans="1:28" s="1" customFormat="1">
      <c r="A580" s="3">
        <v>45828</v>
      </c>
      <c r="B580" s="2" t="s">
        <v>15</v>
      </c>
      <c r="C580" s="1">
        <f>SUM(PL!E580:H580)</f>
        <v>0</v>
      </c>
      <c r="D580" s="1">
        <f>SUM(PL!I580:L580)</f>
        <v>0</v>
      </c>
      <c r="E580" s="1">
        <f>SUM(C580:D580)</f>
        <v>0</v>
      </c>
      <c r="F580" s="1">
        <f>IF(C580 + F579 &lt; 0, C580 + F579, 0)</f>
        <v>0</v>
      </c>
      <c r="G580" s="1">
        <f>IF(D580 + G579 &lt; 0, D580 + G579, 0)</f>
        <v>0</v>
      </c>
      <c r="H580" s="1">
        <f>IF(E580 + H579 &lt; 0, E580 + H579, 0)</f>
        <v>0</v>
      </c>
      <c r="I580" s="1">
        <f>IF(H580 &lt; 0, 1 + I579, 0)</f>
        <v>0</v>
      </c>
      <c r="J580" s="1">
        <f>C580-((ABS(SUM(PL!E580:H580)))*0.125)</f>
        <v>0</v>
      </c>
      <c r="K580" s="1">
        <f>D580-((ABS(SUM(PL!I580:L580)))*0.125)</f>
        <v>0</v>
      </c>
      <c r="L580" s="1">
        <f>J580 + K580</f>
        <v>0</v>
      </c>
      <c r="M580" s="1">
        <f>IF(J580 + M579 &lt; 0, J580 + M579, 0)</f>
        <v>0</v>
      </c>
      <c r="N580" s="1">
        <f>IF(K580 + N579 &lt; 0, K580 + N579, 0)</f>
        <v>0</v>
      </c>
      <c r="O580" s="1">
        <f>IF(L580 + O579 &lt; 0, L580 + O579, 0)</f>
        <v>0</v>
      </c>
      <c r="P580" s="1">
        <f>IF(O580 &lt; 0, 1 + P579, 0)</f>
        <v>0</v>
      </c>
      <c r="Q580" s="1">
        <f>IF(E580&lt;0,1,0)</f>
        <v>0</v>
      </c>
      <c r="R580" s="1">
        <f>IF(Q580=1,E580,0)</f>
        <v>0</v>
      </c>
      <c r="S580" s="1">
        <f>IF(E580&gt;0,1,0)</f>
        <v>0</v>
      </c>
      <c r="T580" s="1">
        <f>IF(S580=1,E580,0)</f>
        <v>0</v>
      </c>
      <c r="U580" s="1">
        <f>IF(R580&lt;-100000000/100,1,0)</f>
        <v>0</v>
      </c>
      <c r="V580" s="1">
        <f>IF(T580&gt;100000000/100,1,0)</f>
        <v>0</v>
      </c>
      <c r="W580" s="1">
        <f>IF(L580&lt;0,1,0)</f>
        <v>0</v>
      </c>
      <c r="X580" s="1">
        <f>IF(W580=1,L580,0)</f>
        <v>0</v>
      </c>
      <c r="Y580" s="1">
        <f>IF(L580&gt;0,1,0)</f>
        <v>0</v>
      </c>
      <c r="Z580" s="1">
        <f>IF(Y580=1,L580,0)</f>
        <v>0</v>
      </c>
      <c r="AA580" s="1">
        <f>IF(X580&lt;-100000000/100,1,0)</f>
        <v>0</v>
      </c>
      <c r="AB580" s="1">
        <f>IF(Z580&gt;100000000/100,1,0)</f>
        <v>0</v>
      </c>
    </row>
    <row r="581" spans="1:28" s="1" customFormat="1">
      <c r="A581" s="3">
        <v>45831</v>
      </c>
      <c r="B581" s="2" t="s">
        <v>12</v>
      </c>
      <c r="C581" s="1">
        <f>SUM(PL!E581:H581)</f>
        <v>0</v>
      </c>
      <c r="D581" s="1">
        <f>SUM(PL!I581:L581)</f>
        <v>0</v>
      </c>
      <c r="E581" s="1">
        <f>SUM(C581:D581)</f>
        <v>0</v>
      </c>
      <c r="F581" s="1">
        <f>IF(C581 + F580 &lt; 0, C581 + F580, 0)</f>
        <v>0</v>
      </c>
      <c r="G581" s="1">
        <f>IF(D581 + G580 &lt; 0, D581 + G580, 0)</f>
        <v>0</v>
      </c>
      <c r="H581" s="1">
        <f>IF(E581 + H580 &lt; 0, E581 + H580, 0)</f>
        <v>0</v>
      </c>
      <c r="I581" s="1">
        <f>IF(H581 &lt; 0, 1 + I580, 0)</f>
        <v>0</v>
      </c>
      <c r="J581" s="1">
        <f>C581-((ABS(SUM(PL!E581:H581)))*0.125)</f>
        <v>0</v>
      </c>
      <c r="K581" s="1">
        <f>D581-((ABS(SUM(PL!I581:L581)))*0.125)</f>
        <v>0</v>
      </c>
      <c r="L581" s="1">
        <f>J581 + K581</f>
        <v>0</v>
      </c>
      <c r="M581" s="1">
        <f>IF(J581 + M580 &lt; 0, J581 + M580, 0)</f>
        <v>0</v>
      </c>
      <c r="N581" s="1">
        <f>IF(K581 + N580 &lt; 0, K581 + N580, 0)</f>
        <v>0</v>
      </c>
      <c r="O581" s="1">
        <f>IF(L581 + O580 &lt; 0, L581 + O580, 0)</f>
        <v>0</v>
      </c>
      <c r="P581" s="1">
        <f>IF(O581 &lt; 0, 1 + P580, 0)</f>
        <v>0</v>
      </c>
      <c r="Q581" s="1">
        <f>IF(E581&lt;0,1,0)</f>
        <v>0</v>
      </c>
      <c r="R581" s="1">
        <f>IF(Q581=1,E581,0)</f>
        <v>0</v>
      </c>
      <c r="S581" s="1">
        <f>IF(E581&gt;0,1,0)</f>
        <v>0</v>
      </c>
      <c r="T581" s="1">
        <f>IF(S581=1,E581,0)</f>
        <v>0</v>
      </c>
      <c r="U581" s="1">
        <f>IF(R581&lt;-100000000/100,1,0)</f>
        <v>0</v>
      </c>
      <c r="V581" s="1">
        <f>IF(T581&gt;100000000/100,1,0)</f>
        <v>0</v>
      </c>
      <c r="W581" s="1">
        <f>IF(L581&lt;0,1,0)</f>
        <v>0</v>
      </c>
      <c r="X581" s="1">
        <f>IF(W581=1,L581,0)</f>
        <v>0</v>
      </c>
      <c r="Y581" s="1">
        <f>IF(L581&gt;0,1,0)</f>
        <v>0</v>
      </c>
      <c r="Z581" s="1">
        <f>IF(Y581=1,L581,0)</f>
        <v>0</v>
      </c>
      <c r="AA581" s="1">
        <f>IF(X581&lt;-100000000/100,1,0)</f>
        <v>0</v>
      </c>
      <c r="AB581" s="1">
        <f>IF(Z581&gt;100000000/100,1,0)</f>
        <v>0</v>
      </c>
    </row>
    <row r="582" spans="1:28" s="1" customFormat="1">
      <c r="A582" s="3">
        <v>45832</v>
      </c>
      <c r="B582" s="2" t="s">
        <v>13</v>
      </c>
      <c r="C582" s="1">
        <f>SUM(PL!E582:H582)</f>
        <v>0</v>
      </c>
      <c r="D582" s="1">
        <f>SUM(PL!I582:L582)</f>
        <v>0</v>
      </c>
      <c r="E582" s="1">
        <f>SUM(C582:D582)</f>
        <v>0</v>
      </c>
      <c r="F582" s="1">
        <f>IF(C582 + F581 &lt; 0, C582 + F581, 0)</f>
        <v>0</v>
      </c>
      <c r="G582" s="1">
        <f>IF(D582 + G581 &lt; 0, D582 + G581, 0)</f>
        <v>0</v>
      </c>
      <c r="H582" s="1">
        <f>IF(E582 + H581 &lt; 0, E582 + H581, 0)</f>
        <v>0</v>
      </c>
      <c r="I582" s="1">
        <f>IF(H582 &lt; 0, 1 + I581, 0)</f>
        <v>0</v>
      </c>
      <c r="J582" s="1">
        <f>C582-((ABS(SUM(PL!E582:H582)))*0.125)</f>
        <v>0</v>
      </c>
      <c r="K582" s="1">
        <f>D582-((ABS(SUM(PL!I582:L582)))*0.125)</f>
        <v>0</v>
      </c>
      <c r="L582" s="1">
        <f>J582 + K582</f>
        <v>0</v>
      </c>
      <c r="M582" s="1">
        <f>IF(J582 + M581 &lt; 0, J582 + M581, 0)</f>
        <v>0</v>
      </c>
      <c r="N582" s="1">
        <f>IF(K582 + N581 &lt; 0, K582 + N581, 0)</f>
        <v>0</v>
      </c>
      <c r="O582" s="1">
        <f>IF(L582 + O581 &lt; 0, L582 + O581, 0)</f>
        <v>0</v>
      </c>
      <c r="P582" s="1">
        <f>IF(O582 &lt; 0, 1 + P581, 0)</f>
        <v>0</v>
      </c>
      <c r="Q582" s="1">
        <f>IF(E582&lt;0,1,0)</f>
        <v>0</v>
      </c>
      <c r="R582" s="1">
        <f>IF(Q582=1,E582,0)</f>
        <v>0</v>
      </c>
      <c r="S582" s="1">
        <f>IF(E582&gt;0,1,0)</f>
        <v>0</v>
      </c>
      <c r="T582" s="1">
        <f>IF(S582=1,E582,0)</f>
        <v>0</v>
      </c>
      <c r="U582" s="1">
        <f>IF(R582&lt;-100000000/100,1,0)</f>
        <v>0</v>
      </c>
      <c r="V582" s="1">
        <f>IF(T582&gt;100000000/100,1,0)</f>
        <v>0</v>
      </c>
      <c r="W582" s="1">
        <f>IF(L582&lt;0,1,0)</f>
        <v>0</v>
      </c>
      <c r="X582" s="1">
        <f>IF(W582=1,L582,0)</f>
        <v>0</v>
      </c>
      <c r="Y582" s="1">
        <f>IF(L582&gt;0,1,0)</f>
        <v>0</v>
      </c>
      <c r="Z582" s="1">
        <f>IF(Y582=1,L582,0)</f>
        <v>0</v>
      </c>
      <c r="AA582" s="1">
        <f>IF(X582&lt;-100000000/100,1,0)</f>
        <v>0</v>
      </c>
      <c r="AB582" s="1">
        <f>IF(Z582&gt;100000000/100,1,0)</f>
        <v>0</v>
      </c>
    </row>
    <row r="583" spans="1:28" s="1" customFormat="1">
      <c r="A583" s="3">
        <v>45833</v>
      </c>
      <c r="B583" s="2" t="s">
        <v>14</v>
      </c>
      <c r="C583" s="1">
        <f>SUM(PL!E583:H583)</f>
        <v>0</v>
      </c>
      <c r="D583" s="1">
        <f>SUM(PL!I583:L583)</f>
        <v>0</v>
      </c>
      <c r="E583" s="1">
        <f>SUM(C583:D583)</f>
        <v>0</v>
      </c>
      <c r="F583" s="1">
        <f>IF(C583 + F582 &lt; 0, C583 + F582, 0)</f>
        <v>0</v>
      </c>
      <c r="G583" s="1">
        <f>IF(D583 + G582 &lt; 0, D583 + G582, 0)</f>
        <v>0</v>
      </c>
      <c r="H583" s="1">
        <f>IF(E583 + H582 &lt; 0, E583 + H582, 0)</f>
        <v>0</v>
      </c>
      <c r="I583" s="1">
        <f>IF(H583 &lt; 0, 1 + I582, 0)</f>
        <v>0</v>
      </c>
      <c r="J583" s="1">
        <f>C583-((ABS(SUM(PL!E583:H583)))*0.125)</f>
        <v>0</v>
      </c>
      <c r="K583" s="1">
        <f>D583-((ABS(SUM(PL!I583:L583)))*0.125)</f>
        <v>0</v>
      </c>
      <c r="L583" s="1">
        <f>J583 + K583</f>
        <v>0</v>
      </c>
      <c r="M583" s="1">
        <f>IF(J583 + M582 &lt; 0, J583 + M582, 0)</f>
        <v>0</v>
      </c>
      <c r="N583" s="1">
        <f>IF(K583 + N582 &lt; 0, K583 + N582, 0)</f>
        <v>0</v>
      </c>
      <c r="O583" s="1">
        <f>IF(L583 + O582 &lt; 0, L583 + O582, 0)</f>
        <v>0</v>
      </c>
      <c r="P583" s="1">
        <f>IF(O583 &lt; 0, 1 + P582, 0)</f>
        <v>0</v>
      </c>
      <c r="Q583" s="1">
        <f>IF(E583&lt;0,1,0)</f>
        <v>0</v>
      </c>
      <c r="R583" s="1">
        <f>IF(Q583=1,E583,0)</f>
        <v>0</v>
      </c>
      <c r="S583" s="1">
        <f>IF(E583&gt;0,1,0)</f>
        <v>0</v>
      </c>
      <c r="T583" s="1">
        <f>IF(S583=1,E583,0)</f>
        <v>0</v>
      </c>
      <c r="U583" s="1">
        <f>IF(R583&lt;-100000000/100,1,0)</f>
        <v>0</v>
      </c>
      <c r="V583" s="1">
        <f>IF(T583&gt;100000000/100,1,0)</f>
        <v>0</v>
      </c>
      <c r="W583" s="1">
        <f>IF(L583&lt;0,1,0)</f>
        <v>0</v>
      </c>
      <c r="X583" s="1">
        <f>IF(W583=1,L583,0)</f>
        <v>0</v>
      </c>
      <c r="Y583" s="1">
        <f>IF(L583&gt;0,1,0)</f>
        <v>0</v>
      </c>
      <c r="Z583" s="1">
        <f>IF(Y583=1,L583,0)</f>
        <v>0</v>
      </c>
      <c r="AA583" s="1">
        <f>IF(X583&lt;-100000000/100,1,0)</f>
        <v>0</v>
      </c>
      <c r="AB583" s="1">
        <f>IF(Z583&gt;100000000/100,1,0)</f>
        <v>0</v>
      </c>
    </row>
    <row r="584" spans="1:28" s="1" customFormat="1">
      <c r="A584" s="3">
        <v>45834</v>
      </c>
      <c r="B584" s="2" t="s">
        <v>16</v>
      </c>
      <c r="C584" s="1">
        <f>SUM(PL!E584:H584)</f>
        <v>0</v>
      </c>
      <c r="D584" s="1">
        <f>SUM(PL!I584:L584)</f>
        <v>0</v>
      </c>
      <c r="E584" s="1">
        <f>SUM(C584:D584)</f>
        <v>0</v>
      </c>
      <c r="F584" s="1">
        <f>IF(C584 + F583 &lt; 0, C584 + F583, 0)</f>
        <v>0</v>
      </c>
      <c r="G584" s="1">
        <f>IF(D584 + G583 &lt; 0, D584 + G583, 0)</f>
        <v>0</v>
      </c>
      <c r="H584" s="1">
        <f>IF(E584 + H583 &lt; 0, E584 + H583, 0)</f>
        <v>0</v>
      </c>
      <c r="I584" s="1">
        <f>IF(H584 &lt; 0, 1 + I583, 0)</f>
        <v>0</v>
      </c>
      <c r="J584" s="1">
        <f>C584-((ABS(SUM(PL!E584:H584)))*0.125)</f>
        <v>0</v>
      </c>
      <c r="K584" s="1">
        <f>D584-((ABS(SUM(PL!I584:L584)))*0.125)</f>
        <v>0</v>
      </c>
      <c r="L584" s="1">
        <f>J584 + K584</f>
        <v>0</v>
      </c>
      <c r="M584" s="1">
        <f>IF(J584 + M583 &lt; 0, J584 + M583, 0)</f>
        <v>0</v>
      </c>
      <c r="N584" s="1">
        <f>IF(K584 + N583 &lt; 0, K584 + N583, 0)</f>
        <v>0</v>
      </c>
      <c r="O584" s="1">
        <f>IF(L584 + O583 &lt; 0, L584 + O583, 0)</f>
        <v>0</v>
      </c>
      <c r="P584" s="1">
        <f>IF(O584 &lt; 0, 1 + P583, 0)</f>
        <v>0</v>
      </c>
      <c r="Q584" s="1">
        <f>IF(E584&lt;0,1,0)</f>
        <v>0</v>
      </c>
      <c r="R584" s="1">
        <f>IF(Q584=1,E584,0)</f>
        <v>0</v>
      </c>
      <c r="S584" s="1">
        <f>IF(E584&gt;0,1,0)</f>
        <v>0</v>
      </c>
      <c r="T584" s="1">
        <f>IF(S584=1,E584,0)</f>
        <v>0</v>
      </c>
      <c r="U584" s="1">
        <f>IF(R584&lt;-100000000/100,1,0)</f>
        <v>0</v>
      </c>
      <c r="V584" s="1">
        <f>IF(T584&gt;100000000/100,1,0)</f>
        <v>0</v>
      </c>
      <c r="W584" s="1">
        <f>IF(L584&lt;0,1,0)</f>
        <v>0</v>
      </c>
      <c r="X584" s="1">
        <f>IF(W584=1,L584,0)</f>
        <v>0</v>
      </c>
      <c r="Y584" s="1">
        <f>IF(L584&gt;0,1,0)</f>
        <v>0</v>
      </c>
      <c r="Z584" s="1">
        <f>IF(Y584=1,L584,0)</f>
        <v>0</v>
      </c>
      <c r="AA584" s="1">
        <f>IF(X584&lt;-100000000/100,1,0)</f>
        <v>0</v>
      </c>
      <c r="AB584" s="1">
        <f>IF(Z584&gt;100000000/100,1,0)</f>
        <v>0</v>
      </c>
    </row>
    <row r="585" spans="1:28" s="1" customFormat="1">
      <c r="A585" s="3">
        <v>45835</v>
      </c>
      <c r="B585" s="2" t="s">
        <v>15</v>
      </c>
      <c r="C585" s="1">
        <f>SUM(PL!E585:H585)</f>
        <v>0</v>
      </c>
      <c r="D585" s="1">
        <f>SUM(PL!I585:L585)</f>
        <v>0</v>
      </c>
      <c r="E585" s="1">
        <f>SUM(C585:D585)</f>
        <v>0</v>
      </c>
      <c r="F585" s="1">
        <f>IF(C585 + F584 &lt; 0, C585 + F584, 0)</f>
        <v>0</v>
      </c>
      <c r="G585" s="1">
        <f>IF(D585 + G584 &lt; 0, D585 + G584, 0)</f>
        <v>0</v>
      </c>
      <c r="H585" s="1">
        <f>IF(E585 + H584 &lt; 0, E585 + H584, 0)</f>
        <v>0</v>
      </c>
      <c r="I585" s="1">
        <f>IF(H585 &lt; 0, 1 + I584, 0)</f>
        <v>0</v>
      </c>
      <c r="J585" s="1">
        <f>C585-((ABS(SUM(PL!E585:H585)))*0.125)</f>
        <v>0</v>
      </c>
      <c r="K585" s="1">
        <f>D585-((ABS(SUM(PL!I585:L585)))*0.125)</f>
        <v>0</v>
      </c>
      <c r="L585" s="1">
        <f>J585 + K585</f>
        <v>0</v>
      </c>
      <c r="M585" s="1">
        <f>IF(J585 + M584 &lt; 0, J585 + M584, 0)</f>
        <v>0</v>
      </c>
      <c r="N585" s="1">
        <f>IF(K585 + N584 &lt; 0, K585 + N584, 0)</f>
        <v>0</v>
      </c>
      <c r="O585" s="1">
        <f>IF(L585 + O584 &lt; 0, L585 + O584, 0)</f>
        <v>0</v>
      </c>
      <c r="P585" s="1">
        <f>IF(O585 &lt; 0, 1 + P584, 0)</f>
        <v>0</v>
      </c>
      <c r="Q585" s="1">
        <f>IF(E585&lt;0,1,0)</f>
        <v>0</v>
      </c>
      <c r="R585" s="1">
        <f>IF(Q585=1,E585,0)</f>
        <v>0</v>
      </c>
      <c r="S585" s="1">
        <f>IF(E585&gt;0,1,0)</f>
        <v>0</v>
      </c>
      <c r="T585" s="1">
        <f>IF(S585=1,E585,0)</f>
        <v>0</v>
      </c>
      <c r="U585" s="1">
        <f>IF(R585&lt;-100000000/100,1,0)</f>
        <v>0</v>
      </c>
      <c r="V585" s="1">
        <f>IF(T585&gt;100000000/100,1,0)</f>
        <v>0</v>
      </c>
      <c r="W585" s="1">
        <f>IF(L585&lt;0,1,0)</f>
        <v>0</v>
      </c>
      <c r="X585" s="1">
        <f>IF(W585=1,L585,0)</f>
        <v>0</v>
      </c>
      <c r="Y585" s="1">
        <f>IF(L585&gt;0,1,0)</f>
        <v>0</v>
      </c>
      <c r="Z585" s="1">
        <f>IF(Y585=1,L585,0)</f>
        <v>0</v>
      </c>
      <c r="AA585" s="1">
        <f>IF(X585&lt;-100000000/100,1,0)</f>
        <v>0</v>
      </c>
      <c r="AB585" s="1">
        <f>IF(Z585&gt;100000000/100,1,0)</f>
        <v>0</v>
      </c>
    </row>
    <row r="586" spans="1:28" s="1" customFormat="1">
      <c r="A586" s="3">
        <v>45838</v>
      </c>
      <c r="B586" s="2" t="s">
        <v>12</v>
      </c>
      <c r="C586" s="1">
        <f>SUM(PL!E586:H586)</f>
        <v>0</v>
      </c>
      <c r="D586" s="1">
        <f>SUM(PL!I586:L586)</f>
        <v>0</v>
      </c>
      <c r="E586" s="1">
        <f>SUM(C586:D586)</f>
        <v>0</v>
      </c>
      <c r="F586" s="1">
        <f>IF(C586 + F585 &lt; 0, C586 + F585, 0)</f>
        <v>0</v>
      </c>
      <c r="G586" s="1">
        <f>IF(D586 + G585 &lt; 0, D586 + G585, 0)</f>
        <v>0</v>
      </c>
      <c r="H586" s="1">
        <f>IF(E586 + H585 &lt; 0, E586 + H585, 0)</f>
        <v>0</v>
      </c>
      <c r="I586" s="1">
        <f>IF(H586 &lt; 0, 1 + I585, 0)</f>
        <v>0</v>
      </c>
      <c r="J586" s="1">
        <f>C586-((ABS(SUM(PL!E586:H586)))*0.125)</f>
        <v>0</v>
      </c>
      <c r="K586" s="1">
        <f>D586-((ABS(SUM(PL!I586:L586)))*0.125)</f>
        <v>0</v>
      </c>
      <c r="L586" s="1">
        <f>J586 + K586</f>
        <v>0</v>
      </c>
      <c r="M586" s="1">
        <f>IF(J586 + M585 &lt; 0, J586 + M585, 0)</f>
        <v>0</v>
      </c>
      <c r="N586" s="1">
        <f>IF(K586 + N585 &lt; 0, K586 + N585, 0)</f>
        <v>0</v>
      </c>
      <c r="O586" s="1">
        <f>IF(L586 + O585 &lt; 0, L586 + O585, 0)</f>
        <v>0</v>
      </c>
      <c r="P586" s="1">
        <f>IF(O586 &lt; 0, 1 + P585, 0)</f>
        <v>0</v>
      </c>
      <c r="Q586" s="1">
        <f>IF(E586&lt;0,1,0)</f>
        <v>0</v>
      </c>
      <c r="R586" s="1">
        <f>IF(Q586=1,E586,0)</f>
        <v>0</v>
      </c>
      <c r="S586" s="1">
        <f>IF(E586&gt;0,1,0)</f>
        <v>0</v>
      </c>
      <c r="T586" s="1">
        <f>IF(S586=1,E586,0)</f>
        <v>0</v>
      </c>
      <c r="U586" s="1">
        <f>IF(R586&lt;-100000000/100,1,0)</f>
        <v>0</v>
      </c>
      <c r="V586" s="1">
        <f>IF(T586&gt;100000000/100,1,0)</f>
        <v>0</v>
      </c>
      <c r="W586" s="1">
        <f>IF(L586&lt;0,1,0)</f>
        <v>0</v>
      </c>
      <c r="X586" s="1">
        <f>IF(W586=1,L586,0)</f>
        <v>0</v>
      </c>
      <c r="Y586" s="1">
        <f>IF(L586&gt;0,1,0)</f>
        <v>0</v>
      </c>
      <c r="Z586" s="1">
        <f>IF(Y586=1,L586,0)</f>
        <v>0</v>
      </c>
      <c r="AA586" s="1">
        <f>IF(X586&lt;-100000000/100,1,0)</f>
        <v>0</v>
      </c>
      <c r="AB586" s="1">
        <f>IF(Z586&gt;100000000/100,1,0)</f>
        <v>0</v>
      </c>
    </row>
    <row r="587" spans="1:28" s="1" customFormat="1">
      <c r="A587" s="3">
        <v>45839</v>
      </c>
      <c r="B587" s="2" t="s">
        <v>13</v>
      </c>
      <c r="C587" s="1">
        <f>SUM(PL!E587:H587)</f>
        <v>0</v>
      </c>
      <c r="D587" s="1">
        <f>SUM(PL!I587:L587)</f>
        <v>0</v>
      </c>
      <c r="E587" s="1">
        <f>SUM(C587:D587)</f>
        <v>0</v>
      </c>
      <c r="F587" s="1">
        <f>IF(C587 + F586 &lt; 0, C587 + F586, 0)</f>
        <v>0</v>
      </c>
      <c r="G587" s="1">
        <f>IF(D587 + G586 &lt; 0, D587 + G586, 0)</f>
        <v>0</v>
      </c>
      <c r="H587" s="1">
        <f>IF(E587 + H586 &lt; 0, E587 + H586, 0)</f>
        <v>0</v>
      </c>
      <c r="I587" s="1">
        <f>IF(H587 &lt; 0, 1 + I586, 0)</f>
        <v>0</v>
      </c>
      <c r="J587" s="1">
        <f>C587-((ABS(SUM(PL!E587:H587)))*0.125)</f>
        <v>0</v>
      </c>
      <c r="K587" s="1">
        <f>D587-((ABS(SUM(PL!I587:L587)))*0.125)</f>
        <v>0</v>
      </c>
      <c r="L587" s="1">
        <f>J587 + K587</f>
        <v>0</v>
      </c>
      <c r="M587" s="1">
        <f>IF(J587 + M586 &lt; 0, J587 + M586, 0)</f>
        <v>0</v>
      </c>
      <c r="N587" s="1">
        <f>IF(K587 + N586 &lt; 0, K587 + N586, 0)</f>
        <v>0</v>
      </c>
      <c r="O587" s="1">
        <f>IF(L587 + O586 &lt; 0, L587 + O586, 0)</f>
        <v>0</v>
      </c>
      <c r="P587" s="1">
        <f>IF(O587 &lt; 0, 1 + P586, 0)</f>
        <v>0</v>
      </c>
      <c r="Q587" s="1">
        <f>IF(E587&lt;0,1,0)</f>
        <v>0</v>
      </c>
      <c r="R587" s="1">
        <f>IF(Q587=1,E587,0)</f>
        <v>0</v>
      </c>
      <c r="S587" s="1">
        <f>IF(E587&gt;0,1,0)</f>
        <v>0</v>
      </c>
      <c r="T587" s="1">
        <f>IF(S587=1,E587,0)</f>
        <v>0</v>
      </c>
      <c r="U587" s="1">
        <f>IF(R587&lt;-100000000/100,1,0)</f>
        <v>0</v>
      </c>
      <c r="V587" s="1">
        <f>IF(T587&gt;100000000/100,1,0)</f>
        <v>0</v>
      </c>
      <c r="W587" s="1">
        <f>IF(L587&lt;0,1,0)</f>
        <v>0</v>
      </c>
      <c r="X587" s="1">
        <f>IF(W587=1,L587,0)</f>
        <v>0</v>
      </c>
      <c r="Y587" s="1">
        <f>IF(L587&gt;0,1,0)</f>
        <v>0</v>
      </c>
      <c r="Z587" s="1">
        <f>IF(Y587=1,L587,0)</f>
        <v>0</v>
      </c>
      <c r="AA587" s="1">
        <f>IF(X587&lt;-100000000/100,1,0)</f>
        <v>0</v>
      </c>
      <c r="AB587" s="1">
        <f>IF(Z587&gt;100000000/100,1,0)</f>
        <v>0</v>
      </c>
    </row>
    <row r="588" spans="1:28" s="1" customFormat="1">
      <c r="A588" s="3">
        <v>45840</v>
      </c>
      <c r="B588" s="2" t="s">
        <v>14</v>
      </c>
      <c r="C588" s="1">
        <f>SUM(PL!E588:H588)</f>
        <v>0</v>
      </c>
      <c r="D588" s="1">
        <f>SUM(PL!I588:L588)</f>
        <v>0</v>
      </c>
      <c r="E588" s="1">
        <f>SUM(C588:D588)</f>
        <v>0</v>
      </c>
      <c r="F588" s="1">
        <f>IF(C588 + F587 &lt; 0, C588 + F587, 0)</f>
        <v>0</v>
      </c>
      <c r="G588" s="1">
        <f>IF(D588 + G587 &lt; 0, D588 + G587, 0)</f>
        <v>0</v>
      </c>
      <c r="H588" s="1">
        <f>IF(E588 + H587 &lt; 0, E588 + H587, 0)</f>
        <v>0</v>
      </c>
      <c r="I588" s="1">
        <f>IF(H588 &lt; 0, 1 + I587, 0)</f>
        <v>0</v>
      </c>
      <c r="J588" s="1">
        <f>C588-((ABS(SUM(PL!E588:H588)))*0.125)</f>
        <v>0</v>
      </c>
      <c r="K588" s="1">
        <f>D588-((ABS(SUM(PL!I588:L588)))*0.125)</f>
        <v>0</v>
      </c>
      <c r="L588" s="1">
        <f>J588 + K588</f>
        <v>0</v>
      </c>
      <c r="M588" s="1">
        <f>IF(J588 + M587 &lt; 0, J588 + M587, 0)</f>
        <v>0</v>
      </c>
      <c r="N588" s="1">
        <f>IF(K588 + N587 &lt; 0, K588 + N587, 0)</f>
        <v>0</v>
      </c>
      <c r="O588" s="1">
        <f>IF(L588 + O587 &lt; 0, L588 + O587, 0)</f>
        <v>0</v>
      </c>
      <c r="P588" s="1">
        <f>IF(O588 &lt; 0, 1 + P587, 0)</f>
        <v>0</v>
      </c>
      <c r="Q588" s="1">
        <f>IF(E588&lt;0,1,0)</f>
        <v>0</v>
      </c>
      <c r="R588" s="1">
        <f>IF(Q588=1,E588,0)</f>
        <v>0</v>
      </c>
      <c r="S588" s="1">
        <f>IF(E588&gt;0,1,0)</f>
        <v>0</v>
      </c>
      <c r="T588" s="1">
        <f>IF(S588=1,E588,0)</f>
        <v>0</v>
      </c>
      <c r="U588" s="1">
        <f>IF(R588&lt;-100000000/100,1,0)</f>
        <v>0</v>
      </c>
      <c r="V588" s="1">
        <f>IF(T588&gt;100000000/100,1,0)</f>
        <v>0</v>
      </c>
      <c r="W588" s="1">
        <f>IF(L588&lt;0,1,0)</f>
        <v>0</v>
      </c>
      <c r="X588" s="1">
        <f>IF(W588=1,L588,0)</f>
        <v>0</v>
      </c>
      <c r="Y588" s="1">
        <f>IF(L588&gt;0,1,0)</f>
        <v>0</v>
      </c>
      <c r="Z588" s="1">
        <f>IF(Y588=1,L588,0)</f>
        <v>0</v>
      </c>
      <c r="AA588" s="1">
        <f>IF(X588&lt;-100000000/100,1,0)</f>
        <v>0</v>
      </c>
      <c r="AB588" s="1">
        <f>IF(Z588&gt;100000000/100,1,0)</f>
        <v>0</v>
      </c>
    </row>
    <row r="589" spans="1:28" s="1" customFormat="1">
      <c r="A589" s="3">
        <v>45841</v>
      </c>
      <c r="B589" s="2" t="s">
        <v>16</v>
      </c>
      <c r="C589" s="1">
        <f>SUM(PL!E589:H589)</f>
        <v>0</v>
      </c>
      <c r="D589" s="1">
        <f>SUM(PL!I589:L589)</f>
        <v>0</v>
      </c>
      <c r="E589" s="1">
        <f>SUM(C589:D589)</f>
        <v>0</v>
      </c>
      <c r="F589" s="1">
        <f>IF(C589 + F588 &lt; 0, C589 + F588, 0)</f>
        <v>0</v>
      </c>
      <c r="G589" s="1">
        <f>IF(D589 + G588 &lt; 0, D589 + G588, 0)</f>
        <v>0</v>
      </c>
      <c r="H589" s="1">
        <f>IF(E589 + H588 &lt; 0, E589 + H588, 0)</f>
        <v>0</v>
      </c>
      <c r="I589" s="1">
        <f>IF(H589 &lt; 0, 1 + I588, 0)</f>
        <v>0</v>
      </c>
      <c r="J589" s="1">
        <f>C589-((ABS(SUM(PL!E589:H589)))*0.125)</f>
        <v>0</v>
      </c>
      <c r="K589" s="1">
        <f>D589-((ABS(SUM(PL!I589:L589)))*0.125)</f>
        <v>0</v>
      </c>
      <c r="L589" s="1">
        <f>J589 + K589</f>
        <v>0</v>
      </c>
      <c r="M589" s="1">
        <f>IF(J589 + M588 &lt; 0, J589 + M588, 0)</f>
        <v>0</v>
      </c>
      <c r="N589" s="1">
        <f>IF(K589 + N588 &lt; 0, K589 + N588, 0)</f>
        <v>0</v>
      </c>
      <c r="O589" s="1">
        <f>IF(L589 + O588 &lt; 0, L589 + O588, 0)</f>
        <v>0</v>
      </c>
      <c r="P589" s="1">
        <f>IF(O589 &lt; 0, 1 + P588, 0)</f>
        <v>0</v>
      </c>
      <c r="Q589" s="1">
        <f>IF(E589&lt;0,1,0)</f>
        <v>0</v>
      </c>
      <c r="R589" s="1">
        <f>IF(Q589=1,E589,0)</f>
        <v>0</v>
      </c>
      <c r="S589" s="1">
        <f>IF(E589&gt;0,1,0)</f>
        <v>0</v>
      </c>
      <c r="T589" s="1">
        <f>IF(S589=1,E589,0)</f>
        <v>0</v>
      </c>
      <c r="U589" s="1">
        <f>IF(R589&lt;-100000000/100,1,0)</f>
        <v>0</v>
      </c>
      <c r="V589" s="1">
        <f>IF(T589&gt;100000000/100,1,0)</f>
        <v>0</v>
      </c>
      <c r="W589" s="1">
        <f>IF(L589&lt;0,1,0)</f>
        <v>0</v>
      </c>
      <c r="X589" s="1">
        <f>IF(W589=1,L589,0)</f>
        <v>0</v>
      </c>
      <c r="Y589" s="1">
        <f>IF(L589&gt;0,1,0)</f>
        <v>0</v>
      </c>
      <c r="Z589" s="1">
        <f>IF(Y589=1,L589,0)</f>
        <v>0</v>
      </c>
      <c r="AA589" s="1">
        <f>IF(X589&lt;-100000000/100,1,0)</f>
        <v>0</v>
      </c>
      <c r="AB589" s="1">
        <f>IF(Z589&gt;100000000/100,1,0)</f>
        <v>0</v>
      </c>
    </row>
    <row r="590" spans="1:28" s="1" customFormat="1">
      <c r="A590" s="3">
        <v>45842</v>
      </c>
      <c r="B590" s="2" t="s">
        <v>15</v>
      </c>
      <c r="C590" s="1">
        <f>SUM(PL!E590:H590)</f>
        <v>0</v>
      </c>
      <c r="D590" s="1">
        <f>SUM(PL!I590:L590)</f>
        <v>0</v>
      </c>
      <c r="E590" s="1">
        <f>SUM(C590:D590)</f>
        <v>0</v>
      </c>
      <c r="F590" s="1">
        <f>IF(C590 + F589 &lt; 0, C590 + F589, 0)</f>
        <v>0</v>
      </c>
      <c r="G590" s="1">
        <f>IF(D590 + G589 &lt; 0, D590 + G589, 0)</f>
        <v>0</v>
      </c>
      <c r="H590" s="1">
        <f>IF(E590 + H589 &lt; 0, E590 + H589, 0)</f>
        <v>0</v>
      </c>
      <c r="I590" s="1">
        <f>IF(H590 &lt; 0, 1 + I589, 0)</f>
        <v>0</v>
      </c>
      <c r="J590" s="1">
        <f>C590-((ABS(SUM(PL!E590:H590)))*0.125)</f>
        <v>0</v>
      </c>
      <c r="K590" s="1">
        <f>D590-((ABS(SUM(PL!I590:L590)))*0.125)</f>
        <v>0</v>
      </c>
      <c r="L590" s="1">
        <f>J590 + K590</f>
        <v>0</v>
      </c>
      <c r="M590" s="1">
        <f>IF(J590 + M589 &lt; 0, J590 + M589, 0)</f>
        <v>0</v>
      </c>
      <c r="N590" s="1">
        <f>IF(K590 + N589 &lt; 0, K590 + N589, 0)</f>
        <v>0</v>
      </c>
      <c r="O590" s="1">
        <f>IF(L590 + O589 &lt; 0, L590 + O589, 0)</f>
        <v>0</v>
      </c>
      <c r="P590" s="1">
        <f>IF(O590 &lt; 0, 1 + P589, 0)</f>
        <v>0</v>
      </c>
      <c r="Q590" s="1">
        <f>IF(E590&lt;0,1,0)</f>
        <v>0</v>
      </c>
      <c r="R590" s="1">
        <f>IF(Q590=1,E590,0)</f>
        <v>0</v>
      </c>
      <c r="S590" s="1">
        <f>IF(E590&gt;0,1,0)</f>
        <v>0</v>
      </c>
      <c r="T590" s="1">
        <f>IF(S590=1,E590,0)</f>
        <v>0</v>
      </c>
      <c r="U590" s="1">
        <f>IF(R590&lt;-100000000/100,1,0)</f>
        <v>0</v>
      </c>
      <c r="V590" s="1">
        <f>IF(T590&gt;100000000/100,1,0)</f>
        <v>0</v>
      </c>
      <c r="W590" s="1">
        <f>IF(L590&lt;0,1,0)</f>
        <v>0</v>
      </c>
      <c r="X590" s="1">
        <f>IF(W590=1,L590,0)</f>
        <v>0</v>
      </c>
      <c r="Y590" s="1">
        <f>IF(L590&gt;0,1,0)</f>
        <v>0</v>
      </c>
      <c r="Z590" s="1">
        <f>IF(Y590=1,L590,0)</f>
        <v>0</v>
      </c>
      <c r="AA590" s="1">
        <f>IF(X590&lt;-100000000/100,1,0)</f>
        <v>0</v>
      </c>
      <c r="AB590" s="1">
        <f>IF(Z590&gt;100000000/100,1,0)</f>
        <v>0</v>
      </c>
    </row>
    <row r="591" spans="1:28" s="1" customFormat="1">
      <c r="A591" s="3">
        <v>45845</v>
      </c>
      <c r="B591" s="2" t="s">
        <v>12</v>
      </c>
      <c r="C591" s="1">
        <f>SUM(PL!E591:H591)</f>
        <v>0</v>
      </c>
      <c r="D591" s="1">
        <f>SUM(PL!I591:L591)</f>
        <v>0</v>
      </c>
      <c r="E591" s="1">
        <f>SUM(C591:D591)</f>
        <v>0</v>
      </c>
      <c r="F591" s="1">
        <f>IF(C591 + F590 &lt; 0, C591 + F590, 0)</f>
        <v>0</v>
      </c>
      <c r="G591" s="1">
        <f>IF(D591 + G590 &lt; 0, D591 + G590, 0)</f>
        <v>0</v>
      </c>
      <c r="H591" s="1">
        <f>IF(E591 + H590 &lt; 0, E591 + H590, 0)</f>
        <v>0</v>
      </c>
      <c r="I591" s="1">
        <f>IF(H591 &lt; 0, 1 + I590, 0)</f>
        <v>0</v>
      </c>
      <c r="J591" s="1">
        <f>C591-((ABS(SUM(PL!E591:H591)))*0.125)</f>
        <v>0</v>
      </c>
      <c r="K591" s="1">
        <f>D591-((ABS(SUM(PL!I591:L591)))*0.125)</f>
        <v>0</v>
      </c>
      <c r="L591" s="1">
        <f>J591 + K591</f>
        <v>0</v>
      </c>
      <c r="M591" s="1">
        <f>IF(J591 + M590 &lt; 0, J591 + M590, 0)</f>
        <v>0</v>
      </c>
      <c r="N591" s="1">
        <f>IF(K591 + N590 &lt; 0, K591 + N590, 0)</f>
        <v>0</v>
      </c>
      <c r="O591" s="1">
        <f>IF(L591 + O590 &lt; 0, L591 + O590, 0)</f>
        <v>0</v>
      </c>
      <c r="P591" s="1">
        <f>IF(O591 &lt; 0, 1 + P590, 0)</f>
        <v>0</v>
      </c>
      <c r="Q591" s="1">
        <f>IF(E591&lt;0,1,0)</f>
        <v>0</v>
      </c>
      <c r="R591" s="1">
        <f>IF(Q591=1,E591,0)</f>
        <v>0</v>
      </c>
      <c r="S591" s="1">
        <f>IF(E591&gt;0,1,0)</f>
        <v>0</v>
      </c>
      <c r="T591" s="1">
        <f>IF(S591=1,E591,0)</f>
        <v>0</v>
      </c>
      <c r="U591" s="1">
        <f>IF(R591&lt;-100000000/100,1,0)</f>
        <v>0</v>
      </c>
      <c r="V591" s="1">
        <f>IF(T591&gt;100000000/100,1,0)</f>
        <v>0</v>
      </c>
      <c r="W591" s="1">
        <f>IF(L591&lt;0,1,0)</f>
        <v>0</v>
      </c>
      <c r="X591" s="1">
        <f>IF(W591=1,L591,0)</f>
        <v>0</v>
      </c>
      <c r="Y591" s="1">
        <f>IF(L591&gt;0,1,0)</f>
        <v>0</v>
      </c>
      <c r="Z591" s="1">
        <f>IF(Y591=1,L591,0)</f>
        <v>0</v>
      </c>
      <c r="AA591" s="1">
        <f>IF(X591&lt;-100000000/100,1,0)</f>
        <v>0</v>
      </c>
      <c r="AB591" s="1">
        <f>IF(Z591&gt;100000000/100,1,0)</f>
        <v>0</v>
      </c>
    </row>
    <row r="592" spans="1:28" s="1" customFormat="1">
      <c r="A592" s="3">
        <v>45846</v>
      </c>
      <c r="B592" s="2" t="s">
        <v>13</v>
      </c>
      <c r="C592" s="1">
        <f>SUM(PL!E592:H592)</f>
        <v>0</v>
      </c>
      <c r="D592" s="1">
        <f>SUM(PL!I592:L592)</f>
        <v>0</v>
      </c>
      <c r="E592" s="1">
        <f>SUM(C592:D592)</f>
        <v>0</v>
      </c>
      <c r="F592" s="1">
        <f>IF(C592 + F591 &lt; 0, C592 + F591, 0)</f>
        <v>0</v>
      </c>
      <c r="G592" s="1">
        <f>IF(D592 + G591 &lt; 0, D592 + G591, 0)</f>
        <v>0</v>
      </c>
      <c r="H592" s="1">
        <f>IF(E592 + H591 &lt; 0, E592 + H591, 0)</f>
        <v>0</v>
      </c>
      <c r="I592" s="1">
        <f>IF(H592 &lt; 0, 1 + I591, 0)</f>
        <v>0</v>
      </c>
      <c r="J592" s="1">
        <f>C592-((ABS(SUM(PL!E592:H592)))*0.125)</f>
        <v>0</v>
      </c>
      <c r="K592" s="1">
        <f>D592-((ABS(SUM(PL!I592:L592)))*0.125)</f>
        <v>0</v>
      </c>
      <c r="L592" s="1">
        <f>J592 + K592</f>
        <v>0</v>
      </c>
      <c r="M592" s="1">
        <f>IF(J592 + M591 &lt; 0, J592 + M591, 0)</f>
        <v>0</v>
      </c>
      <c r="N592" s="1">
        <f>IF(K592 + N591 &lt; 0, K592 + N591, 0)</f>
        <v>0</v>
      </c>
      <c r="O592" s="1">
        <f>IF(L592 + O591 &lt; 0, L592 + O591, 0)</f>
        <v>0</v>
      </c>
      <c r="P592" s="1">
        <f>IF(O592 &lt; 0, 1 + P591, 0)</f>
        <v>0</v>
      </c>
      <c r="Q592" s="1">
        <f>IF(E592&lt;0,1,0)</f>
        <v>0</v>
      </c>
      <c r="R592" s="1">
        <f>IF(Q592=1,E592,0)</f>
        <v>0</v>
      </c>
      <c r="S592" s="1">
        <f>IF(E592&gt;0,1,0)</f>
        <v>0</v>
      </c>
      <c r="T592" s="1">
        <f>IF(S592=1,E592,0)</f>
        <v>0</v>
      </c>
      <c r="U592" s="1">
        <f>IF(R592&lt;-100000000/100,1,0)</f>
        <v>0</v>
      </c>
      <c r="V592" s="1">
        <f>IF(T592&gt;100000000/100,1,0)</f>
        <v>0</v>
      </c>
      <c r="W592" s="1">
        <f>IF(L592&lt;0,1,0)</f>
        <v>0</v>
      </c>
      <c r="X592" s="1">
        <f>IF(W592=1,L592,0)</f>
        <v>0</v>
      </c>
      <c r="Y592" s="1">
        <f>IF(L592&gt;0,1,0)</f>
        <v>0</v>
      </c>
      <c r="Z592" s="1">
        <f>IF(Y592=1,L592,0)</f>
        <v>0</v>
      </c>
      <c r="AA592" s="1">
        <f>IF(X592&lt;-100000000/100,1,0)</f>
        <v>0</v>
      </c>
      <c r="AB592" s="1">
        <f>IF(Z592&gt;100000000/100,1,0)</f>
        <v>0</v>
      </c>
    </row>
    <row r="593" spans="1:28" s="1" customFormat="1">
      <c r="A593" s="3">
        <v>45847</v>
      </c>
      <c r="B593" s="2" t="s">
        <v>14</v>
      </c>
      <c r="C593" s="1">
        <f>SUM(PL!E593:H593)</f>
        <v>0</v>
      </c>
      <c r="D593" s="1">
        <f>SUM(PL!I593:L593)</f>
        <v>0</v>
      </c>
      <c r="E593" s="1">
        <f>SUM(C593:D593)</f>
        <v>0</v>
      </c>
      <c r="F593" s="1">
        <f>IF(C593 + F592 &lt; 0, C593 + F592, 0)</f>
        <v>0</v>
      </c>
      <c r="G593" s="1">
        <f>IF(D593 + G592 &lt; 0, D593 + G592, 0)</f>
        <v>0</v>
      </c>
      <c r="H593" s="1">
        <f>IF(E593 + H592 &lt; 0, E593 + H592, 0)</f>
        <v>0</v>
      </c>
      <c r="I593" s="1">
        <f>IF(H593 &lt; 0, 1 + I592, 0)</f>
        <v>0</v>
      </c>
      <c r="J593" s="1">
        <f>C593-((ABS(SUM(PL!E593:H593)))*0.125)</f>
        <v>0</v>
      </c>
      <c r="K593" s="1">
        <f>D593-((ABS(SUM(PL!I593:L593)))*0.125)</f>
        <v>0</v>
      </c>
      <c r="L593" s="1">
        <f>J593 + K593</f>
        <v>0</v>
      </c>
      <c r="M593" s="1">
        <f>IF(J593 + M592 &lt; 0, J593 + M592, 0)</f>
        <v>0</v>
      </c>
      <c r="N593" s="1">
        <f>IF(K593 + N592 &lt; 0, K593 + N592, 0)</f>
        <v>0</v>
      </c>
      <c r="O593" s="1">
        <f>IF(L593 + O592 &lt; 0, L593 + O592, 0)</f>
        <v>0</v>
      </c>
      <c r="P593" s="1">
        <f>IF(O593 &lt; 0, 1 + P592, 0)</f>
        <v>0</v>
      </c>
      <c r="Q593" s="1">
        <f>IF(E593&lt;0,1,0)</f>
        <v>0</v>
      </c>
      <c r="R593" s="1">
        <f>IF(Q593=1,E593,0)</f>
        <v>0</v>
      </c>
      <c r="S593" s="1">
        <f>IF(E593&gt;0,1,0)</f>
        <v>0</v>
      </c>
      <c r="T593" s="1">
        <f>IF(S593=1,E593,0)</f>
        <v>0</v>
      </c>
      <c r="U593" s="1">
        <f>IF(R593&lt;-100000000/100,1,0)</f>
        <v>0</v>
      </c>
      <c r="V593" s="1">
        <f>IF(T593&gt;100000000/100,1,0)</f>
        <v>0</v>
      </c>
      <c r="W593" s="1">
        <f>IF(L593&lt;0,1,0)</f>
        <v>0</v>
      </c>
      <c r="X593" s="1">
        <f>IF(W593=1,L593,0)</f>
        <v>0</v>
      </c>
      <c r="Y593" s="1">
        <f>IF(L593&gt;0,1,0)</f>
        <v>0</v>
      </c>
      <c r="Z593" s="1">
        <f>IF(Y593=1,L593,0)</f>
        <v>0</v>
      </c>
      <c r="AA593" s="1">
        <f>IF(X593&lt;-100000000/100,1,0)</f>
        <v>0</v>
      </c>
      <c r="AB593" s="1">
        <f>IF(Z593&gt;100000000/100,1,0)</f>
        <v>0</v>
      </c>
    </row>
    <row r="594" spans="1:28" s="1" customFormat="1">
      <c r="A594" s="3">
        <v>45848</v>
      </c>
      <c r="B594" s="2" t="s">
        <v>16</v>
      </c>
      <c r="C594" s="1">
        <f>SUM(PL!E594:H594)</f>
        <v>0</v>
      </c>
      <c r="D594" s="1">
        <f>SUM(PL!I594:L594)</f>
        <v>0</v>
      </c>
      <c r="E594" s="1">
        <f>SUM(C594:D594)</f>
        <v>0</v>
      </c>
      <c r="F594" s="1">
        <f>IF(C594 + F593 &lt; 0, C594 + F593, 0)</f>
        <v>0</v>
      </c>
      <c r="G594" s="1">
        <f>IF(D594 + G593 &lt; 0, D594 + G593, 0)</f>
        <v>0</v>
      </c>
      <c r="H594" s="1">
        <f>IF(E594 + H593 &lt; 0, E594 + H593, 0)</f>
        <v>0</v>
      </c>
      <c r="I594" s="1">
        <f>IF(H594 &lt; 0, 1 + I593, 0)</f>
        <v>0</v>
      </c>
      <c r="J594" s="1">
        <f>C594-((ABS(SUM(PL!E594:H594)))*0.125)</f>
        <v>0</v>
      </c>
      <c r="K594" s="1">
        <f>D594-((ABS(SUM(PL!I594:L594)))*0.125)</f>
        <v>0</v>
      </c>
      <c r="L594" s="1">
        <f>J594 + K594</f>
        <v>0</v>
      </c>
      <c r="M594" s="1">
        <f>IF(J594 + M593 &lt; 0, J594 + M593, 0)</f>
        <v>0</v>
      </c>
      <c r="N594" s="1">
        <f>IF(K594 + N593 &lt; 0, K594 + N593, 0)</f>
        <v>0</v>
      </c>
      <c r="O594" s="1">
        <f>IF(L594 + O593 &lt; 0, L594 + O593, 0)</f>
        <v>0</v>
      </c>
      <c r="P594" s="1">
        <f>IF(O594 &lt; 0, 1 + P593, 0)</f>
        <v>0</v>
      </c>
      <c r="Q594" s="1">
        <f>IF(E594&lt;0,1,0)</f>
        <v>0</v>
      </c>
      <c r="R594" s="1">
        <f>IF(Q594=1,E594,0)</f>
        <v>0</v>
      </c>
      <c r="S594" s="1">
        <f>IF(E594&gt;0,1,0)</f>
        <v>0</v>
      </c>
      <c r="T594" s="1">
        <f>IF(S594=1,E594,0)</f>
        <v>0</v>
      </c>
      <c r="U594" s="1">
        <f>IF(R594&lt;-100000000/100,1,0)</f>
        <v>0</v>
      </c>
      <c r="V594" s="1">
        <f>IF(T594&gt;100000000/100,1,0)</f>
        <v>0</v>
      </c>
      <c r="W594" s="1">
        <f>IF(L594&lt;0,1,0)</f>
        <v>0</v>
      </c>
      <c r="X594" s="1">
        <f>IF(W594=1,L594,0)</f>
        <v>0</v>
      </c>
      <c r="Y594" s="1">
        <f>IF(L594&gt;0,1,0)</f>
        <v>0</v>
      </c>
      <c r="Z594" s="1">
        <f>IF(Y594=1,L594,0)</f>
        <v>0</v>
      </c>
      <c r="AA594" s="1">
        <f>IF(X594&lt;-100000000/100,1,0)</f>
        <v>0</v>
      </c>
      <c r="AB594" s="1">
        <f>IF(Z594&gt;100000000/100,1,0)</f>
        <v>0</v>
      </c>
    </row>
    <row r="595" spans="1:28" s="1" customFormat="1">
      <c r="A595" s="3">
        <v>45849</v>
      </c>
      <c r="B595" s="2" t="s">
        <v>15</v>
      </c>
      <c r="C595" s="1">
        <f>SUM(PL!E595:H595)</f>
        <v>0</v>
      </c>
      <c r="D595" s="1">
        <f>SUM(PL!I595:L595)</f>
        <v>0</v>
      </c>
      <c r="E595" s="1">
        <f>SUM(C595:D595)</f>
        <v>0</v>
      </c>
      <c r="F595" s="1">
        <f>IF(C595 + F594 &lt; 0, C595 + F594, 0)</f>
        <v>0</v>
      </c>
      <c r="G595" s="1">
        <f>IF(D595 + G594 &lt; 0, D595 + G594, 0)</f>
        <v>0</v>
      </c>
      <c r="H595" s="1">
        <f>IF(E595 + H594 &lt; 0, E595 + H594, 0)</f>
        <v>0</v>
      </c>
      <c r="I595" s="1">
        <f>IF(H595 &lt; 0, 1 + I594, 0)</f>
        <v>0</v>
      </c>
      <c r="J595" s="1">
        <f>C595-((ABS(SUM(PL!E595:H595)))*0.125)</f>
        <v>0</v>
      </c>
      <c r="K595" s="1">
        <f>D595-((ABS(SUM(PL!I595:L595)))*0.125)</f>
        <v>0</v>
      </c>
      <c r="L595" s="1">
        <f>J595 + K595</f>
        <v>0</v>
      </c>
      <c r="M595" s="1">
        <f>IF(J595 + M594 &lt; 0, J595 + M594, 0)</f>
        <v>0</v>
      </c>
      <c r="N595" s="1">
        <f>IF(K595 + N594 &lt; 0, K595 + N594, 0)</f>
        <v>0</v>
      </c>
      <c r="O595" s="1">
        <f>IF(L595 + O594 &lt; 0, L595 + O594, 0)</f>
        <v>0</v>
      </c>
      <c r="P595" s="1">
        <f>IF(O595 &lt; 0, 1 + P594, 0)</f>
        <v>0</v>
      </c>
      <c r="Q595" s="1">
        <f>IF(E595&lt;0,1,0)</f>
        <v>0</v>
      </c>
      <c r="R595" s="1">
        <f>IF(Q595=1,E595,0)</f>
        <v>0</v>
      </c>
      <c r="S595" s="1">
        <f>IF(E595&gt;0,1,0)</f>
        <v>0</v>
      </c>
      <c r="T595" s="1">
        <f>IF(S595=1,E595,0)</f>
        <v>0</v>
      </c>
      <c r="U595" s="1">
        <f>IF(R595&lt;-100000000/100,1,0)</f>
        <v>0</v>
      </c>
      <c r="V595" s="1">
        <f>IF(T595&gt;100000000/100,1,0)</f>
        <v>0</v>
      </c>
      <c r="W595" s="1">
        <f>IF(L595&lt;0,1,0)</f>
        <v>0</v>
      </c>
      <c r="X595" s="1">
        <f>IF(W595=1,L595,0)</f>
        <v>0</v>
      </c>
      <c r="Y595" s="1">
        <f>IF(L595&gt;0,1,0)</f>
        <v>0</v>
      </c>
      <c r="Z595" s="1">
        <f>IF(Y595=1,L595,0)</f>
        <v>0</v>
      </c>
      <c r="AA595" s="1">
        <f>IF(X595&lt;-100000000/100,1,0)</f>
        <v>0</v>
      </c>
      <c r="AB595" s="1">
        <f>IF(Z595&gt;100000000/100,1,0)</f>
        <v>0</v>
      </c>
    </row>
    <row r="596" spans="1:28" s="1" customFormat="1">
      <c r="A596" s="3">
        <v>45852</v>
      </c>
      <c r="B596" s="2" t="s">
        <v>12</v>
      </c>
      <c r="C596" s="1">
        <f>SUM(PL!E596:H596)</f>
        <v>0</v>
      </c>
      <c r="D596" s="1">
        <f>SUM(PL!I596:L596)</f>
        <v>0</v>
      </c>
      <c r="E596" s="1">
        <f>SUM(C596:D596)</f>
        <v>0</v>
      </c>
      <c r="F596" s="1">
        <f>IF(C596 + F595 &lt; 0, C596 + F595, 0)</f>
        <v>0</v>
      </c>
      <c r="G596" s="1">
        <f>IF(D596 + G595 &lt; 0, D596 + G595, 0)</f>
        <v>0</v>
      </c>
      <c r="H596" s="1">
        <f>IF(E596 + H595 &lt; 0, E596 + H595, 0)</f>
        <v>0</v>
      </c>
      <c r="I596" s="1">
        <f>IF(H596 &lt; 0, 1 + I595, 0)</f>
        <v>0</v>
      </c>
      <c r="J596" s="1">
        <f>C596-((ABS(SUM(PL!E596:H596)))*0.125)</f>
        <v>0</v>
      </c>
      <c r="K596" s="1">
        <f>D596-((ABS(SUM(PL!I596:L596)))*0.125)</f>
        <v>0</v>
      </c>
      <c r="L596" s="1">
        <f>J596 + K596</f>
        <v>0</v>
      </c>
      <c r="M596" s="1">
        <f>IF(J596 + M595 &lt; 0, J596 + M595, 0)</f>
        <v>0</v>
      </c>
      <c r="N596" s="1">
        <f>IF(K596 + N595 &lt; 0, K596 + N595, 0)</f>
        <v>0</v>
      </c>
      <c r="O596" s="1">
        <f>IF(L596 + O595 &lt; 0, L596 + O595, 0)</f>
        <v>0</v>
      </c>
      <c r="P596" s="1">
        <f>IF(O596 &lt; 0, 1 + P595, 0)</f>
        <v>0</v>
      </c>
      <c r="Q596" s="1">
        <f>IF(E596&lt;0,1,0)</f>
        <v>0</v>
      </c>
      <c r="R596" s="1">
        <f>IF(Q596=1,E596,0)</f>
        <v>0</v>
      </c>
      <c r="S596" s="1">
        <f>IF(E596&gt;0,1,0)</f>
        <v>0</v>
      </c>
      <c r="T596" s="1">
        <f>IF(S596=1,E596,0)</f>
        <v>0</v>
      </c>
      <c r="U596" s="1">
        <f>IF(R596&lt;-100000000/100,1,0)</f>
        <v>0</v>
      </c>
      <c r="V596" s="1">
        <f>IF(T596&gt;100000000/100,1,0)</f>
        <v>0</v>
      </c>
      <c r="W596" s="1">
        <f>IF(L596&lt;0,1,0)</f>
        <v>0</v>
      </c>
      <c r="X596" s="1">
        <f>IF(W596=1,L596,0)</f>
        <v>0</v>
      </c>
      <c r="Y596" s="1">
        <f>IF(L596&gt;0,1,0)</f>
        <v>0</v>
      </c>
      <c r="Z596" s="1">
        <f>IF(Y596=1,L596,0)</f>
        <v>0</v>
      </c>
      <c r="AA596" s="1">
        <f>IF(X596&lt;-100000000/100,1,0)</f>
        <v>0</v>
      </c>
      <c r="AB596" s="1">
        <f>IF(Z596&gt;100000000/100,1,0)</f>
        <v>0</v>
      </c>
    </row>
    <row r="597" spans="1:28" s="1" customFormat="1">
      <c r="A597" s="3">
        <v>45853</v>
      </c>
      <c r="B597" s="2" t="s">
        <v>13</v>
      </c>
      <c r="C597" s="1">
        <f>SUM(PL!E597:H597)</f>
        <v>0</v>
      </c>
      <c r="D597" s="1">
        <f>SUM(PL!I597:L597)</f>
        <v>0</v>
      </c>
      <c r="E597" s="1">
        <f>SUM(C597:D597)</f>
        <v>0</v>
      </c>
      <c r="F597" s="1">
        <f>IF(C597 + F596 &lt; 0, C597 + F596, 0)</f>
        <v>0</v>
      </c>
      <c r="G597" s="1">
        <f>IF(D597 + G596 &lt; 0, D597 + G596, 0)</f>
        <v>0</v>
      </c>
      <c r="H597" s="1">
        <f>IF(E597 + H596 &lt; 0, E597 + H596, 0)</f>
        <v>0</v>
      </c>
      <c r="I597" s="1">
        <f>IF(H597 &lt; 0, 1 + I596, 0)</f>
        <v>0</v>
      </c>
      <c r="J597" s="1">
        <f>C597-((ABS(SUM(PL!E597:H597)))*0.125)</f>
        <v>0</v>
      </c>
      <c r="K597" s="1">
        <f>D597-((ABS(SUM(PL!I597:L597)))*0.125)</f>
        <v>0</v>
      </c>
      <c r="L597" s="1">
        <f>J597 + K597</f>
        <v>0</v>
      </c>
      <c r="M597" s="1">
        <f>IF(J597 + M596 &lt; 0, J597 + M596, 0)</f>
        <v>0</v>
      </c>
      <c r="N597" s="1">
        <f>IF(K597 + N596 &lt; 0, K597 + N596, 0)</f>
        <v>0</v>
      </c>
      <c r="O597" s="1">
        <f>IF(L597 + O596 &lt; 0, L597 + O596, 0)</f>
        <v>0</v>
      </c>
      <c r="P597" s="1">
        <f>IF(O597 &lt; 0, 1 + P596, 0)</f>
        <v>0</v>
      </c>
      <c r="Q597" s="1">
        <f>IF(E597&lt;0,1,0)</f>
        <v>0</v>
      </c>
      <c r="R597" s="1">
        <f>IF(Q597=1,E597,0)</f>
        <v>0</v>
      </c>
      <c r="S597" s="1">
        <f>IF(E597&gt;0,1,0)</f>
        <v>0</v>
      </c>
      <c r="T597" s="1">
        <f>IF(S597=1,E597,0)</f>
        <v>0</v>
      </c>
      <c r="U597" s="1">
        <f>IF(R597&lt;-100000000/100,1,0)</f>
        <v>0</v>
      </c>
      <c r="V597" s="1">
        <f>IF(T597&gt;100000000/100,1,0)</f>
        <v>0</v>
      </c>
      <c r="W597" s="1">
        <f>IF(L597&lt;0,1,0)</f>
        <v>0</v>
      </c>
      <c r="X597" s="1">
        <f>IF(W597=1,L597,0)</f>
        <v>0</v>
      </c>
      <c r="Y597" s="1">
        <f>IF(L597&gt;0,1,0)</f>
        <v>0</v>
      </c>
      <c r="Z597" s="1">
        <f>IF(Y597=1,L597,0)</f>
        <v>0</v>
      </c>
      <c r="AA597" s="1">
        <f>IF(X597&lt;-100000000/100,1,0)</f>
        <v>0</v>
      </c>
      <c r="AB597" s="1">
        <f>IF(Z597&gt;100000000/100,1,0)</f>
        <v>0</v>
      </c>
    </row>
    <row r="598" spans="1:28" s="1" customFormat="1">
      <c r="A598" s="3">
        <v>45854</v>
      </c>
      <c r="B598" s="2" t="s">
        <v>14</v>
      </c>
      <c r="C598" s="1">
        <f>SUM(PL!E598:H598)</f>
        <v>0</v>
      </c>
      <c r="D598" s="1">
        <f>SUM(PL!I598:L598)</f>
        <v>0</v>
      </c>
      <c r="E598" s="1">
        <f>SUM(C598:D598)</f>
        <v>0</v>
      </c>
      <c r="F598" s="1">
        <f>IF(C598 + F597 &lt; 0, C598 + F597, 0)</f>
        <v>0</v>
      </c>
      <c r="G598" s="1">
        <f>IF(D598 + G597 &lt; 0, D598 + G597, 0)</f>
        <v>0</v>
      </c>
      <c r="H598" s="1">
        <f>IF(E598 + H597 &lt; 0, E598 + H597, 0)</f>
        <v>0</v>
      </c>
      <c r="I598" s="1">
        <f>IF(H598 &lt; 0, 1 + I597, 0)</f>
        <v>0</v>
      </c>
      <c r="J598" s="1">
        <f>C598-((ABS(SUM(PL!E598:H598)))*0.125)</f>
        <v>0</v>
      </c>
      <c r="K598" s="1">
        <f>D598-((ABS(SUM(PL!I598:L598)))*0.125)</f>
        <v>0</v>
      </c>
      <c r="L598" s="1">
        <f>J598 + K598</f>
        <v>0</v>
      </c>
      <c r="M598" s="1">
        <f>IF(J598 + M597 &lt; 0, J598 + M597, 0)</f>
        <v>0</v>
      </c>
      <c r="N598" s="1">
        <f>IF(K598 + N597 &lt; 0, K598 + N597, 0)</f>
        <v>0</v>
      </c>
      <c r="O598" s="1">
        <f>IF(L598 + O597 &lt; 0, L598 + O597, 0)</f>
        <v>0</v>
      </c>
      <c r="P598" s="1">
        <f>IF(O598 &lt; 0, 1 + P597, 0)</f>
        <v>0</v>
      </c>
      <c r="Q598" s="1">
        <f>IF(E598&lt;0,1,0)</f>
        <v>0</v>
      </c>
      <c r="R598" s="1">
        <f>IF(Q598=1,E598,0)</f>
        <v>0</v>
      </c>
      <c r="S598" s="1">
        <f>IF(E598&gt;0,1,0)</f>
        <v>0</v>
      </c>
      <c r="T598" s="1">
        <f>IF(S598=1,E598,0)</f>
        <v>0</v>
      </c>
      <c r="U598" s="1">
        <f>IF(R598&lt;-100000000/100,1,0)</f>
        <v>0</v>
      </c>
      <c r="V598" s="1">
        <f>IF(T598&gt;100000000/100,1,0)</f>
        <v>0</v>
      </c>
      <c r="W598" s="1">
        <f>IF(L598&lt;0,1,0)</f>
        <v>0</v>
      </c>
      <c r="X598" s="1">
        <f>IF(W598=1,L598,0)</f>
        <v>0</v>
      </c>
      <c r="Y598" s="1">
        <f>IF(L598&gt;0,1,0)</f>
        <v>0</v>
      </c>
      <c r="Z598" s="1">
        <f>IF(Y598=1,L598,0)</f>
        <v>0</v>
      </c>
      <c r="AA598" s="1">
        <f>IF(X598&lt;-100000000/100,1,0)</f>
        <v>0</v>
      </c>
      <c r="AB598" s="1">
        <f>IF(Z598&gt;100000000/100,1,0)</f>
        <v>0</v>
      </c>
    </row>
    <row r="599" spans="1:28" s="1" customFormat="1">
      <c r="A599" s="3">
        <v>45855</v>
      </c>
      <c r="B599" s="2" t="s">
        <v>16</v>
      </c>
      <c r="C599" s="1">
        <f>SUM(PL!E599:H599)</f>
        <v>0</v>
      </c>
      <c r="D599" s="1">
        <f>SUM(PL!I599:L599)</f>
        <v>0</v>
      </c>
      <c r="E599" s="1">
        <f>SUM(C599:D599)</f>
        <v>0</v>
      </c>
      <c r="F599" s="1">
        <f>IF(C599 + F598 &lt; 0, C599 + F598, 0)</f>
        <v>0</v>
      </c>
      <c r="G599" s="1">
        <f>IF(D599 + G598 &lt; 0, D599 + G598, 0)</f>
        <v>0</v>
      </c>
      <c r="H599" s="1">
        <f>IF(E599 + H598 &lt; 0, E599 + H598, 0)</f>
        <v>0</v>
      </c>
      <c r="I599" s="1">
        <f>IF(H599 &lt; 0, 1 + I598, 0)</f>
        <v>0</v>
      </c>
      <c r="J599" s="1">
        <f>C599-((ABS(SUM(PL!E599:H599)))*0.125)</f>
        <v>0</v>
      </c>
      <c r="K599" s="1">
        <f>D599-((ABS(SUM(PL!I599:L599)))*0.125)</f>
        <v>0</v>
      </c>
      <c r="L599" s="1">
        <f>J599 + K599</f>
        <v>0</v>
      </c>
      <c r="M599" s="1">
        <f>IF(J599 + M598 &lt; 0, J599 + M598, 0)</f>
        <v>0</v>
      </c>
      <c r="N599" s="1">
        <f>IF(K599 + N598 &lt; 0, K599 + N598, 0)</f>
        <v>0</v>
      </c>
      <c r="O599" s="1">
        <f>IF(L599 + O598 &lt; 0, L599 + O598, 0)</f>
        <v>0</v>
      </c>
      <c r="P599" s="1">
        <f>IF(O599 &lt; 0, 1 + P598, 0)</f>
        <v>0</v>
      </c>
      <c r="Q599" s="1">
        <f>IF(E599&lt;0,1,0)</f>
        <v>0</v>
      </c>
      <c r="R599" s="1">
        <f>IF(Q599=1,E599,0)</f>
        <v>0</v>
      </c>
      <c r="S599" s="1">
        <f>IF(E599&gt;0,1,0)</f>
        <v>0</v>
      </c>
      <c r="T599" s="1">
        <f>IF(S599=1,E599,0)</f>
        <v>0</v>
      </c>
      <c r="U599" s="1">
        <f>IF(R599&lt;-100000000/100,1,0)</f>
        <v>0</v>
      </c>
      <c r="V599" s="1">
        <f>IF(T599&gt;100000000/100,1,0)</f>
        <v>0</v>
      </c>
      <c r="W599" s="1">
        <f>IF(L599&lt;0,1,0)</f>
        <v>0</v>
      </c>
      <c r="X599" s="1">
        <f>IF(W599=1,L599,0)</f>
        <v>0</v>
      </c>
      <c r="Y599" s="1">
        <f>IF(L599&gt;0,1,0)</f>
        <v>0</v>
      </c>
      <c r="Z599" s="1">
        <f>IF(Y599=1,L599,0)</f>
        <v>0</v>
      </c>
      <c r="AA599" s="1">
        <f>IF(X599&lt;-100000000/100,1,0)</f>
        <v>0</v>
      </c>
      <c r="AB599" s="1">
        <f>IF(Z599&gt;100000000/100,1,0)</f>
        <v>0</v>
      </c>
    </row>
    <row r="600" spans="1:28" s="1" customFormat="1">
      <c r="A600" s="3">
        <v>45856</v>
      </c>
      <c r="B600" s="2" t="s">
        <v>15</v>
      </c>
      <c r="C600" s="1">
        <f>SUM(PL!E600:H600)</f>
        <v>0</v>
      </c>
      <c r="D600" s="1">
        <f>SUM(PL!I600:L600)</f>
        <v>0</v>
      </c>
      <c r="E600" s="1">
        <f>SUM(C600:D600)</f>
        <v>0</v>
      </c>
      <c r="F600" s="1">
        <f>IF(C600 + F599 &lt; 0, C600 + F599, 0)</f>
        <v>0</v>
      </c>
      <c r="G600" s="1">
        <f>IF(D600 + G599 &lt; 0, D600 + G599, 0)</f>
        <v>0</v>
      </c>
      <c r="H600" s="1">
        <f>IF(E600 + H599 &lt; 0, E600 + H599, 0)</f>
        <v>0</v>
      </c>
      <c r="I600" s="1">
        <f>IF(H600 &lt; 0, 1 + I599, 0)</f>
        <v>0</v>
      </c>
      <c r="J600" s="1">
        <f>C600-((ABS(SUM(PL!E600:H600)))*0.125)</f>
        <v>0</v>
      </c>
      <c r="K600" s="1">
        <f>D600-((ABS(SUM(PL!I600:L600)))*0.125)</f>
        <v>0</v>
      </c>
      <c r="L600" s="1">
        <f>J600 + K600</f>
        <v>0</v>
      </c>
      <c r="M600" s="1">
        <f>IF(J600 + M599 &lt; 0, J600 + M599, 0)</f>
        <v>0</v>
      </c>
      <c r="N600" s="1">
        <f>IF(K600 + N599 &lt; 0, K600 + N599, 0)</f>
        <v>0</v>
      </c>
      <c r="O600" s="1">
        <f>IF(L600 + O599 &lt; 0, L600 + O599, 0)</f>
        <v>0</v>
      </c>
      <c r="P600" s="1">
        <f>IF(O600 &lt; 0, 1 + P599, 0)</f>
        <v>0</v>
      </c>
      <c r="Q600" s="1">
        <f>IF(E600&lt;0,1,0)</f>
        <v>0</v>
      </c>
      <c r="R600" s="1">
        <f>IF(Q600=1,E600,0)</f>
        <v>0</v>
      </c>
      <c r="S600" s="1">
        <f>IF(E600&gt;0,1,0)</f>
        <v>0</v>
      </c>
      <c r="T600" s="1">
        <f>IF(S600=1,E600,0)</f>
        <v>0</v>
      </c>
      <c r="U600" s="1">
        <f>IF(R600&lt;-100000000/100,1,0)</f>
        <v>0</v>
      </c>
      <c r="V600" s="1">
        <f>IF(T600&gt;100000000/100,1,0)</f>
        <v>0</v>
      </c>
      <c r="W600" s="1">
        <f>IF(L600&lt;0,1,0)</f>
        <v>0</v>
      </c>
      <c r="X600" s="1">
        <f>IF(W600=1,L600,0)</f>
        <v>0</v>
      </c>
      <c r="Y600" s="1">
        <f>IF(L600&gt;0,1,0)</f>
        <v>0</v>
      </c>
      <c r="Z600" s="1">
        <f>IF(Y600=1,L600,0)</f>
        <v>0</v>
      </c>
      <c r="AA600" s="1">
        <f>IF(X600&lt;-100000000/100,1,0)</f>
        <v>0</v>
      </c>
      <c r="AB600" s="1">
        <f>IF(Z600&gt;100000000/100,1,0)</f>
        <v>0</v>
      </c>
    </row>
    <row r="601" spans="1:28" s="1" customFormat="1">
      <c r="A601" s="3">
        <v>45859</v>
      </c>
      <c r="B601" s="2" t="s">
        <v>12</v>
      </c>
      <c r="C601" s="1">
        <f>SUM(PL!E601:H601)</f>
        <v>0</v>
      </c>
      <c r="D601" s="1">
        <f>SUM(PL!I601:L601)</f>
        <v>0</v>
      </c>
      <c r="E601" s="1">
        <f>SUM(C601:D601)</f>
        <v>0</v>
      </c>
      <c r="F601" s="1">
        <f>IF(C601 + F600 &lt; 0, C601 + F600, 0)</f>
        <v>0</v>
      </c>
      <c r="G601" s="1">
        <f>IF(D601 + G600 &lt; 0, D601 + G600, 0)</f>
        <v>0</v>
      </c>
      <c r="H601" s="1">
        <f>IF(E601 + H600 &lt; 0, E601 + H600, 0)</f>
        <v>0</v>
      </c>
      <c r="I601" s="1">
        <f>IF(H601 &lt; 0, 1 + I600, 0)</f>
        <v>0</v>
      </c>
      <c r="J601" s="1">
        <f>C601-((ABS(SUM(PL!E601:H601)))*0.125)</f>
        <v>0</v>
      </c>
      <c r="K601" s="1">
        <f>D601-((ABS(SUM(PL!I601:L601)))*0.125)</f>
        <v>0</v>
      </c>
      <c r="L601" s="1">
        <f>J601 + K601</f>
        <v>0</v>
      </c>
      <c r="M601" s="1">
        <f>IF(J601 + M600 &lt; 0, J601 + M600, 0)</f>
        <v>0</v>
      </c>
      <c r="N601" s="1">
        <f>IF(K601 + N600 &lt; 0, K601 + N600, 0)</f>
        <v>0</v>
      </c>
      <c r="O601" s="1">
        <f>IF(L601 + O600 &lt; 0, L601 + O600, 0)</f>
        <v>0</v>
      </c>
      <c r="P601" s="1">
        <f>IF(O601 &lt; 0, 1 + P600, 0)</f>
        <v>0</v>
      </c>
      <c r="Q601" s="1">
        <f>IF(E601&lt;0,1,0)</f>
        <v>0</v>
      </c>
      <c r="R601" s="1">
        <f>IF(Q601=1,E601,0)</f>
        <v>0</v>
      </c>
      <c r="S601" s="1">
        <f>IF(E601&gt;0,1,0)</f>
        <v>0</v>
      </c>
      <c r="T601" s="1">
        <f>IF(S601=1,E601,0)</f>
        <v>0</v>
      </c>
      <c r="U601" s="1">
        <f>IF(R601&lt;-100000000/100,1,0)</f>
        <v>0</v>
      </c>
      <c r="V601" s="1">
        <f>IF(T601&gt;100000000/100,1,0)</f>
        <v>0</v>
      </c>
      <c r="W601" s="1">
        <f>IF(L601&lt;0,1,0)</f>
        <v>0</v>
      </c>
      <c r="X601" s="1">
        <f>IF(W601=1,L601,0)</f>
        <v>0</v>
      </c>
      <c r="Y601" s="1">
        <f>IF(L601&gt;0,1,0)</f>
        <v>0</v>
      </c>
      <c r="Z601" s="1">
        <f>IF(Y601=1,L601,0)</f>
        <v>0</v>
      </c>
      <c r="AA601" s="1">
        <f>IF(X601&lt;-100000000/100,1,0)</f>
        <v>0</v>
      </c>
      <c r="AB601" s="1">
        <f>IF(Z601&gt;100000000/100,1,0)</f>
        <v>0</v>
      </c>
    </row>
    <row r="602" spans="1:28" s="1" customFormat="1">
      <c r="A602" s="3">
        <v>45860</v>
      </c>
      <c r="B602" s="2" t="s">
        <v>13</v>
      </c>
      <c r="C602" s="1">
        <f>SUM(PL!E602:H602)</f>
        <v>0</v>
      </c>
      <c r="D602" s="1">
        <f>SUM(PL!I602:L602)</f>
        <v>0</v>
      </c>
      <c r="E602" s="1">
        <f>SUM(C602:D602)</f>
        <v>0</v>
      </c>
      <c r="F602" s="1">
        <f>IF(C602 + F601 &lt; 0, C602 + F601, 0)</f>
        <v>0</v>
      </c>
      <c r="G602" s="1">
        <f>IF(D602 + G601 &lt; 0, D602 + G601, 0)</f>
        <v>0</v>
      </c>
      <c r="H602" s="1">
        <f>IF(E602 + H601 &lt; 0, E602 + H601, 0)</f>
        <v>0</v>
      </c>
      <c r="I602" s="1">
        <f>IF(H602 &lt; 0, 1 + I601, 0)</f>
        <v>0</v>
      </c>
      <c r="J602" s="1">
        <f>C602-((ABS(SUM(PL!E602:H602)))*0.125)</f>
        <v>0</v>
      </c>
      <c r="K602" s="1">
        <f>D602-((ABS(SUM(PL!I602:L602)))*0.125)</f>
        <v>0</v>
      </c>
      <c r="L602" s="1">
        <f>J602 + K602</f>
        <v>0</v>
      </c>
      <c r="M602" s="1">
        <f>IF(J602 + M601 &lt; 0, J602 + M601, 0)</f>
        <v>0</v>
      </c>
      <c r="N602" s="1">
        <f>IF(K602 + N601 &lt; 0, K602 + N601, 0)</f>
        <v>0</v>
      </c>
      <c r="O602" s="1">
        <f>IF(L602 + O601 &lt; 0, L602 + O601, 0)</f>
        <v>0</v>
      </c>
      <c r="P602" s="1">
        <f>IF(O602 &lt; 0, 1 + P601, 0)</f>
        <v>0</v>
      </c>
      <c r="Q602" s="1">
        <f>IF(E602&lt;0,1,0)</f>
        <v>0</v>
      </c>
      <c r="R602" s="1">
        <f>IF(Q602=1,E602,0)</f>
        <v>0</v>
      </c>
      <c r="S602" s="1">
        <f>IF(E602&gt;0,1,0)</f>
        <v>0</v>
      </c>
      <c r="T602" s="1">
        <f>IF(S602=1,E602,0)</f>
        <v>0</v>
      </c>
      <c r="U602" s="1">
        <f>IF(R602&lt;-100000000/100,1,0)</f>
        <v>0</v>
      </c>
      <c r="V602" s="1">
        <f>IF(T602&gt;100000000/100,1,0)</f>
        <v>0</v>
      </c>
      <c r="W602" s="1">
        <f>IF(L602&lt;0,1,0)</f>
        <v>0</v>
      </c>
      <c r="X602" s="1">
        <f>IF(W602=1,L602,0)</f>
        <v>0</v>
      </c>
      <c r="Y602" s="1">
        <f>IF(L602&gt;0,1,0)</f>
        <v>0</v>
      </c>
      <c r="Z602" s="1">
        <f>IF(Y602=1,L602,0)</f>
        <v>0</v>
      </c>
      <c r="AA602" s="1">
        <f>IF(X602&lt;-100000000/100,1,0)</f>
        <v>0</v>
      </c>
      <c r="AB602" s="1">
        <f>IF(Z602&gt;100000000/100,1,0)</f>
        <v>0</v>
      </c>
    </row>
    <row r="603" spans="1:28" s="1" customFormat="1">
      <c r="A603" s="3">
        <v>45861</v>
      </c>
      <c r="B603" s="2" t="s">
        <v>14</v>
      </c>
      <c r="C603" s="1">
        <f>SUM(PL!E603:H603)</f>
        <v>0</v>
      </c>
      <c r="D603" s="1">
        <f>SUM(PL!I603:L603)</f>
        <v>0</v>
      </c>
      <c r="E603" s="1">
        <f>SUM(C603:D603)</f>
        <v>0</v>
      </c>
      <c r="F603" s="1">
        <f>IF(C603 + F602 &lt; 0, C603 + F602, 0)</f>
        <v>0</v>
      </c>
      <c r="G603" s="1">
        <f>IF(D603 + G602 &lt; 0, D603 + G602, 0)</f>
        <v>0</v>
      </c>
      <c r="H603" s="1">
        <f>IF(E603 + H602 &lt; 0, E603 + H602, 0)</f>
        <v>0</v>
      </c>
      <c r="I603" s="1">
        <f>IF(H603 &lt; 0, 1 + I602, 0)</f>
        <v>0</v>
      </c>
      <c r="J603" s="1">
        <f>C603-((ABS(SUM(PL!E603:H603)))*0.125)</f>
        <v>0</v>
      </c>
      <c r="K603" s="1">
        <f>D603-((ABS(SUM(PL!I603:L603)))*0.125)</f>
        <v>0</v>
      </c>
      <c r="L603" s="1">
        <f>J603 + K603</f>
        <v>0</v>
      </c>
      <c r="M603" s="1">
        <f>IF(J603 + M602 &lt; 0, J603 + M602, 0)</f>
        <v>0</v>
      </c>
      <c r="N603" s="1">
        <f>IF(K603 + N602 &lt; 0, K603 + N602, 0)</f>
        <v>0</v>
      </c>
      <c r="O603" s="1">
        <f>IF(L603 + O602 &lt; 0, L603 + O602, 0)</f>
        <v>0</v>
      </c>
      <c r="P603" s="1">
        <f>IF(O603 &lt; 0, 1 + P602, 0)</f>
        <v>0</v>
      </c>
      <c r="Q603" s="1">
        <f>IF(E603&lt;0,1,0)</f>
        <v>0</v>
      </c>
      <c r="R603" s="1">
        <f>IF(Q603=1,E603,0)</f>
        <v>0</v>
      </c>
      <c r="S603" s="1">
        <f>IF(E603&gt;0,1,0)</f>
        <v>0</v>
      </c>
      <c r="T603" s="1">
        <f>IF(S603=1,E603,0)</f>
        <v>0</v>
      </c>
      <c r="U603" s="1">
        <f>IF(R603&lt;-100000000/100,1,0)</f>
        <v>0</v>
      </c>
      <c r="V603" s="1">
        <f>IF(T603&gt;100000000/100,1,0)</f>
        <v>0</v>
      </c>
      <c r="W603" s="1">
        <f>IF(L603&lt;0,1,0)</f>
        <v>0</v>
      </c>
      <c r="X603" s="1">
        <f>IF(W603=1,L603,0)</f>
        <v>0</v>
      </c>
      <c r="Y603" s="1">
        <f>IF(L603&gt;0,1,0)</f>
        <v>0</v>
      </c>
      <c r="Z603" s="1">
        <f>IF(Y603=1,L603,0)</f>
        <v>0</v>
      </c>
      <c r="AA603" s="1">
        <f>IF(X603&lt;-100000000/100,1,0)</f>
        <v>0</v>
      </c>
      <c r="AB603" s="1">
        <f>IF(Z603&gt;100000000/100,1,0)</f>
        <v>0</v>
      </c>
    </row>
    <row r="604" spans="1:28" s="1" customFormat="1">
      <c r="A604" s="3">
        <v>45862</v>
      </c>
      <c r="B604" s="2" t="s">
        <v>16</v>
      </c>
      <c r="C604" s="1">
        <f>SUM(PL!E604:H604)</f>
        <v>0</v>
      </c>
      <c r="D604" s="1">
        <f>SUM(PL!I604:L604)</f>
        <v>0</v>
      </c>
      <c r="E604" s="1">
        <f>SUM(C604:D604)</f>
        <v>0</v>
      </c>
      <c r="F604" s="1">
        <f>IF(C604 + F603 &lt; 0, C604 + F603, 0)</f>
        <v>0</v>
      </c>
      <c r="G604" s="1">
        <f>IF(D604 + G603 &lt; 0, D604 + G603, 0)</f>
        <v>0</v>
      </c>
      <c r="H604" s="1">
        <f>IF(E604 + H603 &lt; 0, E604 + H603, 0)</f>
        <v>0</v>
      </c>
      <c r="I604" s="1">
        <f>IF(H604 &lt; 0, 1 + I603, 0)</f>
        <v>0</v>
      </c>
      <c r="J604" s="1">
        <f>C604-((ABS(SUM(PL!E604:H604)))*0.125)</f>
        <v>0</v>
      </c>
      <c r="K604" s="1">
        <f>D604-((ABS(SUM(PL!I604:L604)))*0.125)</f>
        <v>0</v>
      </c>
      <c r="L604" s="1">
        <f>J604 + K604</f>
        <v>0</v>
      </c>
      <c r="M604" s="1">
        <f>IF(J604 + M603 &lt; 0, J604 + M603, 0)</f>
        <v>0</v>
      </c>
      <c r="N604" s="1">
        <f>IF(K604 + N603 &lt; 0, K604 + N603, 0)</f>
        <v>0</v>
      </c>
      <c r="O604" s="1">
        <f>IF(L604 + O603 &lt; 0, L604 + O603, 0)</f>
        <v>0</v>
      </c>
      <c r="P604" s="1">
        <f>IF(O604 &lt; 0, 1 + P603, 0)</f>
        <v>0</v>
      </c>
      <c r="Q604" s="1">
        <f>IF(E604&lt;0,1,0)</f>
        <v>0</v>
      </c>
      <c r="R604" s="1">
        <f>IF(Q604=1,E604,0)</f>
        <v>0</v>
      </c>
      <c r="S604" s="1">
        <f>IF(E604&gt;0,1,0)</f>
        <v>0</v>
      </c>
      <c r="T604" s="1">
        <f>IF(S604=1,E604,0)</f>
        <v>0</v>
      </c>
      <c r="U604" s="1">
        <f>IF(R604&lt;-100000000/100,1,0)</f>
        <v>0</v>
      </c>
      <c r="V604" s="1">
        <f>IF(T604&gt;100000000/100,1,0)</f>
        <v>0</v>
      </c>
      <c r="W604" s="1">
        <f>IF(L604&lt;0,1,0)</f>
        <v>0</v>
      </c>
      <c r="X604" s="1">
        <f>IF(W604=1,L604,0)</f>
        <v>0</v>
      </c>
      <c r="Y604" s="1">
        <f>IF(L604&gt;0,1,0)</f>
        <v>0</v>
      </c>
      <c r="Z604" s="1">
        <f>IF(Y604=1,L604,0)</f>
        <v>0</v>
      </c>
      <c r="AA604" s="1">
        <f>IF(X604&lt;-100000000/100,1,0)</f>
        <v>0</v>
      </c>
      <c r="AB604" s="1">
        <f>IF(Z604&gt;100000000/100,1,0)</f>
        <v>0</v>
      </c>
    </row>
    <row r="605" spans="1:28" s="1" customFormat="1">
      <c r="A605" s="3">
        <v>45863</v>
      </c>
      <c r="B605" s="2" t="s">
        <v>15</v>
      </c>
      <c r="C605" s="1">
        <f>SUM(PL!E605:H605)</f>
        <v>0</v>
      </c>
      <c r="D605" s="1">
        <f>SUM(PL!I605:L605)</f>
        <v>0</v>
      </c>
      <c r="E605" s="1">
        <f>SUM(C605:D605)</f>
        <v>0</v>
      </c>
      <c r="F605" s="1">
        <f>IF(C605 + F604 &lt; 0, C605 + F604, 0)</f>
        <v>0</v>
      </c>
      <c r="G605" s="1">
        <f>IF(D605 + G604 &lt; 0, D605 + G604, 0)</f>
        <v>0</v>
      </c>
      <c r="H605" s="1">
        <f>IF(E605 + H604 &lt; 0, E605 + H604, 0)</f>
        <v>0</v>
      </c>
      <c r="I605" s="1">
        <f>IF(H605 &lt; 0, 1 + I604, 0)</f>
        <v>0</v>
      </c>
      <c r="J605" s="1">
        <f>C605-((ABS(SUM(PL!E605:H605)))*0.125)</f>
        <v>0</v>
      </c>
      <c r="K605" s="1">
        <f>D605-((ABS(SUM(PL!I605:L605)))*0.125)</f>
        <v>0</v>
      </c>
      <c r="L605" s="1">
        <f>J605 + K605</f>
        <v>0</v>
      </c>
      <c r="M605" s="1">
        <f>IF(J605 + M604 &lt; 0, J605 + M604, 0)</f>
        <v>0</v>
      </c>
      <c r="N605" s="1">
        <f>IF(K605 + N604 &lt; 0, K605 + N604, 0)</f>
        <v>0</v>
      </c>
      <c r="O605" s="1">
        <f>IF(L605 + O604 &lt; 0, L605 + O604, 0)</f>
        <v>0</v>
      </c>
      <c r="P605" s="1">
        <f>IF(O605 &lt; 0, 1 + P604, 0)</f>
        <v>0</v>
      </c>
      <c r="Q605" s="1">
        <f>IF(E605&lt;0,1,0)</f>
        <v>0</v>
      </c>
      <c r="R605" s="1">
        <f>IF(Q605=1,E605,0)</f>
        <v>0</v>
      </c>
      <c r="S605" s="1">
        <f>IF(E605&gt;0,1,0)</f>
        <v>0</v>
      </c>
      <c r="T605" s="1">
        <f>IF(S605=1,E605,0)</f>
        <v>0</v>
      </c>
      <c r="U605" s="1">
        <f>IF(R605&lt;-100000000/100,1,0)</f>
        <v>0</v>
      </c>
      <c r="V605" s="1">
        <f>IF(T605&gt;100000000/100,1,0)</f>
        <v>0</v>
      </c>
      <c r="W605" s="1">
        <f>IF(L605&lt;0,1,0)</f>
        <v>0</v>
      </c>
      <c r="X605" s="1">
        <f>IF(W605=1,L605,0)</f>
        <v>0</v>
      </c>
      <c r="Y605" s="1">
        <f>IF(L605&gt;0,1,0)</f>
        <v>0</v>
      </c>
      <c r="Z605" s="1">
        <f>IF(Y605=1,L605,0)</f>
        <v>0</v>
      </c>
      <c r="AA605" s="1">
        <f>IF(X605&lt;-100000000/100,1,0)</f>
        <v>0</v>
      </c>
      <c r="AB605" s="1">
        <f>IF(Z605&gt;100000000/100,1,0)</f>
        <v>0</v>
      </c>
    </row>
    <row r="606" spans="1:28" s="1" customFormat="1">
      <c r="A606" s="3">
        <v>45866</v>
      </c>
      <c r="B606" s="2" t="s">
        <v>12</v>
      </c>
      <c r="C606" s="1">
        <f>SUM(PL!E606:H606)</f>
        <v>0</v>
      </c>
      <c r="D606" s="1">
        <f>SUM(PL!I606:L606)</f>
        <v>0</v>
      </c>
      <c r="E606" s="1">
        <f>SUM(C606:D606)</f>
        <v>0</v>
      </c>
      <c r="F606" s="1">
        <f>IF(C606 + F605 &lt; 0, C606 + F605, 0)</f>
        <v>0</v>
      </c>
      <c r="G606" s="1">
        <f>IF(D606 + G605 &lt; 0, D606 + G605, 0)</f>
        <v>0</v>
      </c>
      <c r="H606" s="1">
        <f>IF(E606 + H605 &lt; 0, E606 + H605, 0)</f>
        <v>0</v>
      </c>
      <c r="I606" s="1">
        <f>IF(H606 &lt; 0, 1 + I605, 0)</f>
        <v>0</v>
      </c>
      <c r="J606" s="1">
        <f>C606-((ABS(SUM(PL!E606:H606)))*0.125)</f>
        <v>0</v>
      </c>
      <c r="K606" s="1">
        <f>D606-((ABS(SUM(PL!I606:L606)))*0.125)</f>
        <v>0</v>
      </c>
      <c r="L606" s="1">
        <f>J606 + K606</f>
        <v>0</v>
      </c>
      <c r="M606" s="1">
        <f>IF(J606 + M605 &lt; 0, J606 + M605, 0)</f>
        <v>0</v>
      </c>
      <c r="N606" s="1">
        <f>IF(K606 + N605 &lt; 0, K606 + N605, 0)</f>
        <v>0</v>
      </c>
      <c r="O606" s="1">
        <f>IF(L606 + O605 &lt; 0, L606 + O605, 0)</f>
        <v>0</v>
      </c>
      <c r="P606" s="1">
        <f>IF(O606 &lt; 0, 1 + P605, 0)</f>
        <v>0</v>
      </c>
      <c r="Q606" s="1">
        <f>IF(E606&lt;0,1,0)</f>
        <v>0</v>
      </c>
      <c r="R606" s="1">
        <f>IF(Q606=1,E606,0)</f>
        <v>0</v>
      </c>
      <c r="S606" s="1">
        <f>IF(E606&gt;0,1,0)</f>
        <v>0</v>
      </c>
      <c r="T606" s="1">
        <f>IF(S606=1,E606,0)</f>
        <v>0</v>
      </c>
      <c r="U606" s="1">
        <f>IF(R606&lt;-100000000/100,1,0)</f>
        <v>0</v>
      </c>
      <c r="V606" s="1">
        <f>IF(T606&gt;100000000/100,1,0)</f>
        <v>0</v>
      </c>
      <c r="W606" s="1">
        <f>IF(L606&lt;0,1,0)</f>
        <v>0</v>
      </c>
      <c r="X606" s="1">
        <f>IF(W606=1,L606,0)</f>
        <v>0</v>
      </c>
      <c r="Y606" s="1">
        <f>IF(L606&gt;0,1,0)</f>
        <v>0</v>
      </c>
      <c r="Z606" s="1">
        <f>IF(Y606=1,L606,0)</f>
        <v>0</v>
      </c>
      <c r="AA606" s="1">
        <f>IF(X606&lt;-100000000/100,1,0)</f>
        <v>0</v>
      </c>
      <c r="AB606" s="1">
        <f>IF(Z606&gt;100000000/100,1,0)</f>
        <v>0</v>
      </c>
    </row>
    <row r="607" spans="1:28" s="1" customFormat="1">
      <c r="A607" s="3">
        <v>45867</v>
      </c>
      <c r="B607" s="2" t="s">
        <v>13</v>
      </c>
      <c r="C607" s="1">
        <f>SUM(PL!E607:H607)</f>
        <v>0</v>
      </c>
      <c r="D607" s="1">
        <f>SUM(PL!I607:L607)</f>
        <v>0</v>
      </c>
      <c r="E607" s="1">
        <f>SUM(C607:D607)</f>
        <v>0</v>
      </c>
      <c r="F607" s="1">
        <f>IF(C607 + F606 &lt; 0, C607 + F606, 0)</f>
        <v>0</v>
      </c>
      <c r="G607" s="1">
        <f>IF(D607 + G606 &lt; 0, D607 + G606, 0)</f>
        <v>0</v>
      </c>
      <c r="H607" s="1">
        <f>IF(E607 + H606 &lt; 0, E607 + H606, 0)</f>
        <v>0</v>
      </c>
      <c r="I607" s="1">
        <f>IF(H607 &lt; 0, 1 + I606, 0)</f>
        <v>0</v>
      </c>
      <c r="J607" s="1">
        <f>C607-((ABS(SUM(PL!E607:H607)))*0.125)</f>
        <v>0</v>
      </c>
      <c r="K607" s="1">
        <f>D607-((ABS(SUM(PL!I607:L607)))*0.125)</f>
        <v>0</v>
      </c>
      <c r="L607" s="1">
        <f>J607 + K607</f>
        <v>0</v>
      </c>
      <c r="M607" s="1">
        <f>IF(J607 + M606 &lt; 0, J607 + M606, 0)</f>
        <v>0</v>
      </c>
      <c r="N607" s="1">
        <f>IF(K607 + N606 &lt; 0, K607 + N606, 0)</f>
        <v>0</v>
      </c>
      <c r="O607" s="1">
        <f>IF(L607 + O606 &lt; 0, L607 + O606, 0)</f>
        <v>0</v>
      </c>
      <c r="P607" s="1">
        <f>IF(O607 &lt; 0, 1 + P606, 0)</f>
        <v>0</v>
      </c>
      <c r="Q607" s="1">
        <f>IF(E607&lt;0,1,0)</f>
        <v>0</v>
      </c>
      <c r="R607" s="1">
        <f>IF(Q607=1,E607,0)</f>
        <v>0</v>
      </c>
      <c r="S607" s="1">
        <f>IF(E607&gt;0,1,0)</f>
        <v>0</v>
      </c>
      <c r="T607" s="1">
        <f>IF(S607=1,E607,0)</f>
        <v>0</v>
      </c>
      <c r="U607" s="1">
        <f>IF(R607&lt;-100000000/100,1,0)</f>
        <v>0</v>
      </c>
      <c r="V607" s="1">
        <f>IF(T607&gt;100000000/100,1,0)</f>
        <v>0</v>
      </c>
      <c r="W607" s="1">
        <f>IF(L607&lt;0,1,0)</f>
        <v>0</v>
      </c>
      <c r="X607" s="1">
        <f>IF(W607=1,L607,0)</f>
        <v>0</v>
      </c>
      <c r="Y607" s="1">
        <f>IF(L607&gt;0,1,0)</f>
        <v>0</v>
      </c>
      <c r="Z607" s="1">
        <f>IF(Y607=1,L607,0)</f>
        <v>0</v>
      </c>
      <c r="AA607" s="1">
        <f>IF(X607&lt;-100000000/100,1,0)</f>
        <v>0</v>
      </c>
      <c r="AB607" s="1">
        <f>IF(Z607&gt;100000000/100,1,0)</f>
        <v>0</v>
      </c>
    </row>
    <row r="608" spans="1:28" s="1" customFormat="1">
      <c r="A608" s="3">
        <v>45868</v>
      </c>
      <c r="B608" s="2" t="s">
        <v>14</v>
      </c>
      <c r="C608" s="1">
        <f>SUM(PL!E608:H608)</f>
        <v>0</v>
      </c>
      <c r="D608" s="1">
        <f>SUM(PL!I608:L608)</f>
        <v>0</v>
      </c>
      <c r="E608" s="1">
        <f>SUM(C608:D608)</f>
        <v>0</v>
      </c>
      <c r="F608" s="1">
        <f>IF(C608 + F607 &lt; 0, C608 + F607, 0)</f>
        <v>0</v>
      </c>
      <c r="G608" s="1">
        <f>IF(D608 + G607 &lt; 0, D608 + G607, 0)</f>
        <v>0</v>
      </c>
      <c r="H608" s="1">
        <f>IF(E608 + H607 &lt; 0, E608 + H607, 0)</f>
        <v>0</v>
      </c>
      <c r="I608" s="1">
        <f>IF(H608 &lt; 0, 1 + I607, 0)</f>
        <v>0</v>
      </c>
      <c r="J608" s="1">
        <f>C608-((ABS(SUM(PL!E608:H608)))*0.125)</f>
        <v>0</v>
      </c>
      <c r="K608" s="1">
        <f>D608-((ABS(SUM(PL!I608:L608)))*0.125)</f>
        <v>0</v>
      </c>
      <c r="L608" s="1">
        <f>J608 + K608</f>
        <v>0</v>
      </c>
      <c r="M608" s="1">
        <f>IF(J608 + M607 &lt; 0, J608 + M607, 0)</f>
        <v>0</v>
      </c>
      <c r="N608" s="1">
        <f>IF(K608 + N607 &lt; 0, K608 + N607, 0)</f>
        <v>0</v>
      </c>
      <c r="O608" s="1">
        <f>IF(L608 + O607 &lt; 0, L608 + O607, 0)</f>
        <v>0</v>
      </c>
      <c r="P608" s="1">
        <f>IF(O608 &lt; 0, 1 + P607, 0)</f>
        <v>0</v>
      </c>
      <c r="Q608" s="1">
        <f>IF(E608&lt;0,1,0)</f>
        <v>0</v>
      </c>
      <c r="R608" s="1">
        <f>IF(Q608=1,E608,0)</f>
        <v>0</v>
      </c>
      <c r="S608" s="1">
        <f>IF(E608&gt;0,1,0)</f>
        <v>0</v>
      </c>
      <c r="T608" s="1">
        <f>IF(S608=1,E608,0)</f>
        <v>0</v>
      </c>
      <c r="U608" s="1">
        <f>IF(R608&lt;-100000000/100,1,0)</f>
        <v>0</v>
      </c>
      <c r="V608" s="1">
        <f>IF(T608&gt;100000000/100,1,0)</f>
        <v>0</v>
      </c>
      <c r="W608" s="1">
        <f>IF(L608&lt;0,1,0)</f>
        <v>0</v>
      </c>
      <c r="X608" s="1">
        <f>IF(W608=1,L608,0)</f>
        <v>0</v>
      </c>
      <c r="Y608" s="1">
        <f>IF(L608&gt;0,1,0)</f>
        <v>0</v>
      </c>
      <c r="Z608" s="1">
        <f>IF(Y608=1,L608,0)</f>
        <v>0</v>
      </c>
      <c r="AA608" s="1">
        <f>IF(X608&lt;-100000000/100,1,0)</f>
        <v>0</v>
      </c>
      <c r="AB608" s="1">
        <f>IF(Z608&gt;100000000/100,1,0)</f>
        <v>0</v>
      </c>
    </row>
    <row r="609" spans="1:28" s="1" customFormat="1">
      <c r="A609" s="3">
        <v>45869</v>
      </c>
      <c r="B609" s="2" t="s">
        <v>16</v>
      </c>
      <c r="C609" s="1">
        <f>SUM(PL!E609:H609)</f>
        <v>0</v>
      </c>
      <c r="D609" s="1">
        <f>SUM(PL!I609:L609)</f>
        <v>0</v>
      </c>
      <c r="E609" s="1">
        <f>SUM(C609:D609)</f>
        <v>0</v>
      </c>
      <c r="F609" s="1">
        <f>IF(C609 + F608 &lt; 0, C609 + F608, 0)</f>
        <v>0</v>
      </c>
      <c r="G609" s="1">
        <f>IF(D609 + G608 &lt; 0, D609 + G608, 0)</f>
        <v>0</v>
      </c>
      <c r="H609" s="1">
        <f>IF(E609 + H608 &lt; 0, E609 + H608, 0)</f>
        <v>0</v>
      </c>
      <c r="I609" s="1">
        <f>IF(H609 &lt; 0, 1 + I608, 0)</f>
        <v>0</v>
      </c>
      <c r="J609" s="1">
        <f>C609-((ABS(SUM(PL!E609:H609)))*0.125)</f>
        <v>0</v>
      </c>
      <c r="K609" s="1">
        <f>D609-((ABS(SUM(PL!I609:L609)))*0.125)</f>
        <v>0</v>
      </c>
      <c r="L609" s="1">
        <f>J609 + K609</f>
        <v>0</v>
      </c>
      <c r="M609" s="1">
        <f>IF(J609 + M608 &lt; 0, J609 + M608, 0)</f>
        <v>0</v>
      </c>
      <c r="N609" s="1">
        <f>IF(K609 + N608 &lt; 0, K609 + N608, 0)</f>
        <v>0</v>
      </c>
      <c r="O609" s="1">
        <f>IF(L609 + O608 &lt; 0, L609 + O608, 0)</f>
        <v>0</v>
      </c>
      <c r="P609" s="1">
        <f>IF(O609 &lt; 0, 1 + P608, 0)</f>
        <v>0</v>
      </c>
      <c r="Q609" s="1">
        <f>IF(E609&lt;0,1,0)</f>
        <v>0</v>
      </c>
      <c r="R609" s="1">
        <f>IF(Q609=1,E609,0)</f>
        <v>0</v>
      </c>
      <c r="S609" s="1">
        <f>IF(E609&gt;0,1,0)</f>
        <v>0</v>
      </c>
      <c r="T609" s="1">
        <f>IF(S609=1,E609,0)</f>
        <v>0</v>
      </c>
      <c r="U609" s="1">
        <f>IF(R609&lt;-100000000/100,1,0)</f>
        <v>0</v>
      </c>
      <c r="V609" s="1">
        <f>IF(T609&gt;100000000/100,1,0)</f>
        <v>0</v>
      </c>
      <c r="W609" s="1">
        <f>IF(L609&lt;0,1,0)</f>
        <v>0</v>
      </c>
      <c r="X609" s="1">
        <f>IF(W609=1,L609,0)</f>
        <v>0</v>
      </c>
      <c r="Y609" s="1">
        <f>IF(L609&gt;0,1,0)</f>
        <v>0</v>
      </c>
      <c r="Z609" s="1">
        <f>IF(Y609=1,L609,0)</f>
        <v>0</v>
      </c>
      <c r="AA609" s="1">
        <f>IF(X609&lt;-100000000/100,1,0)</f>
        <v>0</v>
      </c>
      <c r="AB609" s="1">
        <f>IF(Z609&gt;100000000/100,1,0)</f>
        <v>0</v>
      </c>
    </row>
    <row r="610" spans="1:28" s="1" customFormat="1">
      <c r="A610" s="3">
        <v>45870</v>
      </c>
      <c r="B610" s="2" t="s">
        <v>15</v>
      </c>
      <c r="C610" s="1">
        <f>SUM(PL!E610:H610)</f>
        <v>0</v>
      </c>
      <c r="D610" s="1">
        <f>SUM(PL!I610:L610)</f>
        <v>0</v>
      </c>
      <c r="E610" s="1">
        <f>SUM(C610:D610)</f>
        <v>0</v>
      </c>
      <c r="F610" s="1">
        <f>IF(C610 + F609 &lt; 0, C610 + F609, 0)</f>
        <v>0</v>
      </c>
      <c r="G610" s="1">
        <f>IF(D610 + G609 &lt; 0, D610 + G609, 0)</f>
        <v>0</v>
      </c>
      <c r="H610" s="1">
        <f>IF(E610 + H609 &lt; 0, E610 + H609, 0)</f>
        <v>0</v>
      </c>
      <c r="I610" s="1">
        <f>IF(H610 &lt; 0, 1 + I609, 0)</f>
        <v>0</v>
      </c>
      <c r="J610" s="1">
        <f>C610-((ABS(SUM(PL!E610:H610)))*0.125)</f>
        <v>0</v>
      </c>
      <c r="K610" s="1">
        <f>D610-((ABS(SUM(PL!I610:L610)))*0.125)</f>
        <v>0</v>
      </c>
      <c r="L610" s="1">
        <f>J610 + K610</f>
        <v>0</v>
      </c>
      <c r="M610" s="1">
        <f>IF(J610 + M609 &lt; 0, J610 + M609, 0)</f>
        <v>0</v>
      </c>
      <c r="N610" s="1">
        <f>IF(K610 + N609 &lt; 0, K610 + N609, 0)</f>
        <v>0</v>
      </c>
      <c r="O610" s="1">
        <f>IF(L610 + O609 &lt; 0, L610 + O609, 0)</f>
        <v>0</v>
      </c>
      <c r="P610" s="1">
        <f>IF(O610 &lt; 0, 1 + P609, 0)</f>
        <v>0</v>
      </c>
      <c r="Q610" s="1">
        <f>IF(E610&lt;0,1,0)</f>
        <v>0</v>
      </c>
      <c r="R610" s="1">
        <f>IF(Q610=1,E610,0)</f>
        <v>0</v>
      </c>
      <c r="S610" s="1">
        <f>IF(E610&gt;0,1,0)</f>
        <v>0</v>
      </c>
      <c r="T610" s="1">
        <f>IF(S610=1,E610,0)</f>
        <v>0</v>
      </c>
      <c r="U610" s="1">
        <f>IF(R610&lt;-100000000/100,1,0)</f>
        <v>0</v>
      </c>
      <c r="V610" s="1">
        <f>IF(T610&gt;100000000/100,1,0)</f>
        <v>0</v>
      </c>
      <c r="W610" s="1">
        <f>IF(L610&lt;0,1,0)</f>
        <v>0</v>
      </c>
      <c r="X610" s="1">
        <f>IF(W610=1,L610,0)</f>
        <v>0</v>
      </c>
      <c r="Y610" s="1">
        <f>IF(L610&gt;0,1,0)</f>
        <v>0</v>
      </c>
      <c r="Z610" s="1">
        <f>IF(Y610=1,L610,0)</f>
        <v>0</v>
      </c>
      <c r="AA610" s="1">
        <f>IF(X610&lt;-100000000/100,1,0)</f>
        <v>0</v>
      </c>
      <c r="AB610" s="1">
        <f>IF(Z610&gt;100000000/100,1,0)</f>
        <v>0</v>
      </c>
    </row>
    <row r="611" spans="1:28" s="1" customFormat="1">
      <c r="A611" s="3">
        <v>45873</v>
      </c>
      <c r="B611" s="2" t="s">
        <v>12</v>
      </c>
      <c r="C611" s="1">
        <f>SUM(PL!E611:H611)</f>
        <v>0</v>
      </c>
      <c r="D611" s="1">
        <f>SUM(PL!I611:L611)</f>
        <v>0</v>
      </c>
      <c r="E611" s="1">
        <f>SUM(C611:D611)</f>
        <v>0</v>
      </c>
      <c r="F611" s="1">
        <f>IF(C611 + F610 &lt; 0, C611 + F610, 0)</f>
        <v>0</v>
      </c>
      <c r="G611" s="1">
        <f>IF(D611 + G610 &lt; 0, D611 + G610, 0)</f>
        <v>0</v>
      </c>
      <c r="H611" s="1">
        <f>IF(E611 + H610 &lt; 0, E611 + H610, 0)</f>
        <v>0</v>
      </c>
      <c r="I611" s="1">
        <f>IF(H611 &lt; 0, 1 + I610, 0)</f>
        <v>0</v>
      </c>
      <c r="J611" s="1">
        <f>C611-((ABS(SUM(PL!E611:H611)))*0.125)</f>
        <v>0</v>
      </c>
      <c r="K611" s="1">
        <f>D611-((ABS(SUM(PL!I611:L611)))*0.125)</f>
        <v>0</v>
      </c>
      <c r="L611" s="1">
        <f>J611 + K611</f>
        <v>0</v>
      </c>
      <c r="M611" s="1">
        <f>IF(J611 + M610 &lt; 0, J611 + M610, 0)</f>
        <v>0</v>
      </c>
      <c r="N611" s="1">
        <f>IF(K611 + N610 &lt; 0, K611 + N610, 0)</f>
        <v>0</v>
      </c>
      <c r="O611" s="1">
        <f>IF(L611 + O610 &lt; 0, L611 + O610, 0)</f>
        <v>0</v>
      </c>
      <c r="P611" s="1">
        <f>IF(O611 &lt; 0, 1 + P610, 0)</f>
        <v>0</v>
      </c>
      <c r="Q611" s="1">
        <f>IF(E611&lt;0,1,0)</f>
        <v>0</v>
      </c>
      <c r="R611" s="1">
        <f>IF(Q611=1,E611,0)</f>
        <v>0</v>
      </c>
      <c r="S611" s="1">
        <f>IF(E611&gt;0,1,0)</f>
        <v>0</v>
      </c>
      <c r="T611" s="1">
        <f>IF(S611=1,E611,0)</f>
        <v>0</v>
      </c>
      <c r="U611" s="1">
        <f>IF(R611&lt;-100000000/100,1,0)</f>
        <v>0</v>
      </c>
      <c r="V611" s="1">
        <f>IF(T611&gt;100000000/100,1,0)</f>
        <v>0</v>
      </c>
      <c r="W611" s="1">
        <f>IF(L611&lt;0,1,0)</f>
        <v>0</v>
      </c>
      <c r="X611" s="1">
        <f>IF(W611=1,L611,0)</f>
        <v>0</v>
      </c>
      <c r="Y611" s="1">
        <f>IF(L611&gt;0,1,0)</f>
        <v>0</v>
      </c>
      <c r="Z611" s="1">
        <f>IF(Y611=1,L611,0)</f>
        <v>0</v>
      </c>
      <c r="AA611" s="1">
        <f>IF(X611&lt;-100000000/100,1,0)</f>
        <v>0</v>
      </c>
      <c r="AB611" s="1">
        <f>IF(Z611&gt;100000000/100,1,0)</f>
        <v>0</v>
      </c>
    </row>
    <row r="612" spans="1:28" s="1" customFormat="1">
      <c r="A612" s="3">
        <v>45874</v>
      </c>
      <c r="B612" s="2" t="s">
        <v>13</v>
      </c>
      <c r="C612" s="1">
        <f>SUM(PL!E612:H612)</f>
        <v>0</v>
      </c>
      <c r="D612" s="1">
        <f>SUM(PL!I612:L612)</f>
        <v>0</v>
      </c>
      <c r="E612" s="1">
        <f>SUM(C612:D612)</f>
        <v>0</v>
      </c>
      <c r="F612" s="1">
        <f>IF(C612 + F611 &lt; 0, C612 + F611, 0)</f>
        <v>0</v>
      </c>
      <c r="G612" s="1">
        <f>IF(D612 + G611 &lt; 0, D612 + G611, 0)</f>
        <v>0</v>
      </c>
      <c r="H612" s="1">
        <f>IF(E612 + H611 &lt; 0, E612 + H611, 0)</f>
        <v>0</v>
      </c>
      <c r="I612" s="1">
        <f>IF(H612 &lt; 0, 1 + I611, 0)</f>
        <v>0</v>
      </c>
      <c r="J612" s="1">
        <f>C612-((ABS(SUM(PL!E612:H612)))*0.125)</f>
        <v>0</v>
      </c>
      <c r="K612" s="1">
        <f>D612-((ABS(SUM(PL!I612:L612)))*0.125)</f>
        <v>0</v>
      </c>
      <c r="L612" s="1">
        <f>J612 + K612</f>
        <v>0</v>
      </c>
      <c r="M612" s="1">
        <f>IF(J612 + M611 &lt; 0, J612 + M611, 0)</f>
        <v>0</v>
      </c>
      <c r="N612" s="1">
        <f>IF(K612 + N611 &lt; 0, K612 + N611, 0)</f>
        <v>0</v>
      </c>
      <c r="O612" s="1">
        <f>IF(L612 + O611 &lt; 0, L612 + O611, 0)</f>
        <v>0</v>
      </c>
      <c r="P612" s="1">
        <f>IF(O612 &lt; 0, 1 + P611, 0)</f>
        <v>0</v>
      </c>
      <c r="Q612" s="1">
        <f>IF(E612&lt;0,1,0)</f>
        <v>0</v>
      </c>
      <c r="R612" s="1">
        <f>IF(Q612=1,E612,0)</f>
        <v>0</v>
      </c>
      <c r="S612" s="1">
        <f>IF(E612&gt;0,1,0)</f>
        <v>0</v>
      </c>
      <c r="T612" s="1">
        <f>IF(S612=1,E612,0)</f>
        <v>0</v>
      </c>
      <c r="U612" s="1">
        <f>IF(R612&lt;-100000000/100,1,0)</f>
        <v>0</v>
      </c>
      <c r="V612" s="1">
        <f>IF(T612&gt;100000000/100,1,0)</f>
        <v>0</v>
      </c>
      <c r="W612" s="1">
        <f>IF(L612&lt;0,1,0)</f>
        <v>0</v>
      </c>
      <c r="X612" s="1">
        <f>IF(W612=1,L612,0)</f>
        <v>0</v>
      </c>
      <c r="Y612" s="1">
        <f>IF(L612&gt;0,1,0)</f>
        <v>0</v>
      </c>
      <c r="Z612" s="1">
        <f>IF(Y612=1,L612,0)</f>
        <v>0</v>
      </c>
      <c r="AA612" s="1">
        <f>IF(X612&lt;-100000000/100,1,0)</f>
        <v>0</v>
      </c>
      <c r="AB612" s="1">
        <f>IF(Z612&gt;100000000/100,1,0)</f>
        <v>0</v>
      </c>
    </row>
    <row r="613" spans="1:28" s="1" customFormat="1">
      <c r="A613" s="3">
        <v>45875</v>
      </c>
      <c r="B613" s="2" t="s">
        <v>14</v>
      </c>
      <c r="C613" s="1">
        <f>SUM(PL!E613:H613)</f>
        <v>0</v>
      </c>
      <c r="D613" s="1">
        <f>SUM(PL!I613:L613)</f>
        <v>0</v>
      </c>
      <c r="E613" s="1">
        <f>SUM(C613:D613)</f>
        <v>0</v>
      </c>
      <c r="F613" s="1">
        <f>IF(C613 + F612 &lt; 0, C613 + F612, 0)</f>
        <v>0</v>
      </c>
      <c r="G613" s="1">
        <f>IF(D613 + G612 &lt; 0, D613 + G612, 0)</f>
        <v>0</v>
      </c>
      <c r="H613" s="1">
        <f>IF(E613 + H612 &lt; 0, E613 + H612, 0)</f>
        <v>0</v>
      </c>
      <c r="I613" s="1">
        <f>IF(H613 &lt; 0, 1 + I612, 0)</f>
        <v>0</v>
      </c>
      <c r="J613" s="1">
        <f>C613-((ABS(SUM(PL!E613:H613)))*0.125)</f>
        <v>0</v>
      </c>
      <c r="K613" s="1">
        <f>D613-((ABS(SUM(PL!I613:L613)))*0.125)</f>
        <v>0</v>
      </c>
      <c r="L613" s="1">
        <f>J613 + K613</f>
        <v>0</v>
      </c>
      <c r="M613" s="1">
        <f>IF(J613 + M612 &lt; 0, J613 + M612, 0)</f>
        <v>0</v>
      </c>
      <c r="N613" s="1">
        <f>IF(K613 + N612 &lt; 0, K613 + N612, 0)</f>
        <v>0</v>
      </c>
      <c r="O613" s="1">
        <f>IF(L613 + O612 &lt; 0, L613 + O612, 0)</f>
        <v>0</v>
      </c>
      <c r="P613" s="1">
        <f>IF(O613 &lt; 0, 1 + P612, 0)</f>
        <v>0</v>
      </c>
      <c r="Q613" s="1">
        <f>IF(E613&lt;0,1,0)</f>
        <v>0</v>
      </c>
      <c r="R613" s="1">
        <f>IF(Q613=1,E613,0)</f>
        <v>0</v>
      </c>
      <c r="S613" s="1">
        <f>IF(E613&gt;0,1,0)</f>
        <v>0</v>
      </c>
      <c r="T613" s="1">
        <f>IF(S613=1,E613,0)</f>
        <v>0</v>
      </c>
      <c r="U613" s="1">
        <f>IF(R613&lt;-100000000/100,1,0)</f>
        <v>0</v>
      </c>
      <c r="V613" s="1">
        <f>IF(T613&gt;100000000/100,1,0)</f>
        <v>0</v>
      </c>
      <c r="W613" s="1">
        <f>IF(L613&lt;0,1,0)</f>
        <v>0</v>
      </c>
      <c r="X613" s="1">
        <f>IF(W613=1,L613,0)</f>
        <v>0</v>
      </c>
      <c r="Y613" s="1">
        <f>IF(L613&gt;0,1,0)</f>
        <v>0</v>
      </c>
      <c r="Z613" s="1">
        <f>IF(Y613=1,L613,0)</f>
        <v>0</v>
      </c>
      <c r="AA613" s="1">
        <f>IF(X613&lt;-100000000/100,1,0)</f>
        <v>0</v>
      </c>
      <c r="AB613" s="1">
        <f>IF(Z613&gt;100000000/100,1,0)</f>
        <v>0</v>
      </c>
    </row>
    <row r="614" spans="1:28" s="1" customFormat="1">
      <c r="A614" s="3">
        <v>45876</v>
      </c>
      <c r="B614" s="2" t="s">
        <v>16</v>
      </c>
      <c r="C614" s="1">
        <f>SUM(PL!E614:H614)</f>
        <v>0</v>
      </c>
      <c r="D614" s="1">
        <f>SUM(PL!I614:L614)</f>
        <v>0</v>
      </c>
      <c r="E614" s="1">
        <f>SUM(C614:D614)</f>
        <v>0</v>
      </c>
      <c r="F614" s="1">
        <f>IF(C614 + F613 &lt; 0, C614 + F613, 0)</f>
        <v>0</v>
      </c>
      <c r="G614" s="1">
        <f>IF(D614 + G613 &lt; 0, D614 + G613, 0)</f>
        <v>0</v>
      </c>
      <c r="H614" s="1">
        <f>IF(E614 + H613 &lt; 0, E614 + H613, 0)</f>
        <v>0</v>
      </c>
      <c r="I614" s="1">
        <f>IF(H614 &lt; 0, 1 + I613, 0)</f>
        <v>0</v>
      </c>
      <c r="J614" s="1">
        <f>C614-((ABS(SUM(PL!E614:H614)))*0.125)</f>
        <v>0</v>
      </c>
      <c r="K614" s="1">
        <f>D614-((ABS(SUM(PL!I614:L614)))*0.125)</f>
        <v>0</v>
      </c>
      <c r="L614" s="1">
        <f>J614 + K614</f>
        <v>0</v>
      </c>
      <c r="M614" s="1">
        <f>IF(J614 + M613 &lt; 0, J614 + M613, 0)</f>
        <v>0</v>
      </c>
      <c r="N614" s="1">
        <f>IF(K614 + N613 &lt; 0, K614 + N613, 0)</f>
        <v>0</v>
      </c>
      <c r="O614" s="1">
        <f>IF(L614 + O613 &lt; 0, L614 + O613, 0)</f>
        <v>0</v>
      </c>
      <c r="P614" s="1">
        <f>IF(O614 &lt; 0, 1 + P613, 0)</f>
        <v>0</v>
      </c>
      <c r="Q614" s="1">
        <f>IF(E614&lt;0,1,0)</f>
        <v>0</v>
      </c>
      <c r="R614" s="1">
        <f>IF(Q614=1,E614,0)</f>
        <v>0</v>
      </c>
      <c r="S614" s="1">
        <f>IF(E614&gt;0,1,0)</f>
        <v>0</v>
      </c>
      <c r="T614" s="1">
        <f>IF(S614=1,E614,0)</f>
        <v>0</v>
      </c>
      <c r="U614" s="1">
        <f>IF(R614&lt;-100000000/100,1,0)</f>
        <v>0</v>
      </c>
      <c r="V614" s="1">
        <f>IF(T614&gt;100000000/100,1,0)</f>
        <v>0</v>
      </c>
      <c r="W614" s="1">
        <f>IF(L614&lt;0,1,0)</f>
        <v>0</v>
      </c>
      <c r="X614" s="1">
        <f>IF(W614=1,L614,0)</f>
        <v>0</v>
      </c>
      <c r="Y614" s="1">
        <f>IF(L614&gt;0,1,0)</f>
        <v>0</v>
      </c>
      <c r="Z614" s="1">
        <f>IF(Y614=1,L614,0)</f>
        <v>0</v>
      </c>
      <c r="AA614" s="1">
        <f>IF(X614&lt;-100000000/100,1,0)</f>
        <v>0</v>
      </c>
      <c r="AB614" s="1">
        <f>IF(Z614&gt;100000000/100,1,0)</f>
        <v>0</v>
      </c>
    </row>
    <row r="615" spans="1:28" s="1" customFormat="1">
      <c r="A615" s="3">
        <v>45877</v>
      </c>
      <c r="B615" s="2" t="s">
        <v>15</v>
      </c>
      <c r="C615" s="1">
        <f>SUM(PL!E615:H615)</f>
        <v>0</v>
      </c>
      <c r="D615" s="1">
        <f>SUM(PL!I615:L615)</f>
        <v>0</v>
      </c>
      <c r="E615" s="1">
        <f>SUM(C615:D615)</f>
        <v>0</v>
      </c>
      <c r="F615" s="1">
        <f>IF(C615 + F614 &lt; 0, C615 + F614, 0)</f>
        <v>0</v>
      </c>
      <c r="G615" s="1">
        <f>IF(D615 + G614 &lt; 0, D615 + G614, 0)</f>
        <v>0</v>
      </c>
      <c r="H615" s="1">
        <f>IF(E615 + H614 &lt; 0, E615 + H614, 0)</f>
        <v>0</v>
      </c>
      <c r="I615" s="1">
        <f>IF(H615 &lt; 0, 1 + I614, 0)</f>
        <v>0</v>
      </c>
      <c r="J615" s="1">
        <f>C615-((ABS(SUM(PL!E615:H615)))*0.125)</f>
        <v>0</v>
      </c>
      <c r="K615" s="1">
        <f>D615-((ABS(SUM(PL!I615:L615)))*0.125)</f>
        <v>0</v>
      </c>
      <c r="L615" s="1">
        <f>J615 + K615</f>
        <v>0</v>
      </c>
      <c r="M615" s="1">
        <f>IF(J615 + M614 &lt; 0, J615 + M614, 0)</f>
        <v>0</v>
      </c>
      <c r="N615" s="1">
        <f>IF(K615 + N614 &lt; 0, K615 + N614, 0)</f>
        <v>0</v>
      </c>
      <c r="O615" s="1">
        <f>IF(L615 + O614 &lt; 0, L615 + O614, 0)</f>
        <v>0</v>
      </c>
      <c r="P615" s="1">
        <f>IF(O615 &lt; 0, 1 + P614, 0)</f>
        <v>0</v>
      </c>
      <c r="Q615" s="1">
        <f>IF(E615&lt;0,1,0)</f>
        <v>0</v>
      </c>
      <c r="R615" s="1">
        <f>IF(Q615=1,E615,0)</f>
        <v>0</v>
      </c>
      <c r="S615" s="1">
        <f>IF(E615&gt;0,1,0)</f>
        <v>0</v>
      </c>
      <c r="T615" s="1">
        <f>IF(S615=1,E615,0)</f>
        <v>0</v>
      </c>
      <c r="U615" s="1">
        <f>IF(R615&lt;-100000000/100,1,0)</f>
        <v>0</v>
      </c>
      <c r="V615" s="1">
        <f>IF(T615&gt;100000000/100,1,0)</f>
        <v>0</v>
      </c>
      <c r="W615" s="1">
        <f>IF(L615&lt;0,1,0)</f>
        <v>0</v>
      </c>
      <c r="X615" s="1">
        <f>IF(W615=1,L615,0)</f>
        <v>0</v>
      </c>
      <c r="Y615" s="1">
        <f>IF(L615&gt;0,1,0)</f>
        <v>0</v>
      </c>
      <c r="Z615" s="1">
        <f>IF(Y615=1,L615,0)</f>
        <v>0</v>
      </c>
      <c r="AA615" s="1">
        <f>IF(X615&lt;-100000000/100,1,0)</f>
        <v>0</v>
      </c>
      <c r="AB615" s="1">
        <f>IF(Z615&gt;100000000/100,1,0)</f>
        <v>0</v>
      </c>
    </row>
    <row r="616" spans="1:28" s="1" customFormat="1">
      <c r="A616" s="3">
        <v>45880</v>
      </c>
      <c r="B616" s="2" t="s">
        <v>12</v>
      </c>
      <c r="C616" s="1">
        <f>SUM(PL!E616:H616)</f>
        <v>0</v>
      </c>
      <c r="D616" s="1">
        <f>SUM(PL!I616:L616)</f>
        <v>0</v>
      </c>
      <c r="E616" s="1">
        <f>SUM(C616:D616)</f>
        <v>0</v>
      </c>
      <c r="F616" s="1">
        <f>IF(C616 + F615 &lt; 0, C616 + F615, 0)</f>
        <v>0</v>
      </c>
      <c r="G616" s="1">
        <f>IF(D616 + G615 &lt; 0, D616 + G615, 0)</f>
        <v>0</v>
      </c>
      <c r="H616" s="1">
        <f>IF(E616 + H615 &lt; 0, E616 + H615, 0)</f>
        <v>0</v>
      </c>
      <c r="I616" s="1">
        <f>IF(H616 &lt; 0, 1 + I615, 0)</f>
        <v>0</v>
      </c>
      <c r="J616" s="1">
        <f>C616-((ABS(SUM(PL!E616:H616)))*0.125)</f>
        <v>0</v>
      </c>
      <c r="K616" s="1">
        <f>D616-((ABS(SUM(PL!I616:L616)))*0.125)</f>
        <v>0</v>
      </c>
      <c r="L616" s="1">
        <f>J616 + K616</f>
        <v>0</v>
      </c>
      <c r="M616" s="1">
        <f>IF(J616 + M615 &lt; 0, J616 + M615, 0)</f>
        <v>0</v>
      </c>
      <c r="N616" s="1">
        <f>IF(K616 + N615 &lt; 0, K616 + N615, 0)</f>
        <v>0</v>
      </c>
      <c r="O616" s="1">
        <f>IF(L616 + O615 &lt; 0, L616 + O615, 0)</f>
        <v>0</v>
      </c>
      <c r="P616" s="1">
        <f>IF(O616 &lt; 0, 1 + P615, 0)</f>
        <v>0</v>
      </c>
      <c r="Q616" s="1">
        <f>IF(E616&lt;0,1,0)</f>
        <v>0</v>
      </c>
      <c r="R616" s="1">
        <f>IF(Q616=1,E616,0)</f>
        <v>0</v>
      </c>
      <c r="S616" s="1">
        <f>IF(E616&gt;0,1,0)</f>
        <v>0</v>
      </c>
      <c r="T616" s="1">
        <f>IF(S616=1,E616,0)</f>
        <v>0</v>
      </c>
      <c r="U616" s="1">
        <f>IF(R616&lt;-100000000/100,1,0)</f>
        <v>0</v>
      </c>
      <c r="V616" s="1">
        <f>IF(T616&gt;100000000/100,1,0)</f>
        <v>0</v>
      </c>
      <c r="W616" s="1">
        <f>IF(L616&lt;0,1,0)</f>
        <v>0</v>
      </c>
      <c r="X616" s="1">
        <f>IF(W616=1,L616,0)</f>
        <v>0</v>
      </c>
      <c r="Y616" s="1">
        <f>IF(L616&gt;0,1,0)</f>
        <v>0</v>
      </c>
      <c r="Z616" s="1">
        <f>IF(Y616=1,L616,0)</f>
        <v>0</v>
      </c>
      <c r="AA616" s="1">
        <f>IF(X616&lt;-100000000/100,1,0)</f>
        <v>0</v>
      </c>
      <c r="AB616" s="1">
        <f>IF(Z616&gt;100000000/100,1,0)</f>
        <v>0</v>
      </c>
    </row>
    <row r="617" spans="1:28" s="1" customFormat="1">
      <c r="A617" s="3">
        <v>45881</v>
      </c>
      <c r="B617" s="2" t="s">
        <v>13</v>
      </c>
      <c r="C617" s="1">
        <f>SUM(PL!E617:H617)</f>
        <v>0</v>
      </c>
      <c r="D617" s="1">
        <f>SUM(PL!I617:L617)</f>
        <v>0</v>
      </c>
      <c r="E617" s="1">
        <f>SUM(C617:D617)</f>
        <v>0</v>
      </c>
      <c r="F617" s="1">
        <f>IF(C617 + F616 &lt; 0, C617 + F616, 0)</f>
        <v>0</v>
      </c>
      <c r="G617" s="1">
        <f>IF(D617 + G616 &lt; 0, D617 + G616, 0)</f>
        <v>0</v>
      </c>
      <c r="H617" s="1">
        <f>IF(E617 + H616 &lt; 0, E617 + H616, 0)</f>
        <v>0</v>
      </c>
      <c r="I617" s="1">
        <f>IF(H617 &lt; 0, 1 + I616, 0)</f>
        <v>0</v>
      </c>
      <c r="J617" s="1">
        <f>C617-((ABS(SUM(PL!E617:H617)))*0.125)</f>
        <v>0</v>
      </c>
      <c r="K617" s="1">
        <f>D617-((ABS(SUM(PL!I617:L617)))*0.125)</f>
        <v>0</v>
      </c>
      <c r="L617" s="1">
        <f>J617 + K617</f>
        <v>0</v>
      </c>
      <c r="M617" s="1">
        <f>IF(J617 + M616 &lt; 0, J617 + M616, 0)</f>
        <v>0</v>
      </c>
      <c r="N617" s="1">
        <f>IF(K617 + N616 &lt; 0, K617 + N616, 0)</f>
        <v>0</v>
      </c>
      <c r="O617" s="1">
        <f>IF(L617 + O616 &lt; 0, L617 + O616, 0)</f>
        <v>0</v>
      </c>
      <c r="P617" s="1">
        <f>IF(O617 &lt; 0, 1 + P616, 0)</f>
        <v>0</v>
      </c>
      <c r="Q617" s="1">
        <f>IF(E617&lt;0,1,0)</f>
        <v>0</v>
      </c>
      <c r="R617" s="1">
        <f>IF(Q617=1,E617,0)</f>
        <v>0</v>
      </c>
      <c r="S617" s="1">
        <f>IF(E617&gt;0,1,0)</f>
        <v>0</v>
      </c>
      <c r="T617" s="1">
        <f>IF(S617=1,E617,0)</f>
        <v>0</v>
      </c>
      <c r="U617" s="1">
        <f>IF(R617&lt;-100000000/100,1,0)</f>
        <v>0</v>
      </c>
      <c r="V617" s="1">
        <f>IF(T617&gt;100000000/100,1,0)</f>
        <v>0</v>
      </c>
      <c r="W617" s="1">
        <f>IF(L617&lt;0,1,0)</f>
        <v>0</v>
      </c>
      <c r="X617" s="1">
        <f>IF(W617=1,L617,0)</f>
        <v>0</v>
      </c>
      <c r="Y617" s="1">
        <f>IF(L617&gt;0,1,0)</f>
        <v>0</v>
      </c>
      <c r="Z617" s="1">
        <f>IF(Y617=1,L617,0)</f>
        <v>0</v>
      </c>
      <c r="AA617" s="1">
        <f>IF(X617&lt;-100000000/100,1,0)</f>
        <v>0</v>
      </c>
      <c r="AB617" s="1">
        <f>IF(Z617&gt;100000000/100,1,0)</f>
        <v>0</v>
      </c>
    </row>
    <row r="618" spans="1:28" s="1" customFormat="1">
      <c r="A618" s="3">
        <v>45882</v>
      </c>
      <c r="B618" s="2" t="s">
        <v>14</v>
      </c>
      <c r="C618" s="1">
        <f>SUM(PL!E618:H618)</f>
        <v>0</v>
      </c>
      <c r="D618" s="1">
        <f>SUM(PL!I618:L618)</f>
        <v>0</v>
      </c>
      <c r="E618" s="1">
        <f>SUM(C618:D618)</f>
        <v>0</v>
      </c>
      <c r="F618" s="1">
        <f>IF(C618 + F617 &lt; 0, C618 + F617, 0)</f>
        <v>0</v>
      </c>
      <c r="G618" s="1">
        <f>IF(D618 + G617 &lt; 0, D618 + G617, 0)</f>
        <v>0</v>
      </c>
      <c r="H618" s="1">
        <f>IF(E618 + H617 &lt; 0, E618 + H617, 0)</f>
        <v>0</v>
      </c>
      <c r="I618" s="1">
        <f>IF(H618 &lt; 0, 1 + I617, 0)</f>
        <v>0</v>
      </c>
      <c r="J618" s="1">
        <f>C618-((ABS(SUM(PL!E618:H618)))*0.125)</f>
        <v>0</v>
      </c>
      <c r="K618" s="1">
        <f>D618-((ABS(SUM(PL!I618:L618)))*0.125)</f>
        <v>0</v>
      </c>
      <c r="L618" s="1">
        <f>J618 + K618</f>
        <v>0</v>
      </c>
      <c r="M618" s="1">
        <f>IF(J618 + M617 &lt; 0, J618 + M617, 0)</f>
        <v>0</v>
      </c>
      <c r="N618" s="1">
        <f>IF(K618 + N617 &lt; 0, K618 + N617, 0)</f>
        <v>0</v>
      </c>
      <c r="O618" s="1">
        <f>IF(L618 + O617 &lt; 0, L618 + O617, 0)</f>
        <v>0</v>
      </c>
      <c r="P618" s="1">
        <f>IF(O618 &lt; 0, 1 + P617, 0)</f>
        <v>0</v>
      </c>
      <c r="Q618" s="1">
        <f>IF(E618&lt;0,1,0)</f>
        <v>0</v>
      </c>
      <c r="R618" s="1">
        <f>IF(Q618=1,E618,0)</f>
        <v>0</v>
      </c>
      <c r="S618" s="1">
        <f>IF(E618&gt;0,1,0)</f>
        <v>0</v>
      </c>
      <c r="T618" s="1">
        <f>IF(S618=1,E618,0)</f>
        <v>0</v>
      </c>
      <c r="U618" s="1">
        <f>IF(R618&lt;-100000000/100,1,0)</f>
        <v>0</v>
      </c>
      <c r="V618" s="1">
        <f>IF(T618&gt;100000000/100,1,0)</f>
        <v>0</v>
      </c>
      <c r="W618" s="1">
        <f>IF(L618&lt;0,1,0)</f>
        <v>0</v>
      </c>
      <c r="X618" s="1">
        <f>IF(W618=1,L618,0)</f>
        <v>0</v>
      </c>
      <c r="Y618" s="1">
        <f>IF(L618&gt;0,1,0)</f>
        <v>0</v>
      </c>
      <c r="Z618" s="1">
        <f>IF(Y618=1,L618,0)</f>
        <v>0</v>
      </c>
      <c r="AA618" s="1">
        <f>IF(X618&lt;-100000000/100,1,0)</f>
        <v>0</v>
      </c>
      <c r="AB618" s="1">
        <f>IF(Z618&gt;100000000/100,1,0)</f>
        <v>0</v>
      </c>
    </row>
    <row r="619" spans="1:28" s="1" customFormat="1">
      <c r="A619" s="3">
        <v>45883</v>
      </c>
      <c r="B619" s="2" t="s">
        <v>16</v>
      </c>
      <c r="C619" s="1">
        <f>SUM(PL!E619:H619)</f>
        <v>0</v>
      </c>
      <c r="D619" s="1">
        <f>SUM(PL!I619:L619)</f>
        <v>0</v>
      </c>
      <c r="E619" s="1">
        <f>SUM(C619:D619)</f>
        <v>0</v>
      </c>
      <c r="F619" s="1">
        <f>IF(C619 + F618 &lt; 0, C619 + F618, 0)</f>
        <v>0</v>
      </c>
      <c r="G619" s="1">
        <f>IF(D619 + G618 &lt; 0, D619 + G618, 0)</f>
        <v>0</v>
      </c>
      <c r="H619" s="1">
        <f>IF(E619 + H618 &lt; 0, E619 + H618, 0)</f>
        <v>0</v>
      </c>
      <c r="I619" s="1">
        <f>IF(H619 &lt; 0, 1 + I618, 0)</f>
        <v>0</v>
      </c>
      <c r="J619" s="1">
        <f>C619-((ABS(SUM(PL!E619:H619)))*0.125)</f>
        <v>0</v>
      </c>
      <c r="K619" s="1">
        <f>D619-((ABS(SUM(PL!I619:L619)))*0.125)</f>
        <v>0</v>
      </c>
      <c r="L619" s="1">
        <f>J619 + K619</f>
        <v>0</v>
      </c>
      <c r="M619" s="1">
        <f>IF(J619 + M618 &lt; 0, J619 + M618, 0)</f>
        <v>0</v>
      </c>
      <c r="N619" s="1">
        <f>IF(K619 + N618 &lt; 0, K619 + N618, 0)</f>
        <v>0</v>
      </c>
      <c r="O619" s="1">
        <f>IF(L619 + O618 &lt; 0, L619 + O618, 0)</f>
        <v>0</v>
      </c>
      <c r="P619" s="1">
        <f>IF(O619 &lt; 0, 1 + P618, 0)</f>
        <v>0</v>
      </c>
      <c r="Q619" s="1">
        <f>IF(E619&lt;0,1,0)</f>
        <v>0</v>
      </c>
      <c r="R619" s="1">
        <f>IF(Q619=1,E619,0)</f>
        <v>0</v>
      </c>
      <c r="S619" s="1">
        <f>IF(E619&gt;0,1,0)</f>
        <v>0</v>
      </c>
      <c r="T619" s="1">
        <f>IF(S619=1,E619,0)</f>
        <v>0</v>
      </c>
      <c r="U619" s="1">
        <f>IF(R619&lt;-100000000/100,1,0)</f>
        <v>0</v>
      </c>
      <c r="V619" s="1">
        <f>IF(T619&gt;100000000/100,1,0)</f>
        <v>0</v>
      </c>
      <c r="W619" s="1">
        <f>IF(L619&lt;0,1,0)</f>
        <v>0</v>
      </c>
      <c r="X619" s="1">
        <f>IF(W619=1,L619,0)</f>
        <v>0</v>
      </c>
      <c r="Y619" s="1">
        <f>IF(L619&gt;0,1,0)</f>
        <v>0</v>
      </c>
      <c r="Z619" s="1">
        <f>IF(Y619=1,L619,0)</f>
        <v>0</v>
      </c>
      <c r="AA619" s="1">
        <f>IF(X619&lt;-100000000/100,1,0)</f>
        <v>0</v>
      </c>
      <c r="AB619" s="1">
        <f>IF(Z619&gt;100000000/100,1,0)</f>
        <v>0</v>
      </c>
    </row>
    <row r="620" spans="1:28" s="1" customFormat="1">
      <c r="A620" s="3">
        <v>45887</v>
      </c>
      <c r="B620" s="2" t="s">
        <v>12</v>
      </c>
      <c r="C620" s="1">
        <f>SUM(PL!E620:H620)</f>
        <v>0</v>
      </c>
      <c r="D620" s="1">
        <f>SUM(PL!I620:L620)</f>
        <v>0</v>
      </c>
      <c r="E620" s="1">
        <f>SUM(C620:D620)</f>
        <v>0</v>
      </c>
      <c r="F620" s="1">
        <f>IF(C620 + F619 &lt; 0, C620 + F619, 0)</f>
        <v>0</v>
      </c>
      <c r="G620" s="1">
        <f>IF(D620 + G619 &lt; 0, D620 + G619, 0)</f>
        <v>0</v>
      </c>
      <c r="H620" s="1">
        <f>IF(E620 + H619 &lt; 0, E620 + H619, 0)</f>
        <v>0</v>
      </c>
      <c r="I620" s="1">
        <f>IF(H620 &lt; 0, 1 + I619, 0)</f>
        <v>0</v>
      </c>
      <c r="J620" s="1">
        <f>C620-((ABS(SUM(PL!E620:H620)))*0.125)</f>
        <v>0</v>
      </c>
      <c r="K620" s="1">
        <f>D620-((ABS(SUM(PL!I620:L620)))*0.125)</f>
        <v>0</v>
      </c>
      <c r="L620" s="1">
        <f>J620 + K620</f>
        <v>0</v>
      </c>
      <c r="M620" s="1">
        <f>IF(J620 + M619 &lt; 0, J620 + M619, 0)</f>
        <v>0</v>
      </c>
      <c r="N620" s="1">
        <f>IF(K620 + N619 &lt; 0, K620 + N619, 0)</f>
        <v>0</v>
      </c>
      <c r="O620" s="1">
        <f>IF(L620 + O619 &lt; 0, L620 + O619, 0)</f>
        <v>0</v>
      </c>
      <c r="P620" s="1">
        <f>IF(O620 &lt; 0, 1 + P619, 0)</f>
        <v>0</v>
      </c>
      <c r="Q620" s="1">
        <f>IF(E620&lt;0,1,0)</f>
        <v>0</v>
      </c>
      <c r="R620" s="1">
        <f>IF(Q620=1,E620,0)</f>
        <v>0</v>
      </c>
      <c r="S620" s="1">
        <f>IF(E620&gt;0,1,0)</f>
        <v>0</v>
      </c>
      <c r="T620" s="1">
        <f>IF(S620=1,E620,0)</f>
        <v>0</v>
      </c>
      <c r="U620" s="1">
        <f>IF(R620&lt;-100000000/100,1,0)</f>
        <v>0</v>
      </c>
      <c r="V620" s="1">
        <f>IF(T620&gt;100000000/100,1,0)</f>
        <v>0</v>
      </c>
      <c r="W620" s="1">
        <f>IF(L620&lt;0,1,0)</f>
        <v>0</v>
      </c>
      <c r="X620" s="1">
        <f>IF(W620=1,L620,0)</f>
        <v>0</v>
      </c>
      <c r="Y620" s="1">
        <f>IF(L620&gt;0,1,0)</f>
        <v>0</v>
      </c>
      <c r="Z620" s="1">
        <f>IF(Y620=1,L620,0)</f>
        <v>0</v>
      </c>
      <c r="AA620" s="1">
        <f>IF(X620&lt;-100000000/100,1,0)</f>
        <v>0</v>
      </c>
      <c r="AB620" s="1">
        <f>IF(Z620&gt;100000000/100,1,0)</f>
        <v>0</v>
      </c>
    </row>
    <row r="621" spans="1:28" s="1" customFormat="1">
      <c r="A621" s="3">
        <v>45888</v>
      </c>
      <c r="B621" s="2" t="s">
        <v>13</v>
      </c>
      <c r="C621" s="1">
        <f>SUM(PL!E621:H621)</f>
        <v>0</v>
      </c>
      <c r="D621" s="1">
        <f>SUM(PL!I621:L621)</f>
        <v>0</v>
      </c>
      <c r="E621" s="1">
        <f>SUM(C621:D621)</f>
        <v>0</v>
      </c>
      <c r="F621" s="1">
        <f>IF(C621 + F620 &lt; 0, C621 + F620, 0)</f>
        <v>0</v>
      </c>
      <c r="G621" s="1">
        <f>IF(D621 + G620 &lt; 0, D621 + G620, 0)</f>
        <v>0</v>
      </c>
      <c r="H621" s="1">
        <f>IF(E621 + H620 &lt; 0, E621 + H620, 0)</f>
        <v>0</v>
      </c>
      <c r="I621" s="1">
        <f>IF(H621 &lt; 0, 1 + I620, 0)</f>
        <v>0</v>
      </c>
      <c r="J621" s="1">
        <f>C621-((ABS(SUM(PL!E621:H621)))*0.125)</f>
        <v>0</v>
      </c>
      <c r="K621" s="1">
        <f>D621-((ABS(SUM(PL!I621:L621)))*0.125)</f>
        <v>0</v>
      </c>
      <c r="L621" s="1">
        <f>J621 + K621</f>
        <v>0</v>
      </c>
      <c r="M621" s="1">
        <f>IF(J621 + M620 &lt; 0, J621 + M620, 0)</f>
        <v>0</v>
      </c>
      <c r="N621" s="1">
        <f>IF(K621 + N620 &lt; 0, K621 + N620, 0)</f>
        <v>0</v>
      </c>
      <c r="O621" s="1">
        <f>IF(L621 + O620 &lt; 0, L621 + O620, 0)</f>
        <v>0</v>
      </c>
      <c r="P621" s="1">
        <f>IF(O621 &lt; 0, 1 + P620, 0)</f>
        <v>0</v>
      </c>
      <c r="Q621" s="1">
        <f>IF(E621&lt;0,1,0)</f>
        <v>0</v>
      </c>
      <c r="R621" s="1">
        <f>IF(Q621=1,E621,0)</f>
        <v>0</v>
      </c>
      <c r="S621" s="1">
        <f>IF(E621&gt;0,1,0)</f>
        <v>0</v>
      </c>
      <c r="T621" s="1">
        <f>IF(S621=1,E621,0)</f>
        <v>0</v>
      </c>
      <c r="U621" s="1">
        <f>IF(R621&lt;-100000000/100,1,0)</f>
        <v>0</v>
      </c>
      <c r="V621" s="1">
        <f>IF(T621&gt;100000000/100,1,0)</f>
        <v>0</v>
      </c>
      <c r="W621" s="1">
        <f>IF(L621&lt;0,1,0)</f>
        <v>0</v>
      </c>
      <c r="X621" s="1">
        <f>IF(W621=1,L621,0)</f>
        <v>0</v>
      </c>
      <c r="Y621" s="1">
        <f>IF(L621&gt;0,1,0)</f>
        <v>0</v>
      </c>
      <c r="Z621" s="1">
        <f>IF(Y621=1,L621,0)</f>
        <v>0</v>
      </c>
      <c r="AA621" s="1">
        <f>IF(X621&lt;-100000000/100,1,0)</f>
        <v>0</v>
      </c>
      <c r="AB621" s="1">
        <f>IF(Z621&gt;100000000/100,1,0)</f>
        <v>0</v>
      </c>
    </row>
    <row r="622" spans="1:28" s="1" customFormat="1">
      <c r="A622" s="3">
        <v>45889</v>
      </c>
      <c r="B622" s="2" t="s">
        <v>14</v>
      </c>
      <c r="C622" s="1">
        <f>SUM(PL!E622:H622)</f>
        <v>0</v>
      </c>
      <c r="D622" s="1">
        <f>SUM(PL!I622:L622)</f>
        <v>0</v>
      </c>
      <c r="E622" s="1">
        <f>SUM(C622:D622)</f>
        <v>0</v>
      </c>
      <c r="F622" s="1">
        <f>IF(C622 + F621 &lt; 0, C622 + F621, 0)</f>
        <v>0</v>
      </c>
      <c r="G622" s="1">
        <f>IF(D622 + G621 &lt; 0, D622 + G621, 0)</f>
        <v>0</v>
      </c>
      <c r="H622" s="1">
        <f>IF(E622 + H621 &lt; 0, E622 + H621, 0)</f>
        <v>0</v>
      </c>
      <c r="I622" s="1">
        <f>IF(H622 &lt; 0, 1 + I621, 0)</f>
        <v>0</v>
      </c>
      <c r="J622" s="1">
        <f>C622-((ABS(SUM(PL!E622:H622)))*0.125)</f>
        <v>0</v>
      </c>
      <c r="K622" s="1">
        <f>D622-((ABS(SUM(PL!I622:L622)))*0.125)</f>
        <v>0</v>
      </c>
      <c r="L622" s="1">
        <f>J622 + K622</f>
        <v>0</v>
      </c>
      <c r="M622" s="1">
        <f>IF(J622 + M621 &lt; 0, J622 + M621, 0)</f>
        <v>0</v>
      </c>
      <c r="N622" s="1">
        <f>IF(K622 + N621 &lt; 0, K622 + N621, 0)</f>
        <v>0</v>
      </c>
      <c r="O622" s="1">
        <f>IF(L622 + O621 &lt; 0, L622 + O621, 0)</f>
        <v>0</v>
      </c>
      <c r="P622" s="1">
        <f>IF(O622 &lt; 0, 1 + P621, 0)</f>
        <v>0</v>
      </c>
      <c r="Q622" s="1">
        <f>IF(E622&lt;0,1,0)</f>
        <v>0</v>
      </c>
      <c r="R622" s="1">
        <f>IF(Q622=1,E622,0)</f>
        <v>0</v>
      </c>
      <c r="S622" s="1">
        <f>IF(E622&gt;0,1,0)</f>
        <v>0</v>
      </c>
      <c r="T622" s="1">
        <f>IF(S622=1,E622,0)</f>
        <v>0</v>
      </c>
      <c r="U622" s="1">
        <f>IF(R622&lt;-100000000/100,1,0)</f>
        <v>0</v>
      </c>
      <c r="V622" s="1">
        <f>IF(T622&gt;100000000/100,1,0)</f>
        <v>0</v>
      </c>
      <c r="W622" s="1">
        <f>IF(L622&lt;0,1,0)</f>
        <v>0</v>
      </c>
      <c r="X622" s="1">
        <f>IF(W622=1,L622,0)</f>
        <v>0</v>
      </c>
      <c r="Y622" s="1">
        <f>IF(L622&gt;0,1,0)</f>
        <v>0</v>
      </c>
      <c r="Z622" s="1">
        <f>IF(Y622=1,L622,0)</f>
        <v>0</v>
      </c>
      <c r="AA622" s="1">
        <f>IF(X622&lt;-100000000/100,1,0)</f>
        <v>0</v>
      </c>
      <c r="AB622" s="1">
        <f>IF(Z622&gt;100000000/100,1,0)</f>
        <v>0</v>
      </c>
    </row>
    <row r="623" spans="1:28" s="1" customFormat="1">
      <c r="A623" s="3">
        <v>45890</v>
      </c>
      <c r="B623" s="2" t="s">
        <v>16</v>
      </c>
      <c r="C623" s="1">
        <f>SUM(PL!E623:H623)</f>
        <v>0</v>
      </c>
      <c r="D623" s="1">
        <f>SUM(PL!I623:L623)</f>
        <v>0</v>
      </c>
      <c r="E623" s="1">
        <f>SUM(C623:D623)</f>
        <v>0</v>
      </c>
      <c r="F623" s="1">
        <f>IF(C623 + F622 &lt; 0, C623 + F622, 0)</f>
        <v>0</v>
      </c>
      <c r="G623" s="1">
        <f>IF(D623 + G622 &lt; 0, D623 + G622, 0)</f>
        <v>0</v>
      </c>
      <c r="H623" s="1">
        <f>IF(E623 + H622 &lt; 0, E623 + H622, 0)</f>
        <v>0</v>
      </c>
      <c r="I623" s="1">
        <f>IF(H623 &lt; 0, 1 + I622, 0)</f>
        <v>0</v>
      </c>
      <c r="J623" s="1">
        <f>C623-((ABS(SUM(PL!E623:H623)))*0.125)</f>
        <v>0</v>
      </c>
      <c r="K623" s="1">
        <f>D623-((ABS(SUM(PL!I623:L623)))*0.125)</f>
        <v>0</v>
      </c>
      <c r="L623" s="1">
        <f>J623 + K623</f>
        <v>0</v>
      </c>
      <c r="M623" s="1">
        <f>IF(J623 + M622 &lt; 0, J623 + M622, 0)</f>
        <v>0</v>
      </c>
      <c r="N623" s="1">
        <f>IF(K623 + N622 &lt; 0, K623 + N622, 0)</f>
        <v>0</v>
      </c>
      <c r="O623" s="1">
        <f>IF(L623 + O622 &lt; 0, L623 + O622, 0)</f>
        <v>0</v>
      </c>
      <c r="P623" s="1">
        <f>IF(O623 &lt; 0, 1 + P622, 0)</f>
        <v>0</v>
      </c>
      <c r="Q623" s="1">
        <f>IF(E623&lt;0,1,0)</f>
        <v>0</v>
      </c>
      <c r="R623" s="1">
        <f>IF(Q623=1,E623,0)</f>
        <v>0</v>
      </c>
      <c r="S623" s="1">
        <f>IF(E623&gt;0,1,0)</f>
        <v>0</v>
      </c>
      <c r="T623" s="1">
        <f>IF(S623=1,E623,0)</f>
        <v>0</v>
      </c>
      <c r="U623" s="1">
        <f>IF(R623&lt;-100000000/100,1,0)</f>
        <v>0</v>
      </c>
      <c r="V623" s="1">
        <f>IF(T623&gt;100000000/100,1,0)</f>
        <v>0</v>
      </c>
      <c r="W623" s="1">
        <f>IF(L623&lt;0,1,0)</f>
        <v>0</v>
      </c>
      <c r="X623" s="1">
        <f>IF(W623=1,L623,0)</f>
        <v>0</v>
      </c>
      <c r="Y623" s="1">
        <f>IF(L623&gt;0,1,0)</f>
        <v>0</v>
      </c>
      <c r="Z623" s="1">
        <f>IF(Y623=1,L623,0)</f>
        <v>0</v>
      </c>
      <c r="AA623" s="1">
        <f>IF(X623&lt;-100000000/100,1,0)</f>
        <v>0</v>
      </c>
      <c r="AB623" s="1">
        <f>IF(Z623&gt;100000000/100,1,0)</f>
        <v>0</v>
      </c>
    </row>
    <row r="624" spans="1:28" s="1" customFormat="1">
      <c r="A624" s="3">
        <v>45891</v>
      </c>
      <c r="B624" s="2" t="s">
        <v>15</v>
      </c>
      <c r="C624" s="1">
        <f>SUM(PL!E624:H624)</f>
        <v>0</v>
      </c>
      <c r="D624" s="1">
        <f>SUM(PL!I624:L624)</f>
        <v>0</v>
      </c>
      <c r="E624" s="1">
        <f>SUM(C624:D624)</f>
        <v>0</v>
      </c>
      <c r="F624" s="1">
        <f>IF(C624 + F623 &lt; 0, C624 + F623, 0)</f>
        <v>0</v>
      </c>
      <c r="G624" s="1">
        <f>IF(D624 + G623 &lt; 0, D624 + G623, 0)</f>
        <v>0</v>
      </c>
      <c r="H624" s="1">
        <f>IF(E624 + H623 &lt; 0, E624 + H623, 0)</f>
        <v>0</v>
      </c>
      <c r="I624" s="1">
        <f>IF(H624 &lt; 0, 1 + I623, 0)</f>
        <v>0</v>
      </c>
      <c r="J624" s="1">
        <f>C624-((ABS(SUM(PL!E624:H624)))*0.125)</f>
        <v>0</v>
      </c>
      <c r="K624" s="1">
        <f>D624-((ABS(SUM(PL!I624:L624)))*0.125)</f>
        <v>0</v>
      </c>
      <c r="L624" s="1">
        <f>J624 + K624</f>
        <v>0</v>
      </c>
      <c r="M624" s="1">
        <f>IF(J624 + M623 &lt; 0, J624 + M623, 0)</f>
        <v>0</v>
      </c>
      <c r="N624" s="1">
        <f>IF(K624 + N623 &lt; 0, K624 + N623, 0)</f>
        <v>0</v>
      </c>
      <c r="O624" s="1">
        <f>IF(L624 + O623 &lt; 0, L624 + O623, 0)</f>
        <v>0</v>
      </c>
      <c r="P624" s="1">
        <f>IF(O624 &lt; 0, 1 + P623, 0)</f>
        <v>0</v>
      </c>
      <c r="Q624" s="1">
        <f>IF(E624&lt;0,1,0)</f>
        <v>0</v>
      </c>
      <c r="R624" s="1">
        <f>IF(Q624=1,E624,0)</f>
        <v>0</v>
      </c>
      <c r="S624" s="1">
        <f>IF(E624&gt;0,1,0)</f>
        <v>0</v>
      </c>
      <c r="T624" s="1">
        <f>IF(S624=1,E624,0)</f>
        <v>0</v>
      </c>
      <c r="U624" s="1">
        <f>IF(R624&lt;-100000000/100,1,0)</f>
        <v>0</v>
      </c>
      <c r="V624" s="1">
        <f>IF(T624&gt;100000000/100,1,0)</f>
        <v>0</v>
      </c>
      <c r="W624" s="1">
        <f>IF(L624&lt;0,1,0)</f>
        <v>0</v>
      </c>
      <c r="X624" s="1">
        <f>IF(W624=1,L624,0)</f>
        <v>0</v>
      </c>
      <c r="Y624" s="1">
        <f>IF(L624&gt;0,1,0)</f>
        <v>0</v>
      </c>
      <c r="Z624" s="1">
        <f>IF(Y624=1,L624,0)</f>
        <v>0</v>
      </c>
      <c r="AA624" s="1">
        <f>IF(X624&lt;-100000000/100,1,0)</f>
        <v>0</v>
      </c>
      <c r="AB624" s="1">
        <f>IF(Z624&gt;100000000/100,1,0)</f>
        <v>0</v>
      </c>
    </row>
    <row r="625" spans="1:28" s="1" customFormat="1">
      <c r="A625" s="3">
        <v>45894</v>
      </c>
      <c r="B625" s="2" t="s">
        <v>12</v>
      </c>
      <c r="C625" s="1">
        <f>SUM(PL!E625:H625)</f>
        <v>0</v>
      </c>
      <c r="D625" s="1">
        <f>SUM(PL!I625:L625)</f>
        <v>0</v>
      </c>
      <c r="E625" s="1">
        <f>SUM(C625:D625)</f>
        <v>0</v>
      </c>
      <c r="F625" s="1">
        <f>IF(C625 + F624 &lt; 0, C625 + F624, 0)</f>
        <v>0</v>
      </c>
      <c r="G625" s="1">
        <f>IF(D625 + G624 &lt; 0, D625 + G624, 0)</f>
        <v>0</v>
      </c>
      <c r="H625" s="1">
        <f>IF(E625 + H624 &lt; 0, E625 + H624, 0)</f>
        <v>0</v>
      </c>
      <c r="I625" s="1">
        <f>IF(H625 &lt; 0, 1 + I624, 0)</f>
        <v>0</v>
      </c>
      <c r="J625" s="1">
        <f>C625-((ABS(SUM(PL!E625:H625)))*0.125)</f>
        <v>0</v>
      </c>
      <c r="K625" s="1">
        <f>D625-((ABS(SUM(PL!I625:L625)))*0.125)</f>
        <v>0</v>
      </c>
      <c r="L625" s="1">
        <f>J625 + K625</f>
        <v>0</v>
      </c>
      <c r="M625" s="1">
        <f>IF(J625 + M624 &lt; 0, J625 + M624, 0)</f>
        <v>0</v>
      </c>
      <c r="N625" s="1">
        <f>IF(K625 + N624 &lt; 0, K625 + N624, 0)</f>
        <v>0</v>
      </c>
      <c r="O625" s="1">
        <f>IF(L625 + O624 &lt; 0, L625 + O624, 0)</f>
        <v>0</v>
      </c>
      <c r="P625" s="1">
        <f>IF(O625 &lt; 0, 1 + P624, 0)</f>
        <v>0</v>
      </c>
      <c r="Q625" s="1">
        <f>IF(E625&lt;0,1,0)</f>
        <v>0</v>
      </c>
      <c r="R625" s="1">
        <f>IF(Q625=1,E625,0)</f>
        <v>0</v>
      </c>
      <c r="S625" s="1">
        <f>IF(E625&gt;0,1,0)</f>
        <v>0</v>
      </c>
      <c r="T625" s="1">
        <f>IF(S625=1,E625,0)</f>
        <v>0</v>
      </c>
      <c r="U625" s="1">
        <f>IF(R625&lt;-100000000/100,1,0)</f>
        <v>0</v>
      </c>
      <c r="V625" s="1">
        <f>IF(T625&gt;100000000/100,1,0)</f>
        <v>0</v>
      </c>
      <c r="W625" s="1">
        <f>IF(L625&lt;0,1,0)</f>
        <v>0</v>
      </c>
      <c r="X625" s="1">
        <f>IF(W625=1,L625,0)</f>
        <v>0</v>
      </c>
      <c r="Y625" s="1">
        <f>IF(L625&gt;0,1,0)</f>
        <v>0</v>
      </c>
      <c r="Z625" s="1">
        <f>IF(Y625=1,L625,0)</f>
        <v>0</v>
      </c>
      <c r="AA625" s="1">
        <f>IF(X625&lt;-100000000/100,1,0)</f>
        <v>0</v>
      </c>
      <c r="AB625" s="1">
        <f>IF(Z625&gt;100000000/100,1,0)</f>
        <v>0</v>
      </c>
    </row>
    <row r="626" spans="1:28" s="1" customFormat="1">
      <c r="A626" s="3">
        <v>45895</v>
      </c>
      <c r="B626" s="2" t="s">
        <v>13</v>
      </c>
      <c r="C626" s="1">
        <f>SUM(PL!E626:H626)</f>
        <v>0</v>
      </c>
      <c r="D626" s="1">
        <f>SUM(PL!I626:L626)</f>
        <v>0</v>
      </c>
      <c r="E626" s="1">
        <f>SUM(C626:D626)</f>
        <v>0</v>
      </c>
      <c r="F626" s="1">
        <f>IF(C626 + F625 &lt; 0, C626 + F625, 0)</f>
        <v>0</v>
      </c>
      <c r="G626" s="1">
        <f>IF(D626 + G625 &lt; 0, D626 + G625, 0)</f>
        <v>0</v>
      </c>
      <c r="H626" s="1">
        <f>IF(E626 + H625 &lt; 0, E626 + H625, 0)</f>
        <v>0</v>
      </c>
      <c r="I626" s="1">
        <f>IF(H626 &lt; 0, 1 + I625, 0)</f>
        <v>0</v>
      </c>
      <c r="J626" s="1">
        <f>C626-((ABS(SUM(PL!E626:H626)))*0.125)</f>
        <v>0</v>
      </c>
      <c r="K626" s="1">
        <f>D626-((ABS(SUM(PL!I626:L626)))*0.125)</f>
        <v>0</v>
      </c>
      <c r="L626" s="1">
        <f>J626 + K626</f>
        <v>0</v>
      </c>
      <c r="M626" s="1">
        <f>IF(J626 + M625 &lt; 0, J626 + M625, 0)</f>
        <v>0</v>
      </c>
      <c r="N626" s="1">
        <f>IF(K626 + N625 &lt; 0, K626 + N625, 0)</f>
        <v>0</v>
      </c>
      <c r="O626" s="1">
        <f>IF(L626 + O625 &lt; 0, L626 + O625, 0)</f>
        <v>0</v>
      </c>
      <c r="P626" s="1">
        <f>IF(O626 &lt; 0, 1 + P625, 0)</f>
        <v>0</v>
      </c>
      <c r="Q626" s="1">
        <f>IF(E626&lt;0,1,0)</f>
        <v>0</v>
      </c>
      <c r="R626" s="1">
        <f>IF(Q626=1,E626,0)</f>
        <v>0</v>
      </c>
      <c r="S626" s="1">
        <f>IF(E626&gt;0,1,0)</f>
        <v>0</v>
      </c>
      <c r="T626" s="1">
        <f>IF(S626=1,E626,0)</f>
        <v>0</v>
      </c>
      <c r="U626" s="1">
        <f>IF(R626&lt;-100000000/100,1,0)</f>
        <v>0</v>
      </c>
      <c r="V626" s="1">
        <f>IF(T626&gt;100000000/100,1,0)</f>
        <v>0</v>
      </c>
      <c r="W626" s="1">
        <f>IF(L626&lt;0,1,0)</f>
        <v>0</v>
      </c>
      <c r="X626" s="1">
        <f>IF(W626=1,L626,0)</f>
        <v>0</v>
      </c>
      <c r="Y626" s="1">
        <f>IF(L626&gt;0,1,0)</f>
        <v>0</v>
      </c>
      <c r="Z626" s="1">
        <f>IF(Y626=1,L626,0)</f>
        <v>0</v>
      </c>
      <c r="AA626" s="1">
        <f>IF(X626&lt;-100000000/100,1,0)</f>
        <v>0</v>
      </c>
      <c r="AB626" s="1">
        <f>IF(Z626&gt;100000000/100,1,0)</f>
        <v>0</v>
      </c>
    </row>
    <row r="627" spans="1:28" s="1" customFormat="1">
      <c r="A627" s="3">
        <v>45896</v>
      </c>
      <c r="B627" s="2" t="s">
        <v>14</v>
      </c>
      <c r="C627" s="1">
        <f>SUM(PL!E627:H627)</f>
        <v>0</v>
      </c>
      <c r="D627" s="1">
        <f>SUM(PL!I627:L627)</f>
        <v>0</v>
      </c>
      <c r="E627" s="1">
        <f>SUM(C627:D627)</f>
        <v>0</v>
      </c>
      <c r="F627" s="1">
        <f>IF(C627 + F626 &lt; 0, C627 + F626, 0)</f>
        <v>0</v>
      </c>
      <c r="G627" s="1">
        <f>IF(D627 + G626 &lt; 0, D627 + G626, 0)</f>
        <v>0</v>
      </c>
      <c r="H627" s="1">
        <f>IF(E627 + H626 &lt; 0, E627 + H626, 0)</f>
        <v>0</v>
      </c>
      <c r="I627" s="1">
        <f>IF(H627 &lt; 0, 1 + I626, 0)</f>
        <v>0</v>
      </c>
      <c r="J627" s="1">
        <f>C627-((ABS(SUM(PL!E627:H627)))*0.125)</f>
        <v>0</v>
      </c>
      <c r="K627" s="1">
        <f>D627-((ABS(SUM(PL!I627:L627)))*0.125)</f>
        <v>0</v>
      </c>
      <c r="L627" s="1">
        <f>J627 + K627</f>
        <v>0</v>
      </c>
      <c r="M627" s="1">
        <f>IF(J627 + M626 &lt; 0, J627 + M626, 0)</f>
        <v>0</v>
      </c>
      <c r="N627" s="1">
        <f>IF(K627 + N626 &lt; 0, K627 + N626, 0)</f>
        <v>0</v>
      </c>
      <c r="O627" s="1">
        <f>IF(L627 + O626 &lt; 0, L627 + O626, 0)</f>
        <v>0</v>
      </c>
      <c r="P627" s="1">
        <f>IF(O627 &lt; 0, 1 + P626, 0)</f>
        <v>0</v>
      </c>
      <c r="Q627" s="1">
        <f>IF(E627&lt;0,1,0)</f>
        <v>0</v>
      </c>
      <c r="R627" s="1">
        <f>IF(Q627=1,E627,0)</f>
        <v>0</v>
      </c>
      <c r="S627" s="1">
        <f>IF(E627&gt;0,1,0)</f>
        <v>0</v>
      </c>
      <c r="T627" s="1">
        <f>IF(S627=1,E627,0)</f>
        <v>0</v>
      </c>
      <c r="U627" s="1">
        <f>IF(R627&lt;-100000000/100,1,0)</f>
        <v>0</v>
      </c>
      <c r="V627" s="1">
        <f>IF(T627&gt;100000000/100,1,0)</f>
        <v>0</v>
      </c>
      <c r="W627" s="1">
        <f>IF(L627&lt;0,1,0)</f>
        <v>0</v>
      </c>
      <c r="X627" s="1">
        <f>IF(W627=1,L627,0)</f>
        <v>0</v>
      </c>
      <c r="Y627" s="1">
        <f>IF(L627&gt;0,1,0)</f>
        <v>0</v>
      </c>
      <c r="Z627" s="1">
        <f>IF(Y627=1,L627,0)</f>
        <v>0</v>
      </c>
      <c r="AA627" s="1">
        <f>IF(X627&lt;-100000000/100,1,0)</f>
        <v>0</v>
      </c>
      <c r="AB627" s="1">
        <f>IF(Z627&gt;100000000/100,1,0)</f>
        <v>0</v>
      </c>
    </row>
    <row r="628" spans="1:28" s="1" customFormat="1">
      <c r="A628" s="3">
        <v>45897</v>
      </c>
      <c r="B628" s="2" t="s">
        <v>16</v>
      </c>
      <c r="C628" s="1">
        <f>SUM(PL!E628:H628)</f>
        <v>0</v>
      </c>
      <c r="D628" s="1">
        <f>SUM(PL!I628:L628)</f>
        <v>0</v>
      </c>
      <c r="E628" s="1">
        <f>SUM(C628:D628)</f>
        <v>0</v>
      </c>
      <c r="F628" s="1">
        <f>IF(C628 + F627 &lt; 0, C628 + F627, 0)</f>
        <v>0</v>
      </c>
      <c r="G628" s="1">
        <f>IF(D628 + G627 &lt; 0, D628 + G627, 0)</f>
        <v>0</v>
      </c>
      <c r="H628" s="1">
        <f>IF(E628 + H627 &lt; 0, E628 + H627, 0)</f>
        <v>0</v>
      </c>
      <c r="I628" s="1">
        <f>IF(H628 &lt; 0, 1 + I627, 0)</f>
        <v>0</v>
      </c>
      <c r="J628" s="1">
        <f>C628-((ABS(SUM(PL!E628:H628)))*0.125)</f>
        <v>0</v>
      </c>
      <c r="K628" s="1">
        <f>D628-((ABS(SUM(PL!I628:L628)))*0.125)</f>
        <v>0</v>
      </c>
      <c r="L628" s="1">
        <f>J628 + K628</f>
        <v>0</v>
      </c>
      <c r="M628" s="1">
        <f>IF(J628 + M627 &lt; 0, J628 + M627, 0)</f>
        <v>0</v>
      </c>
      <c r="N628" s="1">
        <f>IF(K628 + N627 &lt; 0, K628 + N627, 0)</f>
        <v>0</v>
      </c>
      <c r="O628" s="1">
        <f>IF(L628 + O627 &lt; 0, L628 + O627, 0)</f>
        <v>0</v>
      </c>
      <c r="P628" s="1">
        <f>IF(O628 &lt; 0, 1 + P627, 0)</f>
        <v>0</v>
      </c>
      <c r="Q628" s="1">
        <f>IF(E628&lt;0,1,0)</f>
        <v>0</v>
      </c>
      <c r="R628" s="1">
        <f>IF(Q628=1,E628,0)</f>
        <v>0</v>
      </c>
      <c r="S628" s="1">
        <f>IF(E628&gt;0,1,0)</f>
        <v>0</v>
      </c>
      <c r="T628" s="1">
        <f>IF(S628=1,E628,0)</f>
        <v>0</v>
      </c>
      <c r="U628" s="1">
        <f>IF(R628&lt;-100000000/100,1,0)</f>
        <v>0</v>
      </c>
      <c r="V628" s="1">
        <f>IF(T628&gt;100000000/100,1,0)</f>
        <v>0</v>
      </c>
      <c r="W628" s="1">
        <f>IF(L628&lt;0,1,0)</f>
        <v>0</v>
      </c>
      <c r="X628" s="1">
        <f>IF(W628=1,L628,0)</f>
        <v>0</v>
      </c>
      <c r="Y628" s="1">
        <f>IF(L628&gt;0,1,0)</f>
        <v>0</v>
      </c>
      <c r="Z628" s="1">
        <f>IF(Y628=1,L628,0)</f>
        <v>0</v>
      </c>
      <c r="AA628" s="1">
        <f>IF(X628&lt;-100000000/100,1,0)</f>
        <v>0</v>
      </c>
      <c r="AB628" s="1">
        <f>IF(Z628&gt;100000000/100,1,0)</f>
        <v>0</v>
      </c>
    </row>
    <row r="629" spans="1:28" s="1" customFormat="1">
      <c r="A629" s="3">
        <v>45898</v>
      </c>
      <c r="B629" s="2" t="s">
        <v>15</v>
      </c>
      <c r="C629" s="1">
        <f>SUM(PL!E629:H629)</f>
        <v>0</v>
      </c>
      <c r="D629" s="1">
        <f>SUM(PL!I629:L629)</f>
        <v>0</v>
      </c>
      <c r="E629" s="1">
        <f>SUM(C629:D629)</f>
        <v>0</v>
      </c>
      <c r="F629" s="1">
        <f>IF(C629 + F628 &lt; 0, C629 + F628, 0)</f>
        <v>0</v>
      </c>
      <c r="G629" s="1">
        <f>IF(D629 + G628 &lt; 0, D629 + G628, 0)</f>
        <v>0</v>
      </c>
      <c r="H629" s="1">
        <f>IF(E629 + H628 &lt; 0, E629 + H628, 0)</f>
        <v>0</v>
      </c>
      <c r="I629" s="1">
        <f>IF(H629 &lt; 0, 1 + I628, 0)</f>
        <v>0</v>
      </c>
      <c r="J629" s="1">
        <f>C629-((ABS(SUM(PL!E629:H629)))*0.125)</f>
        <v>0</v>
      </c>
      <c r="K629" s="1">
        <f>D629-((ABS(SUM(PL!I629:L629)))*0.125)</f>
        <v>0</v>
      </c>
      <c r="L629" s="1">
        <f>J629 + K629</f>
        <v>0</v>
      </c>
      <c r="M629" s="1">
        <f>IF(J629 + M628 &lt; 0, J629 + M628, 0)</f>
        <v>0</v>
      </c>
      <c r="N629" s="1">
        <f>IF(K629 + N628 &lt; 0, K629 + N628, 0)</f>
        <v>0</v>
      </c>
      <c r="O629" s="1">
        <f>IF(L629 + O628 &lt; 0, L629 + O628, 0)</f>
        <v>0</v>
      </c>
      <c r="P629" s="1">
        <f>IF(O629 &lt; 0, 1 + P628, 0)</f>
        <v>0</v>
      </c>
      <c r="Q629" s="1">
        <f>IF(E629&lt;0,1,0)</f>
        <v>0</v>
      </c>
      <c r="R629" s="1">
        <f>IF(Q629=1,E629,0)</f>
        <v>0</v>
      </c>
      <c r="S629" s="1">
        <f>IF(E629&gt;0,1,0)</f>
        <v>0</v>
      </c>
      <c r="T629" s="1">
        <f>IF(S629=1,E629,0)</f>
        <v>0</v>
      </c>
      <c r="U629" s="1">
        <f>IF(R629&lt;-100000000/100,1,0)</f>
        <v>0</v>
      </c>
      <c r="V629" s="1">
        <f>IF(T629&gt;100000000/100,1,0)</f>
        <v>0</v>
      </c>
      <c r="W629" s="1">
        <f>IF(L629&lt;0,1,0)</f>
        <v>0</v>
      </c>
      <c r="X629" s="1">
        <f>IF(W629=1,L629,0)</f>
        <v>0</v>
      </c>
      <c r="Y629" s="1">
        <f>IF(L629&gt;0,1,0)</f>
        <v>0</v>
      </c>
      <c r="Z629" s="1">
        <f>IF(Y629=1,L629,0)</f>
        <v>0</v>
      </c>
      <c r="AA629" s="1">
        <f>IF(X629&lt;-100000000/100,1,0)</f>
        <v>0</v>
      </c>
      <c r="AB629" s="1">
        <f>IF(Z629&gt;100000000/100,1,0)</f>
        <v>0</v>
      </c>
    </row>
    <row r="630" spans="1:28" s="1" customFormat="1">
      <c r="A630" s="3">
        <v>45901</v>
      </c>
      <c r="B630" s="2" t="s">
        <v>12</v>
      </c>
      <c r="C630" s="1">
        <f>SUM(PL!E630:H630)</f>
        <v>0</v>
      </c>
      <c r="D630" s="1">
        <f>SUM(PL!I630:L630)</f>
        <v>0</v>
      </c>
      <c r="E630" s="1">
        <f>SUM(C630:D630)</f>
        <v>0</v>
      </c>
      <c r="F630" s="1">
        <f>IF(C630 + F629 &lt; 0, C630 + F629, 0)</f>
        <v>0</v>
      </c>
      <c r="G630" s="1">
        <f>IF(D630 + G629 &lt; 0, D630 + G629, 0)</f>
        <v>0</v>
      </c>
      <c r="H630" s="1">
        <f>IF(E630 + H629 &lt; 0, E630 + H629, 0)</f>
        <v>0</v>
      </c>
      <c r="I630" s="1">
        <f>IF(H630 &lt; 0, 1 + I629, 0)</f>
        <v>0</v>
      </c>
      <c r="J630" s="1">
        <f>C630-((ABS(SUM(PL!E630:H630)))*0.125)</f>
        <v>0</v>
      </c>
      <c r="K630" s="1">
        <f>D630-((ABS(SUM(PL!I630:L630)))*0.125)</f>
        <v>0</v>
      </c>
      <c r="L630" s="1">
        <f>J630 + K630</f>
        <v>0</v>
      </c>
      <c r="M630" s="1">
        <f>IF(J630 + M629 &lt; 0, J630 + M629, 0)</f>
        <v>0</v>
      </c>
      <c r="N630" s="1">
        <f>IF(K630 + N629 &lt; 0, K630 + N629, 0)</f>
        <v>0</v>
      </c>
      <c r="O630" s="1">
        <f>IF(L630 + O629 &lt; 0, L630 + O629, 0)</f>
        <v>0</v>
      </c>
      <c r="P630" s="1">
        <f>IF(O630 &lt; 0, 1 + P629, 0)</f>
        <v>0</v>
      </c>
      <c r="Q630" s="1">
        <f>IF(E630&lt;0,1,0)</f>
        <v>0</v>
      </c>
      <c r="R630" s="1">
        <f>IF(Q630=1,E630,0)</f>
        <v>0</v>
      </c>
      <c r="S630" s="1">
        <f>IF(E630&gt;0,1,0)</f>
        <v>0</v>
      </c>
      <c r="T630" s="1">
        <f>IF(S630=1,E630,0)</f>
        <v>0</v>
      </c>
      <c r="U630" s="1">
        <f>IF(R630&lt;-100000000/100,1,0)</f>
        <v>0</v>
      </c>
      <c r="V630" s="1">
        <f>IF(T630&gt;100000000/100,1,0)</f>
        <v>0</v>
      </c>
      <c r="W630" s="1">
        <f>IF(L630&lt;0,1,0)</f>
        <v>0</v>
      </c>
      <c r="X630" s="1">
        <f>IF(W630=1,L630,0)</f>
        <v>0</v>
      </c>
      <c r="Y630" s="1">
        <f>IF(L630&gt;0,1,0)</f>
        <v>0</v>
      </c>
      <c r="Z630" s="1">
        <f>IF(Y630=1,L630,0)</f>
        <v>0</v>
      </c>
      <c r="AA630" s="1">
        <f>IF(X630&lt;-100000000/100,1,0)</f>
        <v>0</v>
      </c>
      <c r="AB630" s="1">
        <f>IF(Z630&gt;100000000/100,1,0)</f>
        <v>0</v>
      </c>
    </row>
    <row r="631" spans="1:28" s="1" customFormat="1">
      <c r="A631" s="3">
        <v>45902</v>
      </c>
      <c r="B631" s="2" t="s">
        <v>13</v>
      </c>
      <c r="C631" s="1">
        <f>SUM(PL!E631:H631)</f>
        <v>0</v>
      </c>
      <c r="D631" s="1">
        <f>SUM(PL!I631:L631)</f>
        <v>0</v>
      </c>
      <c r="E631" s="1">
        <f>SUM(C631:D631)</f>
        <v>0</v>
      </c>
      <c r="F631" s="1">
        <f>IF(C631 + F630 &lt; 0, C631 + F630, 0)</f>
        <v>0</v>
      </c>
      <c r="G631" s="1">
        <f>IF(D631 + G630 &lt; 0, D631 + G630, 0)</f>
        <v>0</v>
      </c>
      <c r="H631" s="1">
        <f>IF(E631 + H630 &lt; 0, E631 + H630, 0)</f>
        <v>0</v>
      </c>
      <c r="I631" s="1">
        <f>IF(H631 &lt; 0, 1 + I630, 0)</f>
        <v>0</v>
      </c>
      <c r="J631" s="1">
        <f>C631-((ABS(SUM(PL!E631:H631)))*0.125)</f>
        <v>0</v>
      </c>
      <c r="K631" s="1">
        <f>D631-((ABS(SUM(PL!I631:L631)))*0.125)</f>
        <v>0</v>
      </c>
      <c r="L631" s="1">
        <f>J631 + K631</f>
        <v>0</v>
      </c>
      <c r="M631" s="1">
        <f>IF(J631 + M630 &lt; 0, J631 + M630, 0)</f>
        <v>0</v>
      </c>
      <c r="N631" s="1">
        <f>IF(K631 + N630 &lt; 0, K631 + N630, 0)</f>
        <v>0</v>
      </c>
      <c r="O631" s="1">
        <f>IF(L631 + O630 &lt; 0, L631 + O630, 0)</f>
        <v>0</v>
      </c>
      <c r="P631" s="1">
        <f>IF(O631 &lt; 0, 1 + P630, 0)</f>
        <v>0</v>
      </c>
      <c r="Q631" s="1">
        <f>IF(E631&lt;0,1,0)</f>
        <v>0</v>
      </c>
      <c r="R631" s="1">
        <f>IF(Q631=1,E631,0)</f>
        <v>0</v>
      </c>
      <c r="S631" s="1">
        <f>IF(E631&gt;0,1,0)</f>
        <v>0</v>
      </c>
      <c r="T631" s="1">
        <f>IF(S631=1,E631,0)</f>
        <v>0</v>
      </c>
      <c r="U631" s="1">
        <f>IF(R631&lt;-100000000/100,1,0)</f>
        <v>0</v>
      </c>
      <c r="V631" s="1">
        <f>IF(T631&gt;100000000/100,1,0)</f>
        <v>0</v>
      </c>
      <c r="W631" s="1">
        <f>IF(L631&lt;0,1,0)</f>
        <v>0</v>
      </c>
      <c r="X631" s="1">
        <f>IF(W631=1,L631,0)</f>
        <v>0</v>
      </c>
      <c r="Y631" s="1">
        <f>IF(L631&gt;0,1,0)</f>
        <v>0</v>
      </c>
      <c r="Z631" s="1">
        <f>IF(Y631=1,L631,0)</f>
        <v>0</v>
      </c>
      <c r="AA631" s="1">
        <f>IF(X631&lt;-100000000/100,1,0)</f>
        <v>0</v>
      </c>
      <c r="AB631" s="1">
        <f>IF(Z631&gt;100000000/100,1,0)</f>
        <v>0</v>
      </c>
    </row>
    <row r="632" spans="1:28" s="1" customFormat="1">
      <c r="A632" s="3">
        <v>45903</v>
      </c>
      <c r="B632" s="2" t="s">
        <v>14</v>
      </c>
      <c r="C632" s="1">
        <f>SUM(PL!E632:H632)</f>
        <v>0</v>
      </c>
      <c r="D632" s="1">
        <f>SUM(PL!I632:L632)</f>
        <v>0</v>
      </c>
      <c r="E632" s="1">
        <f>SUM(C632:D632)</f>
        <v>0</v>
      </c>
      <c r="F632" s="1">
        <f>IF(C632 + F631 &lt; 0, C632 + F631, 0)</f>
        <v>0</v>
      </c>
      <c r="G632" s="1">
        <f>IF(D632 + G631 &lt; 0, D632 + G631, 0)</f>
        <v>0</v>
      </c>
      <c r="H632" s="1">
        <f>IF(E632 + H631 &lt; 0, E632 + H631, 0)</f>
        <v>0</v>
      </c>
      <c r="I632" s="1">
        <f>IF(H632 &lt; 0, 1 + I631, 0)</f>
        <v>0</v>
      </c>
      <c r="J632" s="1">
        <f>C632-((ABS(SUM(PL!E632:H632)))*0.125)</f>
        <v>0</v>
      </c>
      <c r="K632" s="1">
        <f>D632-((ABS(SUM(PL!I632:L632)))*0.125)</f>
        <v>0</v>
      </c>
      <c r="L632" s="1">
        <f>J632 + K632</f>
        <v>0</v>
      </c>
      <c r="M632" s="1">
        <f>IF(J632 + M631 &lt; 0, J632 + M631, 0)</f>
        <v>0</v>
      </c>
      <c r="N632" s="1">
        <f>IF(K632 + N631 &lt; 0, K632 + N631, 0)</f>
        <v>0</v>
      </c>
      <c r="O632" s="1">
        <f>IF(L632 + O631 &lt; 0, L632 + O631, 0)</f>
        <v>0</v>
      </c>
      <c r="P632" s="1">
        <f>IF(O632 &lt; 0, 1 + P631, 0)</f>
        <v>0</v>
      </c>
      <c r="Q632" s="1">
        <f>IF(E632&lt;0,1,0)</f>
        <v>0</v>
      </c>
      <c r="R632" s="1">
        <f>IF(Q632=1,E632,0)</f>
        <v>0</v>
      </c>
      <c r="S632" s="1">
        <f>IF(E632&gt;0,1,0)</f>
        <v>0</v>
      </c>
      <c r="T632" s="1">
        <f>IF(S632=1,E632,0)</f>
        <v>0</v>
      </c>
      <c r="U632" s="1">
        <f>IF(R632&lt;-100000000/100,1,0)</f>
        <v>0</v>
      </c>
      <c r="V632" s="1">
        <f>IF(T632&gt;100000000/100,1,0)</f>
        <v>0</v>
      </c>
      <c r="W632" s="1">
        <f>IF(L632&lt;0,1,0)</f>
        <v>0</v>
      </c>
      <c r="X632" s="1">
        <f>IF(W632=1,L632,0)</f>
        <v>0</v>
      </c>
      <c r="Y632" s="1">
        <f>IF(L632&gt;0,1,0)</f>
        <v>0</v>
      </c>
      <c r="Z632" s="1">
        <f>IF(Y632=1,L632,0)</f>
        <v>0</v>
      </c>
      <c r="AA632" s="1">
        <f>IF(X632&lt;-100000000/100,1,0)</f>
        <v>0</v>
      </c>
      <c r="AB632" s="1">
        <f>IF(Z632&gt;100000000/100,1,0)</f>
        <v>0</v>
      </c>
    </row>
    <row r="633" spans="1:28" s="1" customFormat="1">
      <c r="A633" s="3">
        <v>45904</v>
      </c>
      <c r="B633" s="2" t="s">
        <v>16</v>
      </c>
      <c r="C633" s="1">
        <f>SUM(PL!E633:H633)</f>
        <v>0</v>
      </c>
      <c r="D633" s="1">
        <f>SUM(PL!I633:L633)</f>
        <v>0</v>
      </c>
      <c r="E633" s="1">
        <f>SUM(C633:D633)</f>
        <v>0</v>
      </c>
      <c r="F633" s="1">
        <f>IF(C633 + F632 &lt; 0, C633 + F632, 0)</f>
        <v>0</v>
      </c>
      <c r="G633" s="1">
        <f>IF(D633 + G632 &lt; 0, D633 + G632, 0)</f>
        <v>0</v>
      </c>
      <c r="H633" s="1">
        <f>IF(E633 + H632 &lt; 0, E633 + H632, 0)</f>
        <v>0</v>
      </c>
      <c r="I633" s="1">
        <f>IF(H633 &lt; 0, 1 + I632, 0)</f>
        <v>0</v>
      </c>
      <c r="J633" s="1">
        <f>C633-((ABS(SUM(PL!E633:H633)))*0.125)</f>
        <v>0</v>
      </c>
      <c r="K633" s="1">
        <f>D633-((ABS(SUM(PL!I633:L633)))*0.125)</f>
        <v>0</v>
      </c>
      <c r="L633" s="1">
        <f>J633 + K633</f>
        <v>0</v>
      </c>
      <c r="M633" s="1">
        <f>IF(J633 + M632 &lt; 0, J633 + M632, 0)</f>
        <v>0</v>
      </c>
      <c r="N633" s="1">
        <f>IF(K633 + N632 &lt; 0, K633 + N632, 0)</f>
        <v>0</v>
      </c>
      <c r="O633" s="1">
        <f>IF(L633 + O632 &lt; 0, L633 + O632, 0)</f>
        <v>0</v>
      </c>
      <c r="P633" s="1">
        <f>IF(O633 &lt; 0, 1 + P632, 0)</f>
        <v>0</v>
      </c>
      <c r="Q633" s="1">
        <f>IF(E633&lt;0,1,0)</f>
        <v>0</v>
      </c>
      <c r="R633" s="1">
        <f>IF(Q633=1,E633,0)</f>
        <v>0</v>
      </c>
      <c r="S633" s="1">
        <f>IF(E633&gt;0,1,0)</f>
        <v>0</v>
      </c>
      <c r="T633" s="1">
        <f>IF(S633=1,E633,0)</f>
        <v>0</v>
      </c>
      <c r="U633" s="1">
        <f>IF(R633&lt;-100000000/100,1,0)</f>
        <v>0</v>
      </c>
      <c r="V633" s="1">
        <f>IF(T633&gt;100000000/100,1,0)</f>
        <v>0</v>
      </c>
      <c r="W633" s="1">
        <f>IF(L633&lt;0,1,0)</f>
        <v>0</v>
      </c>
      <c r="X633" s="1">
        <f>IF(W633=1,L633,0)</f>
        <v>0</v>
      </c>
      <c r="Y633" s="1">
        <f>IF(L633&gt;0,1,0)</f>
        <v>0</v>
      </c>
      <c r="Z633" s="1">
        <f>IF(Y633=1,L633,0)</f>
        <v>0</v>
      </c>
      <c r="AA633" s="1">
        <f>IF(X633&lt;-100000000/100,1,0)</f>
        <v>0</v>
      </c>
      <c r="AB633" s="1">
        <f>IF(Z633&gt;100000000/100,1,0)</f>
        <v>0</v>
      </c>
    </row>
    <row r="634" spans="1:28" s="1" customFormat="1">
      <c r="A634" s="3">
        <v>45905</v>
      </c>
      <c r="B634" s="2" t="s">
        <v>15</v>
      </c>
      <c r="C634" s="1">
        <f>SUM(PL!E634:H634)</f>
        <v>0</v>
      </c>
      <c r="D634" s="1">
        <f>SUM(PL!I634:L634)</f>
        <v>0</v>
      </c>
      <c r="E634" s="1">
        <f>SUM(C634:D634)</f>
        <v>0</v>
      </c>
      <c r="F634" s="1">
        <f>IF(C634 + F633 &lt; 0, C634 + F633, 0)</f>
        <v>0</v>
      </c>
      <c r="G634" s="1">
        <f>IF(D634 + G633 &lt; 0, D634 + G633, 0)</f>
        <v>0</v>
      </c>
      <c r="H634" s="1">
        <f>IF(E634 + H633 &lt; 0, E634 + H633, 0)</f>
        <v>0</v>
      </c>
      <c r="I634" s="1">
        <f>IF(H634 &lt; 0, 1 + I633, 0)</f>
        <v>0</v>
      </c>
      <c r="J634" s="1">
        <f>C634-((ABS(SUM(PL!E634:H634)))*0.125)</f>
        <v>0</v>
      </c>
      <c r="K634" s="1">
        <f>D634-((ABS(SUM(PL!I634:L634)))*0.125)</f>
        <v>0</v>
      </c>
      <c r="L634" s="1">
        <f>J634 + K634</f>
        <v>0</v>
      </c>
      <c r="M634" s="1">
        <f>IF(J634 + M633 &lt; 0, J634 + M633, 0)</f>
        <v>0</v>
      </c>
      <c r="N634" s="1">
        <f>IF(K634 + N633 &lt; 0, K634 + N633, 0)</f>
        <v>0</v>
      </c>
      <c r="O634" s="1">
        <f>IF(L634 + O633 &lt; 0, L634 + O633, 0)</f>
        <v>0</v>
      </c>
      <c r="P634" s="1">
        <f>IF(O634 &lt; 0, 1 + P633, 0)</f>
        <v>0</v>
      </c>
      <c r="Q634" s="1">
        <f>IF(E634&lt;0,1,0)</f>
        <v>0</v>
      </c>
      <c r="R634" s="1">
        <f>IF(Q634=1,E634,0)</f>
        <v>0</v>
      </c>
      <c r="S634" s="1">
        <f>IF(E634&gt;0,1,0)</f>
        <v>0</v>
      </c>
      <c r="T634" s="1">
        <f>IF(S634=1,E634,0)</f>
        <v>0</v>
      </c>
      <c r="U634" s="1">
        <f>IF(R634&lt;-100000000/100,1,0)</f>
        <v>0</v>
      </c>
      <c r="V634" s="1">
        <f>IF(T634&gt;100000000/100,1,0)</f>
        <v>0</v>
      </c>
      <c r="W634" s="1">
        <f>IF(L634&lt;0,1,0)</f>
        <v>0</v>
      </c>
      <c r="X634" s="1">
        <f>IF(W634=1,L634,0)</f>
        <v>0</v>
      </c>
      <c r="Y634" s="1">
        <f>IF(L634&gt;0,1,0)</f>
        <v>0</v>
      </c>
      <c r="Z634" s="1">
        <f>IF(Y634=1,L634,0)</f>
        <v>0</v>
      </c>
      <c r="AA634" s="1">
        <f>IF(X634&lt;-100000000/100,1,0)</f>
        <v>0</v>
      </c>
      <c r="AB634" s="1">
        <f>IF(Z634&gt;100000000/100,1,0)</f>
        <v>0</v>
      </c>
    </row>
    <row r="635" spans="1:28" s="1" customFormat="1">
      <c r="A635" s="3">
        <v>45908</v>
      </c>
      <c r="B635" s="2" t="s">
        <v>12</v>
      </c>
      <c r="C635" s="1">
        <f>SUM(PL!E635:H635)</f>
        <v>0</v>
      </c>
      <c r="D635" s="1">
        <f>SUM(PL!I635:L635)</f>
        <v>0</v>
      </c>
      <c r="E635" s="1">
        <f>SUM(C635:D635)</f>
        <v>0</v>
      </c>
      <c r="F635" s="1">
        <f>IF(C635 + F634 &lt; 0, C635 + F634, 0)</f>
        <v>0</v>
      </c>
      <c r="G635" s="1">
        <f>IF(D635 + G634 &lt; 0, D635 + G634, 0)</f>
        <v>0</v>
      </c>
      <c r="H635" s="1">
        <f>IF(E635 + H634 &lt; 0, E635 + H634, 0)</f>
        <v>0</v>
      </c>
      <c r="I635" s="1">
        <f>IF(H635 &lt; 0, 1 + I634, 0)</f>
        <v>0</v>
      </c>
      <c r="J635" s="1">
        <f>C635-((ABS(SUM(PL!E635:H635)))*0.125)</f>
        <v>0</v>
      </c>
      <c r="K635" s="1">
        <f>D635-((ABS(SUM(PL!I635:L635)))*0.125)</f>
        <v>0</v>
      </c>
      <c r="L635" s="1">
        <f>J635 + K635</f>
        <v>0</v>
      </c>
      <c r="M635" s="1">
        <f>IF(J635 + M634 &lt; 0, J635 + M634, 0)</f>
        <v>0</v>
      </c>
      <c r="N635" s="1">
        <f>IF(K635 + N634 &lt; 0, K635 + N634, 0)</f>
        <v>0</v>
      </c>
      <c r="O635" s="1">
        <f>IF(L635 + O634 &lt; 0, L635 + O634, 0)</f>
        <v>0</v>
      </c>
      <c r="P635" s="1">
        <f>IF(O635 &lt; 0, 1 + P634, 0)</f>
        <v>0</v>
      </c>
      <c r="Q635" s="1">
        <f>IF(E635&lt;0,1,0)</f>
        <v>0</v>
      </c>
      <c r="R635" s="1">
        <f>IF(Q635=1,E635,0)</f>
        <v>0</v>
      </c>
      <c r="S635" s="1">
        <f>IF(E635&gt;0,1,0)</f>
        <v>0</v>
      </c>
      <c r="T635" s="1">
        <f>IF(S635=1,E635,0)</f>
        <v>0</v>
      </c>
      <c r="U635" s="1">
        <f>IF(R635&lt;-100000000/100,1,0)</f>
        <v>0</v>
      </c>
      <c r="V635" s="1">
        <f>IF(T635&gt;100000000/100,1,0)</f>
        <v>0</v>
      </c>
      <c r="W635" s="1">
        <f>IF(L635&lt;0,1,0)</f>
        <v>0</v>
      </c>
      <c r="X635" s="1">
        <f>IF(W635=1,L635,0)</f>
        <v>0</v>
      </c>
      <c r="Y635" s="1">
        <f>IF(L635&gt;0,1,0)</f>
        <v>0</v>
      </c>
      <c r="Z635" s="1">
        <f>IF(Y635=1,L635,0)</f>
        <v>0</v>
      </c>
      <c r="AA635" s="1">
        <f>IF(X635&lt;-100000000/100,1,0)</f>
        <v>0</v>
      </c>
      <c r="AB635" s="1">
        <f>IF(Z635&gt;100000000/100,1,0)</f>
        <v>0</v>
      </c>
    </row>
    <row r="636" spans="1:28" s="1" customFormat="1">
      <c r="A636" s="3">
        <v>45909</v>
      </c>
      <c r="B636" s="2" t="s">
        <v>13</v>
      </c>
      <c r="C636" s="1">
        <f>SUM(PL!E636:H636)</f>
        <v>0</v>
      </c>
      <c r="D636" s="1">
        <f>SUM(PL!I636:L636)</f>
        <v>0</v>
      </c>
      <c r="E636" s="1">
        <f>SUM(C636:D636)</f>
        <v>0</v>
      </c>
      <c r="F636" s="1">
        <f>IF(C636 + F635 &lt; 0, C636 + F635, 0)</f>
        <v>0</v>
      </c>
      <c r="G636" s="1">
        <f>IF(D636 + G635 &lt; 0, D636 + G635, 0)</f>
        <v>0</v>
      </c>
      <c r="H636" s="1">
        <f>IF(E636 + H635 &lt; 0, E636 + H635, 0)</f>
        <v>0</v>
      </c>
      <c r="I636" s="1">
        <f>IF(H636 &lt; 0, 1 + I635, 0)</f>
        <v>0</v>
      </c>
      <c r="J636" s="1">
        <f>C636-((ABS(SUM(PL!E636:H636)))*0.125)</f>
        <v>0</v>
      </c>
      <c r="K636" s="1">
        <f>D636-((ABS(SUM(PL!I636:L636)))*0.125)</f>
        <v>0</v>
      </c>
      <c r="L636" s="1">
        <f>J636 + K636</f>
        <v>0</v>
      </c>
      <c r="M636" s="1">
        <f>IF(J636 + M635 &lt; 0, J636 + M635, 0)</f>
        <v>0</v>
      </c>
      <c r="N636" s="1">
        <f>IF(K636 + N635 &lt; 0, K636 + N635, 0)</f>
        <v>0</v>
      </c>
      <c r="O636" s="1">
        <f>IF(L636 + O635 &lt; 0, L636 + O635, 0)</f>
        <v>0</v>
      </c>
      <c r="P636" s="1">
        <f>IF(O636 &lt; 0, 1 + P635, 0)</f>
        <v>0</v>
      </c>
      <c r="Q636" s="1">
        <f>IF(E636&lt;0,1,0)</f>
        <v>0</v>
      </c>
      <c r="R636" s="1">
        <f>IF(Q636=1,E636,0)</f>
        <v>0</v>
      </c>
      <c r="S636" s="1">
        <f>IF(E636&gt;0,1,0)</f>
        <v>0</v>
      </c>
      <c r="T636" s="1">
        <f>IF(S636=1,E636,0)</f>
        <v>0</v>
      </c>
      <c r="U636" s="1">
        <f>IF(R636&lt;-100000000/100,1,0)</f>
        <v>0</v>
      </c>
      <c r="V636" s="1">
        <f>IF(T636&gt;100000000/100,1,0)</f>
        <v>0</v>
      </c>
      <c r="W636" s="1">
        <f>IF(L636&lt;0,1,0)</f>
        <v>0</v>
      </c>
      <c r="X636" s="1">
        <f>IF(W636=1,L636,0)</f>
        <v>0</v>
      </c>
      <c r="Y636" s="1">
        <f>IF(L636&gt;0,1,0)</f>
        <v>0</v>
      </c>
      <c r="Z636" s="1">
        <f>IF(Y636=1,L636,0)</f>
        <v>0</v>
      </c>
      <c r="AA636" s="1">
        <f>IF(X636&lt;-100000000/100,1,0)</f>
        <v>0</v>
      </c>
      <c r="AB636" s="1">
        <f>IF(Z636&gt;100000000/100,1,0)</f>
        <v>0</v>
      </c>
    </row>
    <row r="637" spans="1:28" s="1" customFormat="1">
      <c r="A637" s="3">
        <v>45910</v>
      </c>
      <c r="B637" s="2" t="s">
        <v>14</v>
      </c>
      <c r="C637" s="1">
        <f>SUM(PL!E637:H637)</f>
        <v>0</v>
      </c>
      <c r="D637" s="1">
        <f>SUM(PL!I637:L637)</f>
        <v>0</v>
      </c>
      <c r="E637" s="1">
        <f>SUM(C637:D637)</f>
        <v>0</v>
      </c>
      <c r="F637" s="1">
        <f>IF(C637 + F636 &lt; 0, C637 + F636, 0)</f>
        <v>0</v>
      </c>
      <c r="G637" s="1">
        <f>IF(D637 + G636 &lt; 0, D637 + G636, 0)</f>
        <v>0</v>
      </c>
      <c r="H637" s="1">
        <f>IF(E637 + H636 &lt; 0, E637 + H636, 0)</f>
        <v>0</v>
      </c>
      <c r="I637" s="1">
        <f>IF(H637 &lt; 0, 1 + I636, 0)</f>
        <v>0</v>
      </c>
      <c r="J637" s="1">
        <f>C637-((ABS(SUM(PL!E637:H637)))*0.125)</f>
        <v>0</v>
      </c>
      <c r="K637" s="1">
        <f>D637-((ABS(SUM(PL!I637:L637)))*0.125)</f>
        <v>0</v>
      </c>
      <c r="L637" s="1">
        <f>J637 + K637</f>
        <v>0</v>
      </c>
      <c r="M637" s="1">
        <f>IF(J637 + M636 &lt; 0, J637 + M636, 0)</f>
        <v>0</v>
      </c>
      <c r="N637" s="1">
        <f>IF(K637 + N636 &lt; 0, K637 + N636, 0)</f>
        <v>0</v>
      </c>
      <c r="O637" s="1">
        <f>IF(L637 + O636 &lt; 0, L637 + O636, 0)</f>
        <v>0</v>
      </c>
      <c r="P637" s="1">
        <f>IF(O637 &lt; 0, 1 + P636, 0)</f>
        <v>0</v>
      </c>
      <c r="Q637" s="1">
        <f>IF(E637&lt;0,1,0)</f>
        <v>0</v>
      </c>
      <c r="R637" s="1">
        <f>IF(Q637=1,E637,0)</f>
        <v>0</v>
      </c>
      <c r="S637" s="1">
        <f>IF(E637&gt;0,1,0)</f>
        <v>0</v>
      </c>
      <c r="T637" s="1">
        <f>IF(S637=1,E637,0)</f>
        <v>0</v>
      </c>
      <c r="U637" s="1">
        <f>IF(R637&lt;-100000000/100,1,0)</f>
        <v>0</v>
      </c>
      <c r="V637" s="1">
        <f>IF(T637&gt;100000000/100,1,0)</f>
        <v>0</v>
      </c>
      <c r="W637" s="1">
        <f>IF(L637&lt;0,1,0)</f>
        <v>0</v>
      </c>
      <c r="X637" s="1">
        <f>IF(W637=1,L637,0)</f>
        <v>0</v>
      </c>
      <c r="Y637" s="1">
        <f>IF(L637&gt;0,1,0)</f>
        <v>0</v>
      </c>
      <c r="Z637" s="1">
        <f>IF(Y637=1,L637,0)</f>
        <v>0</v>
      </c>
      <c r="AA637" s="1">
        <f>IF(X637&lt;-100000000/100,1,0)</f>
        <v>0</v>
      </c>
      <c r="AB637" s="1">
        <f>IF(Z637&gt;100000000/100,1,0)</f>
        <v>0</v>
      </c>
    </row>
    <row r="638" spans="1:28" s="1" customFormat="1">
      <c r="A638" s="3">
        <v>45911</v>
      </c>
      <c r="B638" s="2" t="s">
        <v>16</v>
      </c>
      <c r="C638" s="1">
        <f>SUM(PL!E638:H638)</f>
        <v>0</v>
      </c>
      <c r="D638" s="1">
        <f>SUM(PL!I638:L638)</f>
        <v>0</v>
      </c>
      <c r="E638" s="1">
        <f>SUM(C638:D638)</f>
        <v>0</v>
      </c>
      <c r="F638" s="1">
        <f>IF(C638 + F637 &lt; 0, C638 + F637, 0)</f>
        <v>0</v>
      </c>
      <c r="G638" s="1">
        <f>IF(D638 + G637 &lt; 0, D638 + G637, 0)</f>
        <v>0</v>
      </c>
      <c r="H638" s="1">
        <f>IF(E638 + H637 &lt; 0, E638 + H637, 0)</f>
        <v>0</v>
      </c>
      <c r="I638" s="1">
        <f>IF(H638 &lt; 0, 1 + I637, 0)</f>
        <v>0</v>
      </c>
      <c r="J638" s="1">
        <f>C638-((ABS(SUM(PL!E638:H638)))*0.125)</f>
        <v>0</v>
      </c>
      <c r="K638" s="1">
        <f>D638-((ABS(SUM(PL!I638:L638)))*0.125)</f>
        <v>0</v>
      </c>
      <c r="L638" s="1">
        <f>J638 + K638</f>
        <v>0</v>
      </c>
      <c r="M638" s="1">
        <f>IF(J638 + M637 &lt; 0, J638 + M637, 0)</f>
        <v>0</v>
      </c>
      <c r="N638" s="1">
        <f>IF(K638 + N637 &lt; 0, K638 + N637, 0)</f>
        <v>0</v>
      </c>
      <c r="O638" s="1">
        <f>IF(L638 + O637 &lt; 0, L638 + O637, 0)</f>
        <v>0</v>
      </c>
      <c r="P638" s="1">
        <f>IF(O638 &lt; 0, 1 + P637, 0)</f>
        <v>0</v>
      </c>
      <c r="Q638" s="1">
        <f>IF(E638&lt;0,1,0)</f>
        <v>0</v>
      </c>
      <c r="R638" s="1">
        <f>IF(Q638=1,E638,0)</f>
        <v>0</v>
      </c>
      <c r="S638" s="1">
        <f>IF(E638&gt;0,1,0)</f>
        <v>0</v>
      </c>
      <c r="T638" s="1">
        <f>IF(S638=1,E638,0)</f>
        <v>0</v>
      </c>
      <c r="U638" s="1">
        <f>IF(R638&lt;-100000000/100,1,0)</f>
        <v>0</v>
      </c>
      <c r="V638" s="1">
        <f>IF(T638&gt;100000000/100,1,0)</f>
        <v>0</v>
      </c>
      <c r="W638" s="1">
        <f>IF(L638&lt;0,1,0)</f>
        <v>0</v>
      </c>
      <c r="X638" s="1">
        <f>IF(W638=1,L638,0)</f>
        <v>0</v>
      </c>
      <c r="Y638" s="1">
        <f>IF(L638&gt;0,1,0)</f>
        <v>0</v>
      </c>
      <c r="Z638" s="1">
        <f>IF(Y638=1,L638,0)</f>
        <v>0</v>
      </c>
      <c r="AA638" s="1">
        <f>IF(X638&lt;-100000000/100,1,0)</f>
        <v>0</v>
      </c>
      <c r="AB638" s="1">
        <f>IF(Z638&gt;100000000/100,1,0)</f>
        <v>0</v>
      </c>
    </row>
    <row r="639" spans="1:28" s="1" customFormat="1">
      <c r="A639" s="3">
        <v>45912</v>
      </c>
      <c r="B639" s="2" t="s">
        <v>15</v>
      </c>
      <c r="C639" s="1">
        <f>SUM(PL!E639:H639)</f>
        <v>0</v>
      </c>
      <c r="D639" s="1">
        <f>SUM(PL!I639:L639)</f>
        <v>0</v>
      </c>
      <c r="E639" s="1">
        <f>SUM(C639:D639)</f>
        <v>0</v>
      </c>
      <c r="F639" s="1">
        <f>IF(C639 + F638 &lt; 0, C639 + F638, 0)</f>
        <v>0</v>
      </c>
      <c r="G639" s="1">
        <f>IF(D639 + G638 &lt; 0, D639 + G638, 0)</f>
        <v>0</v>
      </c>
      <c r="H639" s="1">
        <f>IF(E639 + H638 &lt; 0, E639 + H638, 0)</f>
        <v>0</v>
      </c>
      <c r="I639" s="1">
        <f>IF(H639 &lt; 0, 1 + I638, 0)</f>
        <v>0</v>
      </c>
      <c r="J639" s="1">
        <f>C639-((ABS(SUM(PL!E639:H639)))*0.125)</f>
        <v>0</v>
      </c>
      <c r="K639" s="1">
        <f>D639-((ABS(SUM(PL!I639:L639)))*0.125)</f>
        <v>0</v>
      </c>
      <c r="L639" s="1">
        <f>J639 + K639</f>
        <v>0</v>
      </c>
      <c r="M639" s="1">
        <f>IF(J639 + M638 &lt; 0, J639 + M638, 0)</f>
        <v>0</v>
      </c>
      <c r="N639" s="1">
        <f>IF(K639 + N638 &lt; 0, K639 + N638, 0)</f>
        <v>0</v>
      </c>
      <c r="O639" s="1">
        <f>IF(L639 + O638 &lt; 0, L639 + O638, 0)</f>
        <v>0</v>
      </c>
      <c r="P639" s="1">
        <f>IF(O639 &lt; 0, 1 + P638, 0)</f>
        <v>0</v>
      </c>
      <c r="Q639" s="1">
        <f>IF(E639&lt;0,1,0)</f>
        <v>0</v>
      </c>
      <c r="R639" s="1">
        <f>IF(Q639=1,E639,0)</f>
        <v>0</v>
      </c>
      <c r="S639" s="1">
        <f>IF(E639&gt;0,1,0)</f>
        <v>0</v>
      </c>
      <c r="T639" s="1">
        <f>IF(S639=1,E639,0)</f>
        <v>0</v>
      </c>
      <c r="U639" s="1">
        <f>IF(R639&lt;-100000000/100,1,0)</f>
        <v>0</v>
      </c>
      <c r="V639" s="1">
        <f>IF(T639&gt;100000000/100,1,0)</f>
        <v>0</v>
      </c>
      <c r="W639" s="1">
        <f>IF(L639&lt;0,1,0)</f>
        <v>0</v>
      </c>
      <c r="X639" s="1">
        <f>IF(W639=1,L639,0)</f>
        <v>0</v>
      </c>
      <c r="Y639" s="1">
        <f>IF(L639&gt;0,1,0)</f>
        <v>0</v>
      </c>
      <c r="Z639" s="1">
        <f>IF(Y639=1,L639,0)</f>
        <v>0</v>
      </c>
      <c r="AA639" s="1">
        <f>IF(X639&lt;-100000000/100,1,0)</f>
        <v>0</v>
      </c>
      <c r="AB639" s="1">
        <f>IF(Z639&gt;100000000/100,1,0)</f>
        <v>0</v>
      </c>
    </row>
    <row r="640" spans="1:28" s="1" customFormat="1">
      <c r="A640" s="3">
        <v>45915</v>
      </c>
      <c r="B640" s="2" t="s">
        <v>12</v>
      </c>
      <c r="C640" s="1">
        <f>SUM(PL!E640:H640)</f>
        <v>0</v>
      </c>
      <c r="D640" s="1">
        <f>SUM(PL!I640:L640)</f>
        <v>0</v>
      </c>
      <c r="E640" s="1">
        <f>SUM(C640:D640)</f>
        <v>0</v>
      </c>
      <c r="F640" s="1">
        <f>IF(C640 + F639 &lt; 0, C640 + F639, 0)</f>
        <v>0</v>
      </c>
      <c r="G640" s="1">
        <f>IF(D640 + G639 &lt; 0, D640 + G639, 0)</f>
        <v>0</v>
      </c>
      <c r="H640" s="1">
        <f>IF(E640 + H639 &lt; 0, E640 + H639, 0)</f>
        <v>0</v>
      </c>
      <c r="I640" s="1">
        <f>IF(H640 &lt; 0, 1 + I639, 0)</f>
        <v>0</v>
      </c>
      <c r="J640" s="1">
        <f>C640-((ABS(SUM(PL!E640:H640)))*0.125)</f>
        <v>0</v>
      </c>
      <c r="K640" s="1">
        <f>D640-((ABS(SUM(PL!I640:L640)))*0.125)</f>
        <v>0</v>
      </c>
      <c r="L640" s="1">
        <f>J640 + K640</f>
        <v>0</v>
      </c>
      <c r="M640" s="1">
        <f>IF(J640 + M639 &lt; 0, J640 + M639, 0)</f>
        <v>0</v>
      </c>
      <c r="N640" s="1">
        <f>IF(K640 + N639 &lt; 0, K640 + N639, 0)</f>
        <v>0</v>
      </c>
      <c r="O640" s="1">
        <f>IF(L640 + O639 &lt; 0, L640 + O639, 0)</f>
        <v>0</v>
      </c>
      <c r="P640" s="1">
        <f>IF(O640 &lt; 0, 1 + P639, 0)</f>
        <v>0</v>
      </c>
      <c r="Q640" s="1">
        <f>IF(E640&lt;0,1,0)</f>
        <v>0</v>
      </c>
      <c r="R640" s="1">
        <f>IF(Q640=1,E640,0)</f>
        <v>0</v>
      </c>
      <c r="S640" s="1">
        <f>IF(E640&gt;0,1,0)</f>
        <v>0</v>
      </c>
      <c r="T640" s="1">
        <f>IF(S640=1,E640,0)</f>
        <v>0</v>
      </c>
      <c r="U640" s="1">
        <f>IF(R640&lt;-100000000/100,1,0)</f>
        <v>0</v>
      </c>
      <c r="V640" s="1">
        <f>IF(T640&gt;100000000/100,1,0)</f>
        <v>0</v>
      </c>
      <c r="W640" s="1">
        <f>IF(L640&lt;0,1,0)</f>
        <v>0</v>
      </c>
      <c r="X640" s="1">
        <f>IF(W640=1,L640,0)</f>
        <v>0</v>
      </c>
      <c r="Y640" s="1">
        <f>IF(L640&gt;0,1,0)</f>
        <v>0</v>
      </c>
      <c r="Z640" s="1">
        <f>IF(Y640=1,L640,0)</f>
        <v>0</v>
      </c>
      <c r="AA640" s="1">
        <f>IF(X640&lt;-100000000/100,1,0)</f>
        <v>0</v>
      </c>
      <c r="AB640" s="1">
        <f>IF(Z640&gt;100000000/100,1,0)</f>
        <v>0</v>
      </c>
    </row>
    <row r="641" spans="1:28" s="1" customFormat="1">
      <c r="A641" s="3">
        <v>45916</v>
      </c>
      <c r="B641" s="2" t="s">
        <v>13</v>
      </c>
      <c r="C641" s="1">
        <f>SUM(PL!E641:H641)</f>
        <v>0</v>
      </c>
      <c r="D641" s="1">
        <f>SUM(PL!I641:L641)</f>
        <v>0</v>
      </c>
      <c r="E641" s="1">
        <f>SUM(C641:D641)</f>
        <v>0</v>
      </c>
      <c r="F641" s="1">
        <f>IF(C641 + F640 &lt; 0, C641 + F640, 0)</f>
        <v>0</v>
      </c>
      <c r="G641" s="1">
        <f>IF(D641 + G640 &lt; 0, D641 + G640, 0)</f>
        <v>0</v>
      </c>
      <c r="H641" s="1">
        <f>IF(E641 + H640 &lt; 0, E641 + H640, 0)</f>
        <v>0</v>
      </c>
      <c r="I641" s="1">
        <f>IF(H641 &lt; 0, 1 + I640, 0)</f>
        <v>0</v>
      </c>
      <c r="J641" s="1">
        <f>C641-((ABS(SUM(PL!E641:H641)))*0.125)</f>
        <v>0</v>
      </c>
      <c r="K641" s="1">
        <f>D641-((ABS(SUM(PL!I641:L641)))*0.125)</f>
        <v>0</v>
      </c>
      <c r="L641" s="1">
        <f>J641 + K641</f>
        <v>0</v>
      </c>
      <c r="M641" s="1">
        <f>IF(J641 + M640 &lt; 0, J641 + M640, 0)</f>
        <v>0</v>
      </c>
      <c r="N641" s="1">
        <f>IF(K641 + N640 &lt; 0, K641 + N640, 0)</f>
        <v>0</v>
      </c>
      <c r="O641" s="1">
        <f>IF(L641 + O640 &lt; 0, L641 + O640, 0)</f>
        <v>0</v>
      </c>
      <c r="P641" s="1">
        <f>IF(O641 &lt; 0, 1 + P640, 0)</f>
        <v>0</v>
      </c>
      <c r="Q641" s="1">
        <f>IF(E641&lt;0,1,0)</f>
        <v>0</v>
      </c>
      <c r="R641" s="1">
        <f>IF(Q641=1,E641,0)</f>
        <v>0</v>
      </c>
      <c r="S641" s="1">
        <f>IF(E641&gt;0,1,0)</f>
        <v>0</v>
      </c>
      <c r="T641" s="1">
        <f>IF(S641=1,E641,0)</f>
        <v>0</v>
      </c>
      <c r="U641" s="1">
        <f>IF(R641&lt;-100000000/100,1,0)</f>
        <v>0</v>
      </c>
      <c r="V641" s="1">
        <f>IF(T641&gt;100000000/100,1,0)</f>
        <v>0</v>
      </c>
      <c r="W641" s="1">
        <f>IF(L641&lt;0,1,0)</f>
        <v>0</v>
      </c>
      <c r="X641" s="1">
        <f>IF(W641=1,L641,0)</f>
        <v>0</v>
      </c>
      <c r="Y641" s="1">
        <f>IF(L641&gt;0,1,0)</f>
        <v>0</v>
      </c>
      <c r="Z641" s="1">
        <f>IF(Y641=1,L641,0)</f>
        <v>0</v>
      </c>
      <c r="AA641" s="1">
        <f>IF(X641&lt;-100000000/100,1,0)</f>
        <v>0</v>
      </c>
      <c r="AB641" s="1">
        <f>IF(Z641&gt;100000000/100,1,0)</f>
        <v>0</v>
      </c>
    </row>
    <row r="642" spans="1:28" s="1" customFormat="1">
      <c r="A642" s="3">
        <v>45917</v>
      </c>
      <c r="B642" s="2" t="s">
        <v>14</v>
      </c>
      <c r="C642" s="1">
        <f>SUM(PL!E642:H642)</f>
        <v>0</v>
      </c>
      <c r="D642" s="1">
        <f>SUM(PL!I642:L642)</f>
        <v>0</v>
      </c>
      <c r="E642" s="1">
        <f>SUM(C642:D642)</f>
        <v>0</v>
      </c>
      <c r="F642" s="1">
        <f>IF(C642 + F641 &lt; 0, C642 + F641, 0)</f>
        <v>0</v>
      </c>
      <c r="G642" s="1">
        <f>IF(D642 + G641 &lt; 0, D642 + G641, 0)</f>
        <v>0</v>
      </c>
      <c r="H642" s="1">
        <f>IF(E642 + H641 &lt; 0, E642 + H641, 0)</f>
        <v>0</v>
      </c>
      <c r="I642" s="1">
        <f>IF(H642 &lt; 0, 1 + I641, 0)</f>
        <v>0</v>
      </c>
      <c r="J642" s="1">
        <f>C642-((ABS(SUM(PL!E642:H642)))*0.125)</f>
        <v>0</v>
      </c>
      <c r="K642" s="1">
        <f>D642-((ABS(SUM(PL!I642:L642)))*0.125)</f>
        <v>0</v>
      </c>
      <c r="L642" s="1">
        <f>J642 + K642</f>
        <v>0</v>
      </c>
      <c r="M642" s="1">
        <f>IF(J642 + M641 &lt; 0, J642 + M641, 0)</f>
        <v>0</v>
      </c>
      <c r="N642" s="1">
        <f>IF(K642 + N641 &lt; 0, K642 + N641, 0)</f>
        <v>0</v>
      </c>
      <c r="O642" s="1">
        <f>IF(L642 + O641 &lt; 0, L642 + O641, 0)</f>
        <v>0</v>
      </c>
      <c r="P642" s="1">
        <f>IF(O642 &lt; 0, 1 + P641, 0)</f>
        <v>0</v>
      </c>
      <c r="Q642" s="1">
        <f>IF(E642&lt;0,1,0)</f>
        <v>0</v>
      </c>
      <c r="R642" s="1">
        <f>IF(Q642=1,E642,0)</f>
        <v>0</v>
      </c>
      <c r="S642" s="1">
        <f>IF(E642&gt;0,1,0)</f>
        <v>0</v>
      </c>
      <c r="T642" s="1">
        <f>IF(S642=1,E642,0)</f>
        <v>0</v>
      </c>
      <c r="U642" s="1">
        <f>IF(R642&lt;-100000000/100,1,0)</f>
        <v>0</v>
      </c>
      <c r="V642" s="1">
        <f>IF(T642&gt;100000000/100,1,0)</f>
        <v>0</v>
      </c>
      <c r="W642" s="1">
        <f>IF(L642&lt;0,1,0)</f>
        <v>0</v>
      </c>
      <c r="X642" s="1">
        <f>IF(W642=1,L642,0)</f>
        <v>0</v>
      </c>
      <c r="Y642" s="1">
        <f>IF(L642&gt;0,1,0)</f>
        <v>0</v>
      </c>
      <c r="Z642" s="1">
        <f>IF(Y642=1,L642,0)</f>
        <v>0</v>
      </c>
      <c r="AA642" s="1">
        <f>IF(X642&lt;-100000000/100,1,0)</f>
        <v>0</v>
      </c>
      <c r="AB642" s="1">
        <f>IF(Z642&gt;100000000/100,1,0)</f>
        <v>0</v>
      </c>
    </row>
    <row r="643" spans="1:28" s="1" customFormat="1">
      <c r="A643" s="3">
        <v>45918</v>
      </c>
      <c r="B643" s="2" t="s">
        <v>16</v>
      </c>
      <c r="C643" s="1">
        <f>SUM(PL!E643:H643)</f>
        <v>0</v>
      </c>
      <c r="D643" s="1">
        <f>SUM(PL!I643:L643)</f>
        <v>0</v>
      </c>
      <c r="E643" s="1">
        <f>SUM(C643:D643)</f>
        <v>0</v>
      </c>
      <c r="F643" s="1">
        <f>IF(C643 + F642 &lt; 0, C643 + F642, 0)</f>
        <v>0</v>
      </c>
      <c r="G643" s="1">
        <f>IF(D643 + G642 &lt; 0, D643 + G642, 0)</f>
        <v>0</v>
      </c>
      <c r="H643" s="1">
        <f>IF(E643 + H642 &lt; 0, E643 + H642, 0)</f>
        <v>0</v>
      </c>
      <c r="I643" s="1">
        <f>IF(H643 &lt; 0, 1 + I642, 0)</f>
        <v>0</v>
      </c>
      <c r="J643" s="1">
        <f>C643-((ABS(SUM(PL!E643:H643)))*0.125)</f>
        <v>0</v>
      </c>
      <c r="K643" s="1">
        <f>D643-((ABS(SUM(PL!I643:L643)))*0.125)</f>
        <v>0</v>
      </c>
      <c r="L643" s="1">
        <f>J643 + K643</f>
        <v>0</v>
      </c>
      <c r="M643" s="1">
        <f>IF(J643 + M642 &lt; 0, J643 + M642, 0)</f>
        <v>0</v>
      </c>
      <c r="N643" s="1">
        <f>IF(K643 + N642 &lt; 0, K643 + N642, 0)</f>
        <v>0</v>
      </c>
      <c r="O643" s="1">
        <f>IF(L643 + O642 &lt; 0, L643 + O642, 0)</f>
        <v>0</v>
      </c>
      <c r="P643" s="1">
        <f>IF(O643 &lt; 0, 1 + P642, 0)</f>
        <v>0</v>
      </c>
      <c r="Q643" s="1">
        <f>IF(E643&lt;0,1,0)</f>
        <v>0</v>
      </c>
      <c r="R643" s="1">
        <f>IF(Q643=1,E643,0)</f>
        <v>0</v>
      </c>
      <c r="S643" s="1">
        <f>IF(E643&gt;0,1,0)</f>
        <v>0</v>
      </c>
      <c r="T643" s="1">
        <f>IF(S643=1,E643,0)</f>
        <v>0</v>
      </c>
      <c r="U643" s="1">
        <f>IF(R643&lt;-100000000/100,1,0)</f>
        <v>0</v>
      </c>
      <c r="V643" s="1">
        <f>IF(T643&gt;100000000/100,1,0)</f>
        <v>0</v>
      </c>
      <c r="W643" s="1">
        <f>IF(L643&lt;0,1,0)</f>
        <v>0</v>
      </c>
      <c r="X643" s="1">
        <f>IF(W643=1,L643,0)</f>
        <v>0</v>
      </c>
      <c r="Y643" s="1">
        <f>IF(L643&gt;0,1,0)</f>
        <v>0</v>
      </c>
      <c r="Z643" s="1">
        <f>IF(Y643=1,L643,0)</f>
        <v>0</v>
      </c>
      <c r="AA643" s="1">
        <f>IF(X643&lt;-100000000/100,1,0)</f>
        <v>0</v>
      </c>
      <c r="AB643" s="1">
        <f>IF(Z643&gt;100000000/100,1,0)</f>
        <v>0</v>
      </c>
    </row>
    <row r="644" spans="1:28" s="1" customFormat="1">
      <c r="A644" s="3">
        <v>45919</v>
      </c>
      <c r="B644" s="2" t="s">
        <v>15</v>
      </c>
      <c r="C644" s="1">
        <f>SUM(PL!E644:H644)</f>
        <v>0</v>
      </c>
      <c r="D644" s="1">
        <f>SUM(PL!I644:L644)</f>
        <v>0</v>
      </c>
      <c r="E644" s="1">
        <f>SUM(C644:D644)</f>
        <v>0</v>
      </c>
      <c r="F644" s="1">
        <f>IF(C644 + F643 &lt; 0, C644 + F643, 0)</f>
        <v>0</v>
      </c>
      <c r="G644" s="1">
        <f>IF(D644 + G643 &lt; 0, D644 + G643, 0)</f>
        <v>0</v>
      </c>
      <c r="H644" s="1">
        <f>IF(E644 + H643 &lt; 0, E644 + H643, 0)</f>
        <v>0</v>
      </c>
      <c r="I644" s="1">
        <f>IF(H644 &lt; 0, 1 + I643, 0)</f>
        <v>0</v>
      </c>
      <c r="J644" s="1">
        <f>C644-((ABS(SUM(PL!E644:H644)))*0.125)</f>
        <v>0</v>
      </c>
      <c r="K644" s="1">
        <f>D644-((ABS(SUM(PL!I644:L644)))*0.125)</f>
        <v>0</v>
      </c>
      <c r="L644" s="1">
        <f>J644 + K644</f>
        <v>0</v>
      </c>
      <c r="M644" s="1">
        <f>IF(J644 + M643 &lt; 0, J644 + M643, 0)</f>
        <v>0</v>
      </c>
      <c r="N644" s="1">
        <f>IF(K644 + N643 &lt; 0, K644 + N643, 0)</f>
        <v>0</v>
      </c>
      <c r="O644" s="1">
        <f>IF(L644 + O643 &lt; 0, L644 + O643, 0)</f>
        <v>0</v>
      </c>
      <c r="P644" s="1">
        <f>IF(O644 &lt; 0, 1 + P643, 0)</f>
        <v>0</v>
      </c>
      <c r="Q644" s="1">
        <f>IF(E644&lt;0,1,0)</f>
        <v>0</v>
      </c>
      <c r="R644" s="1">
        <f>IF(Q644=1,E644,0)</f>
        <v>0</v>
      </c>
      <c r="S644" s="1">
        <f>IF(E644&gt;0,1,0)</f>
        <v>0</v>
      </c>
      <c r="T644" s="1">
        <f>IF(S644=1,E644,0)</f>
        <v>0</v>
      </c>
      <c r="U644" s="1">
        <f>IF(R644&lt;-100000000/100,1,0)</f>
        <v>0</v>
      </c>
      <c r="V644" s="1">
        <f>IF(T644&gt;100000000/100,1,0)</f>
        <v>0</v>
      </c>
      <c r="W644" s="1">
        <f>IF(L644&lt;0,1,0)</f>
        <v>0</v>
      </c>
      <c r="X644" s="1">
        <f>IF(W644=1,L644,0)</f>
        <v>0</v>
      </c>
      <c r="Y644" s="1">
        <f>IF(L644&gt;0,1,0)</f>
        <v>0</v>
      </c>
      <c r="Z644" s="1">
        <f>IF(Y644=1,L644,0)</f>
        <v>0</v>
      </c>
      <c r="AA644" s="1">
        <f>IF(X644&lt;-100000000/100,1,0)</f>
        <v>0</v>
      </c>
      <c r="AB644" s="1">
        <f>IF(Z644&gt;100000000/100,1,0)</f>
        <v>0</v>
      </c>
    </row>
    <row r="645" spans="1:28" s="1" customFormat="1">
      <c r="A645" s="3">
        <v>45922</v>
      </c>
      <c r="B645" s="2" t="s">
        <v>12</v>
      </c>
      <c r="C645" s="1">
        <f>SUM(PL!E645:H645)</f>
        <v>0</v>
      </c>
      <c r="D645" s="1">
        <f>SUM(PL!I645:L645)</f>
        <v>0</v>
      </c>
      <c r="E645" s="1">
        <f>SUM(C645:D645)</f>
        <v>0</v>
      </c>
      <c r="F645" s="1">
        <f>IF(C645 + F644 &lt; 0, C645 + F644, 0)</f>
        <v>0</v>
      </c>
      <c r="G645" s="1">
        <f>IF(D645 + G644 &lt; 0, D645 + G644, 0)</f>
        <v>0</v>
      </c>
      <c r="H645" s="1">
        <f>IF(E645 + H644 &lt; 0, E645 + H644, 0)</f>
        <v>0</v>
      </c>
      <c r="I645" s="1">
        <f>IF(H645 &lt; 0, 1 + I644, 0)</f>
        <v>0</v>
      </c>
      <c r="J645" s="1">
        <f>C645-((ABS(SUM(PL!E645:H645)))*0.125)</f>
        <v>0</v>
      </c>
      <c r="K645" s="1">
        <f>D645-((ABS(SUM(PL!I645:L645)))*0.125)</f>
        <v>0</v>
      </c>
      <c r="L645" s="1">
        <f>J645 + K645</f>
        <v>0</v>
      </c>
      <c r="M645" s="1">
        <f>IF(J645 + M644 &lt; 0, J645 + M644, 0)</f>
        <v>0</v>
      </c>
      <c r="N645" s="1">
        <f>IF(K645 + N644 &lt; 0, K645 + N644, 0)</f>
        <v>0</v>
      </c>
      <c r="O645" s="1">
        <f>IF(L645 + O644 &lt; 0, L645 + O644, 0)</f>
        <v>0</v>
      </c>
      <c r="P645" s="1">
        <f>IF(O645 &lt; 0, 1 + P644, 0)</f>
        <v>0</v>
      </c>
      <c r="Q645" s="1">
        <f>IF(E645&lt;0,1,0)</f>
        <v>0</v>
      </c>
      <c r="R645" s="1">
        <f>IF(Q645=1,E645,0)</f>
        <v>0</v>
      </c>
      <c r="S645" s="1">
        <f>IF(E645&gt;0,1,0)</f>
        <v>0</v>
      </c>
      <c r="T645" s="1">
        <f>IF(S645=1,E645,0)</f>
        <v>0</v>
      </c>
      <c r="U645" s="1">
        <f>IF(R645&lt;-100000000/100,1,0)</f>
        <v>0</v>
      </c>
      <c r="V645" s="1">
        <f>IF(T645&gt;100000000/100,1,0)</f>
        <v>0</v>
      </c>
      <c r="W645" s="1">
        <f>IF(L645&lt;0,1,0)</f>
        <v>0</v>
      </c>
      <c r="X645" s="1">
        <f>IF(W645=1,L645,0)</f>
        <v>0</v>
      </c>
      <c r="Y645" s="1">
        <f>IF(L645&gt;0,1,0)</f>
        <v>0</v>
      </c>
      <c r="Z645" s="1">
        <f>IF(Y645=1,L645,0)</f>
        <v>0</v>
      </c>
      <c r="AA645" s="1">
        <f>IF(X645&lt;-100000000/100,1,0)</f>
        <v>0</v>
      </c>
      <c r="AB645" s="1">
        <f>IF(Z645&gt;100000000/100,1,0)</f>
        <v>0</v>
      </c>
    </row>
    <row r="646" spans="1:28" s="1" customFormat="1">
      <c r="A646" s="3">
        <v>45923</v>
      </c>
      <c r="B646" s="2" t="s">
        <v>13</v>
      </c>
      <c r="C646" s="1">
        <f>SUM(PL!E646:H646)</f>
        <v>0</v>
      </c>
      <c r="D646" s="1">
        <f>SUM(PL!I646:L646)</f>
        <v>0</v>
      </c>
      <c r="E646" s="1">
        <f>SUM(C646:D646)</f>
        <v>0</v>
      </c>
      <c r="F646" s="1">
        <f>IF(C646 + F645 &lt; 0, C646 + F645, 0)</f>
        <v>0</v>
      </c>
      <c r="G646" s="1">
        <f>IF(D646 + G645 &lt; 0, D646 + G645, 0)</f>
        <v>0</v>
      </c>
      <c r="H646" s="1">
        <f>IF(E646 + H645 &lt; 0, E646 + H645, 0)</f>
        <v>0</v>
      </c>
      <c r="I646" s="1">
        <f>IF(H646 &lt; 0, 1 + I645, 0)</f>
        <v>0</v>
      </c>
      <c r="J646" s="1">
        <f>C646-((ABS(SUM(PL!E646:H646)))*0.125)</f>
        <v>0</v>
      </c>
      <c r="K646" s="1">
        <f>D646-((ABS(SUM(PL!I646:L646)))*0.125)</f>
        <v>0</v>
      </c>
      <c r="L646" s="1">
        <f>J646 + K646</f>
        <v>0</v>
      </c>
      <c r="M646" s="1">
        <f>IF(J646 + M645 &lt; 0, J646 + M645, 0)</f>
        <v>0</v>
      </c>
      <c r="N646" s="1">
        <f>IF(K646 + N645 &lt; 0, K646 + N645, 0)</f>
        <v>0</v>
      </c>
      <c r="O646" s="1">
        <f>IF(L646 + O645 &lt; 0, L646 + O645, 0)</f>
        <v>0</v>
      </c>
      <c r="P646" s="1">
        <f>IF(O646 &lt; 0, 1 + P645, 0)</f>
        <v>0</v>
      </c>
      <c r="Q646" s="1">
        <f>IF(E646&lt;0,1,0)</f>
        <v>0</v>
      </c>
      <c r="R646" s="1">
        <f>IF(Q646=1,E646,0)</f>
        <v>0</v>
      </c>
      <c r="S646" s="1">
        <f>IF(E646&gt;0,1,0)</f>
        <v>0</v>
      </c>
      <c r="T646" s="1">
        <f>IF(S646=1,E646,0)</f>
        <v>0</v>
      </c>
      <c r="U646" s="1">
        <f>IF(R646&lt;-100000000/100,1,0)</f>
        <v>0</v>
      </c>
      <c r="V646" s="1">
        <f>IF(T646&gt;100000000/100,1,0)</f>
        <v>0</v>
      </c>
      <c r="W646" s="1">
        <f>IF(L646&lt;0,1,0)</f>
        <v>0</v>
      </c>
      <c r="X646" s="1">
        <f>IF(W646=1,L646,0)</f>
        <v>0</v>
      </c>
      <c r="Y646" s="1">
        <f>IF(L646&gt;0,1,0)</f>
        <v>0</v>
      </c>
      <c r="Z646" s="1">
        <f>IF(Y646=1,L646,0)</f>
        <v>0</v>
      </c>
      <c r="AA646" s="1">
        <f>IF(X646&lt;-100000000/100,1,0)</f>
        <v>0</v>
      </c>
      <c r="AB646" s="1">
        <f>IF(Z646&gt;100000000/100,1,0)</f>
        <v>0</v>
      </c>
    </row>
    <row r="647" spans="1:28" s="1" customFormat="1">
      <c r="A647" s="3">
        <v>45924</v>
      </c>
      <c r="B647" s="2" t="s">
        <v>14</v>
      </c>
      <c r="C647" s="1">
        <f>SUM(PL!E647:H647)</f>
        <v>0</v>
      </c>
      <c r="D647" s="1">
        <f>SUM(PL!I647:L647)</f>
        <v>0</v>
      </c>
      <c r="E647" s="1">
        <f>SUM(C647:D647)</f>
        <v>0</v>
      </c>
      <c r="F647" s="1">
        <f>IF(C647 + F646 &lt; 0, C647 + F646, 0)</f>
        <v>0</v>
      </c>
      <c r="G647" s="1">
        <f>IF(D647 + G646 &lt; 0, D647 + G646, 0)</f>
        <v>0</v>
      </c>
      <c r="H647" s="1">
        <f>IF(E647 + H646 &lt; 0, E647 + H646, 0)</f>
        <v>0</v>
      </c>
      <c r="I647" s="1">
        <f>IF(H647 &lt; 0, 1 + I646, 0)</f>
        <v>0</v>
      </c>
      <c r="J647" s="1">
        <f>C647-((ABS(SUM(PL!E647:H647)))*0.125)</f>
        <v>0</v>
      </c>
      <c r="K647" s="1">
        <f>D647-((ABS(SUM(PL!I647:L647)))*0.125)</f>
        <v>0</v>
      </c>
      <c r="L647" s="1">
        <f>J647 + K647</f>
        <v>0</v>
      </c>
      <c r="M647" s="1">
        <f>IF(J647 + M646 &lt; 0, J647 + M646, 0)</f>
        <v>0</v>
      </c>
      <c r="N647" s="1">
        <f>IF(K647 + N646 &lt; 0, K647 + N646, 0)</f>
        <v>0</v>
      </c>
      <c r="O647" s="1">
        <f>IF(L647 + O646 &lt; 0, L647 + O646, 0)</f>
        <v>0</v>
      </c>
      <c r="P647" s="1">
        <f>IF(O647 &lt; 0, 1 + P646, 0)</f>
        <v>0</v>
      </c>
      <c r="Q647" s="1">
        <f>IF(E647&lt;0,1,0)</f>
        <v>0</v>
      </c>
      <c r="R647" s="1">
        <f>IF(Q647=1,E647,0)</f>
        <v>0</v>
      </c>
      <c r="S647" s="1">
        <f>IF(E647&gt;0,1,0)</f>
        <v>0</v>
      </c>
      <c r="T647" s="1">
        <f>IF(S647=1,E647,0)</f>
        <v>0</v>
      </c>
      <c r="U647" s="1">
        <f>IF(R647&lt;-100000000/100,1,0)</f>
        <v>0</v>
      </c>
      <c r="V647" s="1">
        <f>IF(T647&gt;100000000/100,1,0)</f>
        <v>0</v>
      </c>
      <c r="W647" s="1">
        <f>IF(L647&lt;0,1,0)</f>
        <v>0</v>
      </c>
      <c r="X647" s="1">
        <f>IF(W647=1,L647,0)</f>
        <v>0</v>
      </c>
      <c r="Y647" s="1">
        <f>IF(L647&gt;0,1,0)</f>
        <v>0</v>
      </c>
      <c r="Z647" s="1">
        <f>IF(Y647=1,L647,0)</f>
        <v>0</v>
      </c>
      <c r="AA647" s="1">
        <f>IF(X647&lt;-100000000/100,1,0)</f>
        <v>0</v>
      </c>
      <c r="AB647" s="1">
        <f>IF(Z647&gt;100000000/100,1,0)</f>
        <v>0</v>
      </c>
    </row>
    <row r="648" spans="1:28" s="1" customFormat="1">
      <c r="A648" s="3">
        <v>45925</v>
      </c>
      <c r="B648" s="2" t="s">
        <v>16</v>
      </c>
      <c r="C648" s="1">
        <f>SUM(PL!E648:H648)</f>
        <v>0</v>
      </c>
      <c r="D648" s="1">
        <f>SUM(PL!I648:L648)</f>
        <v>0</v>
      </c>
      <c r="E648" s="1">
        <f>SUM(C648:D648)</f>
        <v>0</v>
      </c>
      <c r="F648" s="1">
        <f>IF(C648 + F647 &lt; 0, C648 + F647, 0)</f>
        <v>0</v>
      </c>
      <c r="G648" s="1">
        <f>IF(D648 + G647 &lt; 0, D648 + G647, 0)</f>
        <v>0</v>
      </c>
      <c r="H648" s="1">
        <f>IF(E648 + H647 &lt; 0, E648 + H647, 0)</f>
        <v>0</v>
      </c>
      <c r="I648" s="1">
        <f>IF(H648 &lt; 0, 1 + I647, 0)</f>
        <v>0</v>
      </c>
      <c r="J648" s="1">
        <f>C648-((ABS(SUM(PL!E648:H648)))*0.125)</f>
        <v>0</v>
      </c>
      <c r="K648" s="1">
        <f>D648-((ABS(SUM(PL!I648:L648)))*0.125)</f>
        <v>0</v>
      </c>
      <c r="L648" s="1">
        <f>J648 + K648</f>
        <v>0</v>
      </c>
      <c r="M648" s="1">
        <f>IF(J648 + M647 &lt; 0, J648 + M647, 0)</f>
        <v>0</v>
      </c>
      <c r="N648" s="1">
        <f>IF(K648 + N647 &lt; 0, K648 + N647, 0)</f>
        <v>0</v>
      </c>
      <c r="O648" s="1">
        <f>IF(L648 + O647 &lt; 0, L648 + O647, 0)</f>
        <v>0</v>
      </c>
      <c r="P648" s="1">
        <f>IF(O648 &lt; 0, 1 + P647, 0)</f>
        <v>0</v>
      </c>
      <c r="Q648" s="1">
        <f>IF(E648&lt;0,1,0)</f>
        <v>0</v>
      </c>
      <c r="R648" s="1">
        <f>IF(Q648=1,E648,0)</f>
        <v>0</v>
      </c>
      <c r="S648" s="1">
        <f>IF(E648&gt;0,1,0)</f>
        <v>0</v>
      </c>
      <c r="T648" s="1">
        <f>IF(S648=1,E648,0)</f>
        <v>0</v>
      </c>
      <c r="U648" s="1">
        <f>IF(R648&lt;-100000000/100,1,0)</f>
        <v>0</v>
      </c>
      <c r="V648" s="1">
        <f>IF(T648&gt;100000000/100,1,0)</f>
        <v>0</v>
      </c>
      <c r="W648" s="1">
        <f>IF(L648&lt;0,1,0)</f>
        <v>0</v>
      </c>
      <c r="X648" s="1">
        <f>IF(W648=1,L648,0)</f>
        <v>0</v>
      </c>
      <c r="Y648" s="1">
        <f>IF(L648&gt;0,1,0)</f>
        <v>0</v>
      </c>
      <c r="Z648" s="1">
        <f>IF(Y648=1,L648,0)</f>
        <v>0</v>
      </c>
      <c r="AA648" s="1">
        <f>IF(X648&lt;-100000000/100,1,0)</f>
        <v>0</v>
      </c>
      <c r="AB648" s="1">
        <f>IF(Z648&gt;100000000/100,1,0)</f>
        <v>0</v>
      </c>
    </row>
    <row r="649" spans="1:28" s="1" customFormat="1">
      <c r="A649" s="3">
        <v>45926</v>
      </c>
      <c r="B649" s="2" t="s">
        <v>15</v>
      </c>
      <c r="C649" s="1">
        <f>SUM(PL!E649:H649)</f>
        <v>0</v>
      </c>
      <c r="D649" s="1">
        <f>SUM(PL!I649:L649)</f>
        <v>0</v>
      </c>
      <c r="E649" s="1">
        <f>SUM(C649:D649)</f>
        <v>0</v>
      </c>
      <c r="F649" s="1">
        <f>IF(C649 + F648 &lt; 0, C649 + F648, 0)</f>
        <v>0</v>
      </c>
      <c r="G649" s="1">
        <f>IF(D649 + G648 &lt; 0, D649 + G648, 0)</f>
        <v>0</v>
      </c>
      <c r="H649" s="1">
        <f>IF(E649 + H648 &lt; 0, E649 + H648, 0)</f>
        <v>0</v>
      </c>
      <c r="I649" s="1">
        <f>IF(H649 &lt; 0, 1 + I648, 0)</f>
        <v>0</v>
      </c>
      <c r="J649" s="1">
        <f>C649-((ABS(SUM(PL!E649:H649)))*0.125)</f>
        <v>0</v>
      </c>
      <c r="K649" s="1">
        <f>D649-((ABS(SUM(PL!I649:L649)))*0.125)</f>
        <v>0</v>
      </c>
      <c r="L649" s="1">
        <f>J649 + K649</f>
        <v>0</v>
      </c>
      <c r="M649" s="1">
        <f>IF(J649 + M648 &lt; 0, J649 + M648, 0)</f>
        <v>0</v>
      </c>
      <c r="N649" s="1">
        <f>IF(K649 + N648 &lt; 0, K649 + N648, 0)</f>
        <v>0</v>
      </c>
      <c r="O649" s="1">
        <f>IF(L649 + O648 &lt; 0, L649 + O648, 0)</f>
        <v>0</v>
      </c>
      <c r="P649" s="1">
        <f>IF(O649 &lt; 0, 1 + P648, 0)</f>
        <v>0</v>
      </c>
      <c r="Q649" s="1">
        <f>IF(E649&lt;0,1,0)</f>
        <v>0</v>
      </c>
      <c r="R649" s="1">
        <f>IF(Q649=1,E649,0)</f>
        <v>0</v>
      </c>
      <c r="S649" s="1">
        <f>IF(E649&gt;0,1,0)</f>
        <v>0</v>
      </c>
      <c r="T649" s="1">
        <f>IF(S649=1,E649,0)</f>
        <v>0</v>
      </c>
      <c r="U649" s="1">
        <f>IF(R649&lt;-100000000/100,1,0)</f>
        <v>0</v>
      </c>
      <c r="V649" s="1">
        <f>IF(T649&gt;100000000/100,1,0)</f>
        <v>0</v>
      </c>
      <c r="W649" s="1">
        <f>IF(L649&lt;0,1,0)</f>
        <v>0</v>
      </c>
      <c r="X649" s="1">
        <f>IF(W649=1,L649,0)</f>
        <v>0</v>
      </c>
      <c r="Y649" s="1">
        <f>IF(L649&gt;0,1,0)</f>
        <v>0</v>
      </c>
      <c r="Z649" s="1">
        <f>IF(Y649=1,L649,0)</f>
        <v>0</v>
      </c>
      <c r="AA649" s="1">
        <f>IF(X649&lt;-100000000/100,1,0)</f>
        <v>0</v>
      </c>
      <c r="AB649" s="1">
        <f>IF(Z649&gt;100000000/100,1,0)</f>
        <v>0</v>
      </c>
    </row>
    <row r="650" spans="1:28" s="1" customFormat="1">
      <c r="A650" s="3">
        <v>45929</v>
      </c>
      <c r="B650" s="2" t="s">
        <v>12</v>
      </c>
      <c r="C650" s="1">
        <f>SUM(PL!E650:H650)</f>
        <v>0</v>
      </c>
      <c r="D650" s="1">
        <f>SUM(PL!I650:L650)</f>
        <v>0</v>
      </c>
      <c r="E650" s="1">
        <f>SUM(C650:D650)</f>
        <v>0</v>
      </c>
      <c r="F650" s="1">
        <f>IF(C650 + F649 &lt; 0, C650 + F649, 0)</f>
        <v>0</v>
      </c>
      <c r="G650" s="1">
        <f>IF(D650 + G649 &lt; 0, D650 + G649, 0)</f>
        <v>0</v>
      </c>
      <c r="H650" s="1">
        <f>IF(E650 + H649 &lt; 0, E650 + H649, 0)</f>
        <v>0</v>
      </c>
      <c r="I650" s="1">
        <f>IF(H650 &lt; 0, 1 + I649, 0)</f>
        <v>0</v>
      </c>
      <c r="J650" s="1">
        <f>C650-((ABS(SUM(PL!E650:H650)))*0.125)</f>
        <v>0</v>
      </c>
      <c r="K650" s="1">
        <f>D650-((ABS(SUM(PL!I650:L650)))*0.125)</f>
        <v>0</v>
      </c>
      <c r="L650" s="1">
        <f>J650 + K650</f>
        <v>0</v>
      </c>
      <c r="M650" s="1">
        <f>IF(J650 + M649 &lt; 0, J650 + M649, 0)</f>
        <v>0</v>
      </c>
      <c r="N650" s="1">
        <f>IF(K650 + N649 &lt; 0, K650 + N649, 0)</f>
        <v>0</v>
      </c>
      <c r="O650" s="1">
        <f>IF(L650 + O649 &lt; 0, L650 + O649, 0)</f>
        <v>0</v>
      </c>
      <c r="P650" s="1">
        <f>IF(O650 &lt; 0, 1 + P649, 0)</f>
        <v>0</v>
      </c>
      <c r="Q650" s="1">
        <f>IF(E650&lt;0,1,0)</f>
        <v>0</v>
      </c>
      <c r="R650" s="1">
        <f>IF(Q650=1,E650,0)</f>
        <v>0</v>
      </c>
      <c r="S650" s="1">
        <f>IF(E650&gt;0,1,0)</f>
        <v>0</v>
      </c>
      <c r="T650" s="1">
        <f>IF(S650=1,E650,0)</f>
        <v>0</v>
      </c>
      <c r="U650" s="1">
        <f>IF(R650&lt;-100000000/100,1,0)</f>
        <v>0</v>
      </c>
      <c r="V650" s="1">
        <f>IF(T650&gt;100000000/100,1,0)</f>
        <v>0</v>
      </c>
      <c r="W650" s="1">
        <f>IF(L650&lt;0,1,0)</f>
        <v>0</v>
      </c>
      <c r="X650" s="1">
        <f>IF(W650=1,L650,0)</f>
        <v>0</v>
      </c>
      <c r="Y650" s="1">
        <f>IF(L650&gt;0,1,0)</f>
        <v>0</v>
      </c>
      <c r="Z650" s="1">
        <f>IF(Y650=1,L650,0)</f>
        <v>0</v>
      </c>
      <c r="AA650" s="1">
        <f>IF(X650&lt;-100000000/100,1,0)</f>
        <v>0</v>
      </c>
      <c r="AB650" s="1">
        <f>IF(Z650&gt;100000000/100,1,0)</f>
        <v>0</v>
      </c>
    </row>
    <row r="651" spans="1:28" s="1" customFormat="1">
      <c r="A651" s="3">
        <v>45930</v>
      </c>
      <c r="B651" s="2" t="s">
        <v>13</v>
      </c>
      <c r="C651" s="1">
        <f>SUM(PL!E651:H651)</f>
        <v>0</v>
      </c>
      <c r="D651" s="1">
        <f>SUM(PL!I651:L651)</f>
        <v>0</v>
      </c>
      <c r="E651" s="1">
        <f>SUM(C651:D651)</f>
        <v>0</v>
      </c>
      <c r="F651" s="1">
        <f>IF(C651 + F650 &lt; 0, C651 + F650, 0)</f>
        <v>0</v>
      </c>
      <c r="G651" s="1">
        <f>IF(D651 + G650 &lt; 0, D651 + G650, 0)</f>
        <v>0</v>
      </c>
      <c r="H651" s="1">
        <f>IF(E651 + H650 &lt; 0, E651 + H650, 0)</f>
        <v>0</v>
      </c>
      <c r="I651" s="1">
        <f>IF(H651 &lt; 0, 1 + I650, 0)</f>
        <v>0</v>
      </c>
      <c r="J651" s="1">
        <f>C651-((ABS(SUM(PL!E651:H651)))*0.125)</f>
        <v>0</v>
      </c>
      <c r="K651" s="1">
        <f>D651-((ABS(SUM(PL!I651:L651)))*0.125)</f>
        <v>0</v>
      </c>
      <c r="L651" s="1">
        <f>J651 + K651</f>
        <v>0</v>
      </c>
      <c r="M651" s="1">
        <f>IF(J651 + M650 &lt; 0, J651 + M650, 0)</f>
        <v>0</v>
      </c>
      <c r="N651" s="1">
        <f>IF(K651 + N650 &lt; 0, K651 + N650, 0)</f>
        <v>0</v>
      </c>
      <c r="O651" s="1">
        <f>IF(L651 + O650 &lt; 0, L651 + O650, 0)</f>
        <v>0</v>
      </c>
      <c r="P651" s="1">
        <f>IF(O651 &lt; 0, 1 + P650, 0)</f>
        <v>0</v>
      </c>
      <c r="Q651" s="1">
        <f>IF(E651&lt;0,1,0)</f>
        <v>0</v>
      </c>
      <c r="R651" s="1">
        <f>IF(Q651=1,E651,0)</f>
        <v>0</v>
      </c>
      <c r="S651" s="1">
        <f>IF(E651&gt;0,1,0)</f>
        <v>0</v>
      </c>
      <c r="T651" s="1">
        <f>IF(S651=1,E651,0)</f>
        <v>0</v>
      </c>
      <c r="U651" s="1">
        <f>IF(R651&lt;-100000000/100,1,0)</f>
        <v>0</v>
      </c>
      <c r="V651" s="1">
        <f>IF(T651&gt;100000000/100,1,0)</f>
        <v>0</v>
      </c>
      <c r="W651" s="1">
        <f>IF(L651&lt;0,1,0)</f>
        <v>0</v>
      </c>
      <c r="X651" s="1">
        <f>IF(W651=1,L651,0)</f>
        <v>0</v>
      </c>
      <c r="Y651" s="1">
        <f>IF(L651&gt;0,1,0)</f>
        <v>0</v>
      </c>
      <c r="Z651" s="1">
        <f>IF(Y651=1,L651,0)</f>
        <v>0</v>
      </c>
      <c r="AA651" s="1">
        <f>IF(X651&lt;-100000000/100,1,0)</f>
        <v>0</v>
      </c>
      <c r="AB651" s="1">
        <f>IF(Z651&gt;100000000/100,1,0)</f>
        <v>0</v>
      </c>
    </row>
    <row r="652" spans="1:28" s="1" customFormat="1">
      <c r="A652" s="3">
        <v>45931</v>
      </c>
      <c r="B652" s="2" t="s">
        <v>14</v>
      </c>
      <c r="C652" s="1">
        <f>SUM(PL!E652:H652)</f>
        <v>0</v>
      </c>
      <c r="D652" s="1">
        <f>SUM(PL!I652:L652)</f>
        <v>0</v>
      </c>
      <c r="E652" s="1">
        <f>SUM(C652:D652)</f>
        <v>0</v>
      </c>
      <c r="F652" s="1">
        <f>IF(C652 + F651 &lt; 0, C652 + F651, 0)</f>
        <v>0</v>
      </c>
      <c r="G652" s="1">
        <f>IF(D652 + G651 &lt; 0, D652 + G651, 0)</f>
        <v>0</v>
      </c>
      <c r="H652" s="1">
        <f>IF(E652 + H651 &lt; 0, E652 + H651, 0)</f>
        <v>0</v>
      </c>
      <c r="I652" s="1">
        <f>IF(H652 &lt; 0, 1 + I651, 0)</f>
        <v>0</v>
      </c>
      <c r="J652" s="1">
        <f>C652-((ABS(SUM(PL!E652:H652)))*0.125)</f>
        <v>0</v>
      </c>
      <c r="K652" s="1">
        <f>D652-((ABS(SUM(PL!I652:L652)))*0.125)</f>
        <v>0</v>
      </c>
      <c r="L652" s="1">
        <f>J652 + K652</f>
        <v>0</v>
      </c>
      <c r="M652" s="1">
        <f>IF(J652 + M651 &lt; 0, J652 + M651, 0)</f>
        <v>0</v>
      </c>
      <c r="N652" s="1">
        <f>IF(K652 + N651 &lt; 0, K652 + N651, 0)</f>
        <v>0</v>
      </c>
      <c r="O652" s="1">
        <f>IF(L652 + O651 &lt; 0, L652 + O651, 0)</f>
        <v>0</v>
      </c>
      <c r="P652" s="1">
        <f>IF(O652 &lt; 0, 1 + P651, 0)</f>
        <v>0</v>
      </c>
      <c r="Q652" s="1">
        <f>IF(E652&lt;0,1,0)</f>
        <v>0</v>
      </c>
      <c r="R652" s="1">
        <f>IF(Q652=1,E652,0)</f>
        <v>0</v>
      </c>
      <c r="S652" s="1">
        <f>IF(E652&gt;0,1,0)</f>
        <v>0</v>
      </c>
      <c r="T652" s="1">
        <f>IF(S652=1,E652,0)</f>
        <v>0</v>
      </c>
      <c r="U652" s="1">
        <f>IF(R652&lt;-100000000/100,1,0)</f>
        <v>0</v>
      </c>
      <c r="V652" s="1">
        <f>IF(T652&gt;100000000/100,1,0)</f>
        <v>0</v>
      </c>
      <c r="W652" s="1">
        <f>IF(L652&lt;0,1,0)</f>
        <v>0</v>
      </c>
      <c r="X652" s="1">
        <f>IF(W652=1,L652,0)</f>
        <v>0</v>
      </c>
      <c r="Y652" s="1">
        <f>IF(L652&gt;0,1,0)</f>
        <v>0</v>
      </c>
      <c r="Z652" s="1">
        <f>IF(Y652=1,L652,0)</f>
        <v>0</v>
      </c>
      <c r="AA652" s="1">
        <f>IF(X652&lt;-100000000/100,1,0)</f>
        <v>0</v>
      </c>
      <c r="AB652" s="1">
        <f>IF(Z652&gt;100000000/100,1,0)</f>
        <v>0</v>
      </c>
    </row>
    <row r="653" spans="1:28" s="1" customFormat="1">
      <c r="A653" s="3">
        <v>45933</v>
      </c>
      <c r="B653" s="2" t="s">
        <v>15</v>
      </c>
      <c r="C653" s="1">
        <f>SUM(PL!E653:H653)</f>
        <v>0</v>
      </c>
      <c r="D653" s="1">
        <f>SUM(PL!I653:L653)</f>
        <v>0</v>
      </c>
      <c r="E653" s="1">
        <f>SUM(C653:D653)</f>
        <v>0</v>
      </c>
      <c r="F653" s="1">
        <f>IF(C653 + F652 &lt; 0, C653 + F652, 0)</f>
        <v>0</v>
      </c>
      <c r="G653" s="1">
        <f>IF(D653 + G652 &lt; 0, D653 + G652, 0)</f>
        <v>0</v>
      </c>
      <c r="H653" s="1">
        <f>IF(E653 + H652 &lt; 0, E653 + H652, 0)</f>
        <v>0</v>
      </c>
      <c r="I653" s="1">
        <f>IF(H653 &lt; 0, 1 + I652, 0)</f>
        <v>0</v>
      </c>
      <c r="J653" s="1">
        <f>C653-((ABS(SUM(PL!E653:H653)))*0.125)</f>
        <v>0</v>
      </c>
      <c r="K653" s="1">
        <f>D653-((ABS(SUM(PL!I653:L653)))*0.125)</f>
        <v>0</v>
      </c>
      <c r="L653" s="1">
        <f>J653 + K653</f>
        <v>0</v>
      </c>
      <c r="M653" s="1">
        <f>IF(J653 + M652 &lt; 0, J653 + M652, 0)</f>
        <v>0</v>
      </c>
      <c r="N653" s="1">
        <f>IF(K653 + N652 &lt; 0, K653 + N652, 0)</f>
        <v>0</v>
      </c>
      <c r="O653" s="1">
        <f>IF(L653 + O652 &lt; 0, L653 + O652, 0)</f>
        <v>0</v>
      </c>
      <c r="P653" s="1">
        <f>IF(O653 &lt; 0, 1 + P652, 0)</f>
        <v>0</v>
      </c>
      <c r="Q653" s="1">
        <f>IF(E653&lt;0,1,0)</f>
        <v>0</v>
      </c>
      <c r="R653" s="1">
        <f>IF(Q653=1,E653,0)</f>
        <v>0</v>
      </c>
      <c r="S653" s="1">
        <f>IF(E653&gt;0,1,0)</f>
        <v>0</v>
      </c>
      <c r="T653" s="1">
        <f>IF(S653=1,E653,0)</f>
        <v>0</v>
      </c>
      <c r="U653" s="1">
        <f>IF(R653&lt;-100000000/100,1,0)</f>
        <v>0</v>
      </c>
      <c r="V653" s="1">
        <f>IF(T653&gt;100000000/100,1,0)</f>
        <v>0</v>
      </c>
      <c r="W653" s="1">
        <f>IF(L653&lt;0,1,0)</f>
        <v>0</v>
      </c>
      <c r="X653" s="1">
        <f>IF(W653=1,L653,0)</f>
        <v>0</v>
      </c>
      <c r="Y653" s="1">
        <f>IF(L653&gt;0,1,0)</f>
        <v>0</v>
      </c>
      <c r="Z653" s="1">
        <f>IF(Y653=1,L653,0)</f>
        <v>0</v>
      </c>
      <c r="AA653" s="1">
        <f>IF(X653&lt;-100000000/100,1,0)</f>
        <v>0</v>
      </c>
      <c r="AB653" s="1">
        <f>IF(Z653&gt;100000000/100,1,0)</f>
        <v>0</v>
      </c>
    </row>
    <row r="654" spans="1:28" s="1" customFormat="1">
      <c r="A654" s="3">
        <v>45936</v>
      </c>
      <c r="B654" s="2" t="s">
        <v>12</v>
      </c>
      <c r="C654" s="1">
        <f>SUM(PL!E654:H654)</f>
        <v>0</v>
      </c>
      <c r="D654" s="1">
        <f>SUM(PL!I654:L654)</f>
        <v>0</v>
      </c>
      <c r="E654" s="1">
        <f>SUM(C654:D654)</f>
        <v>0</v>
      </c>
      <c r="F654" s="1">
        <f>IF(C654 + F653 &lt; 0, C654 + F653, 0)</f>
        <v>0</v>
      </c>
      <c r="G654" s="1">
        <f>IF(D654 + G653 &lt; 0, D654 + G653, 0)</f>
        <v>0</v>
      </c>
      <c r="H654" s="1">
        <f>IF(E654 + H653 &lt; 0, E654 + H653, 0)</f>
        <v>0</v>
      </c>
      <c r="I654" s="1">
        <f>IF(H654 &lt; 0, 1 + I653, 0)</f>
        <v>0</v>
      </c>
      <c r="J654" s="1">
        <f>C654-((ABS(SUM(PL!E654:H654)))*0.125)</f>
        <v>0</v>
      </c>
      <c r="K654" s="1">
        <f>D654-((ABS(SUM(PL!I654:L654)))*0.125)</f>
        <v>0</v>
      </c>
      <c r="L654" s="1">
        <f>J654 + K654</f>
        <v>0</v>
      </c>
      <c r="M654" s="1">
        <f>IF(J654 + M653 &lt; 0, J654 + M653, 0)</f>
        <v>0</v>
      </c>
      <c r="N654" s="1">
        <f>IF(K654 + N653 &lt; 0, K654 + N653, 0)</f>
        <v>0</v>
      </c>
      <c r="O654" s="1">
        <f>IF(L654 + O653 &lt; 0, L654 + O653, 0)</f>
        <v>0</v>
      </c>
      <c r="P654" s="1">
        <f>IF(O654 &lt; 0, 1 + P653, 0)</f>
        <v>0</v>
      </c>
      <c r="Q654" s="1">
        <f>IF(E654&lt;0,1,0)</f>
        <v>0</v>
      </c>
      <c r="R654" s="1">
        <f>IF(Q654=1,E654,0)</f>
        <v>0</v>
      </c>
      <c r="S654" s="1">
        <f>IF(E654&gt;0,1,0)</f>
        <v>0</v>
      </c>
      <c r="T654" s="1">
        <f>IF(S654=1,E654,0)</f>
        <v>0</v>
      </c>
      <c r="U654" s="1">
        <f>IF(R654&lt;-100000000/100,1,0)</f>
        <v>0</v>
      </c>
      <c r="V654" s="1">
        <f>IF(T654&gt;100000000/100,1,0)</f>
        <v>0</v>
      </c>
      <c r="W654" s="1">
        <f>IF(L654&lt;0,1,0)</f>
        <v>0</v>
      </c>
      <c r="X654" s="1">
        <f>IF(W654=1,L654,0)</f>
        <v>0</v>
      </c>
      <c r="Y654" s="1">
        <f>IF(L654&gt;0,1,0)</f>
        <v>0</v>
      </c>
      <c r="Z654" s="1">
        <f>IF(Y654=1,L654,0)</f>
        <v>0</v>
      </c>
      <c r="AA654" s="1">
        <f>IF(X654&lt;-100000000/100,1,0)</f>
        <v>0</v>
      </c>
      <c r="AB654" s="1">
        <f>IF(Z654&gt;100000000/100,1,0)</f>
        <v>0</v>
      </c>
    </row>
    <row r="655" spans="1:28" s="1" customFormat="1">
      <c r="A655" s="3">
        <v>45937</v>
      </c>
      <c r="B655" s="2" t="s">
        <v>13</v>
      </c>
      <c r="C655" s="1">
        <f>SUM(PL!E655:H655)</f>
        <v>0</v>
      </c>
      <c r="D655" s="1">
        <f>SUM(PL!I655:L655)</f>
        <v>0</v>
      </c>
      <c r="E655" s="1">
        <f>SUM(C655:D655)</f>
        <v>0</v>
      </c>
      <c r="F655" s="1">
        <f>IF(C655 + F654 &lt; 0, C655 + F654, 0)</f>
        <v>0</v>
      </c>
      <c r="G655" s="1">
        <f>IF(D655 + G654 &lt; 0, D655 + G654, 0)</f>
        <v>0</v>
      </c>
      <c r="H655" s="1">
        <f>IF(E655 + H654 &lt; 0, E655 + H654, 0)</f>
        <v>0</v>
      </c>
      <c r="I655" s="1">
        <f>IF(H655 &lt; 0, 1 + I654, 0)</f>
        <v>0</v>
      </c>
      <c r="J655" s="1">
        <f>C655-((ABS(SUM(PL!E655:H655)))*0.125)</f>
        <v>0</v>
      </c>
      <c r="K655" s="1">
        <f>D655-((ABS(SUM(PL!I655:L655)))*0.125)</f>
        <v>0</v>
      </c>
      <c r="L655" s="1">
        <f>J655 + K655</f>
        <v>0</v>
      </c>
      <c r="M655" s="1">
        <f>IF(J655 + M654 &lt; 0, J655 + M654, 0)</f>
        <v>0</v>
      </c>
      <c r="N655" s="1">
        <f>IF(K655 + N654 &lt; 0, K655 + N654, 0)</f>
        <v>0</v>
      </c>
      <c r="O655" s="1">
        <f>IF(L655 + O654 &lt; 0, L655 + O654, 0)</f>
        <v>0</v>
      </c>
      <c r="P655" s="1">
        <f>IF(O655 &lt; 0, 1 + P654, 0)</f>
        <v>0</v>
      </c>
      <c r="Q655" s="1">
        <f>IF(E655&lt;0,1,0)</f>
        <v>0</v>
      </c>
      <c r="R655" s="1">
        <f>IF(Q655=1,E655,0)</f>
        <v>0</v>
      </c>
      <c r="S655" s="1">
        <f>IF(E655&gt;0,1,0)</f>
        <v>0</v>
      </c>
      <c r="T655" s="1">
        <f>IF(S655=1,E655,0)</f>
        <v>0</v>
      </c>
      <c r="U655" s="1">
        <f>IF(R655&lt;-100000000/100,1,0)</f>
        <v>0</v>
      </c>
      <c r="V655" s="1">
        <f>IF(T655&gt;100000000/100,1,0)</f>
        <v>0</v>
      </c>
      <c r="W655" s="1">
        <f>IF(L655&lt;0,1,0)</f>
        <v>0</v>
      </c>
      <c r="X655" s="1">
        <f>IF(W655=1,L655,0)</f>
        <v>0</v>
      </c>
      <c r="Y655" s="1">
        <f>IF(L655&gt;0,1,0)</f>
        <v>0</v>
      </c>
      <c r="Z655" s="1">
        <f>IF(Y655=1,L655,0)</f>
        <v>0</v>
      </c>
      <c r="AA655" s="1">
        <f>IF(X655&lt;-100000000/100,1,0)</f>
        <v>0</v>
      </c>
      <c r="AB655" s="1">
        <f>IF(Z655&gt;100000000/100,1,0)</f>
        <v>0</v>
      </c>
    </row>
    <row r="656" spans="1:28" s="1" customFormat="1">
      <c r="A656" s="3">
        <v>45938</v>
      </c>
      <c r="B656" s="2" t="s">
        <v>14</v>
      </c>
      <c r="C656" s="1">
        <f>SUM(PL!E656:H656)</f>
        <v>0</v>
      </c>
      <c r="D656" s="1">
        <f>SUM(PL!I656:L656)</f>
        <v>0</v>
      </c>
      <c r="E656" s="1">
        <f>SUM(C656:D656)</f>
        <v>0</v>
      </c>
      <c r="F656" s="1">
        <f>IF(C656 + F655 &lt; 0, C656 + F655, 0)</f>
        <v>0</v>
      </c>
      <c r="G656" s="1">
        <f>IF(D656 + G655 &lt; 0, D656 + G655, 0)</f>
        <v>0</v>
      </c>
      <c r="H656" s="1">
        <f>IF(E656 + H655 &lt; 0, E656 + H655, 0)</f>
        <v>0</v>
      </c>
      <c r="I656" s="1">
        <f>IF(H656 &lt; 0, 1 + I655, 0)</f>
        <v>0</v>
      </c>
      <c r="J656" s="1">
        <f>C656-((ABS(SUM(PL!E656:H656)))*0.125)</f>
        <v>0</v>
      </c>
      <c r="K656" s="1">
        <f>D656-((ABS(SUM(PL!I656:L656)))*0.125)</f>
        <v>0</v>
      </c>
      <c r="L656" s="1">
        <f>J656 + K656</f>
        <v>0</v>
      </c>
      <c r="M656" s="1">
        <f>IF(J656 + M655 &lt; 0, J656 + M655, 0)</f>
        <v>0</v>
      </c>
      <c r="N656" s="1">
        <f>IF(K656 + N655 &lt; 0, K656 + N655, 0)</f>
        <v>0</v>
      </c>
      <c r="O656" s="1">
        <f>IF(L656 + O655 &lt; 0, L656 + O655, 0)</f>
        <v>0</v>
      </c>
      <c r="P656" s="1">
        <f>IF(O656 &lt; 0, 1 + P655, 0)</f>
        <v>0</v>
      </c>
      <c r="Q656" s="1">
        <f>IF(E656&lt;0,1,0)</f>
        <v>0</v>
      </c>
      <c r="R656" s="1">
        <f>IF(Q656=1,E656,0)</f>
        <v>0</v>
      </c>
      <c r="S656" s="1">
        <f>IF(E656&gt;0,1,0)</f>
        <v>0</v>
      </c>
      <c r="T656" s="1">
        <f>IF(S656=1,E656,0)</f>
        <v>0</v>
      </c>
      <c r="U656" s="1">
        <f>IF(R656&lt;-100000000/100,1,0)</f>
        <v>0</v>
      </c>
      <c r="V656" s="1">
        <f>IF(T656&gt;100000000/100,1,0)</f>
        <v>0</v>
      </c>
      <c r="W656" s="1">
        <f>IF(L656&lt;0,1,0)</f>
        <v>0</v>
      </c>
      <c r="X656" s="1">
        <f>IF(W656=1,L656,0)</f>
        <v>0</v>
      </c>
      <c r="Y656" s="1">
        <f>IF(L656&gt;0,1,0)</f>
        <v>0</v>
      </c>
      <c r="Z656" s="1">
        <f>IF(Y656=1,L656,0)</f>
        <v>0</v>
      </c>
      <c r="AA656" s="1">
        <f>IF(X656&lt;-100000000/100,1,0)</f>
        <v>0</v>
      </c>
      <c r="AB656" s="1">
        <f>IF(Z656&gt;100000000/100,1,0)</f>
        <v>0</v>
      </c>
    </row>
    <row r="657" spans="1:28" s="1" customFormat="1">
      <c r="A657" s="3">
        <v>45939</v>
      </c>
      <c r="B657" s="2" t="s">
        <v>16</v>
      </c>
      <c r="C657" s="1">
        <f>SUM(PL!E657:H657)</f>
        <v>0</v>
      </c>
      <c r="D657" s="1">
        <f>SUM(PL!I657:L657)</f>
        <v>0</v>
      </c>
      <c r="E657" s="1">
        <f>SUM(C657:D657)</f>
        <v>0</v>
      </c>
      <c r="F657" s="1">
        <f>IF(C657 + F656 &lt; 0, C657 + F656, 0)</f>
        <v>0</v>
      </c>
      <c r="G657" s="1">
        <f>IF(D657 + G656 &lt; 0, D657 + G656, 0)</f>
        <v>0</v>
      </c>
      <c r="H657" s="1">
        <f>IF(E657 + H656 &lt; 0, E657 + H656, 0)</f>
        <v>0</v>
      </c>
      <c r="I657" s="1">
        <f>IF(H657 &lt; 0, 1 + I656, 0)</f>
        <v>0</v>
      </c>
      <c r="J657" s="1">
        <f>C657-((ABS(SUM(PL!E657:H657)))*0.125)</f>
        <v>0</v>
      </c>
      <c r="K657" s="1">
        <f>D657-((ABS(SUM(PL!I657:L657)))*0.125)</f>
        <v>0</v>
      </c>
      <c r="L657" s="1">
        <f>J657 + K657</f>
        <v>0</v>
      </c>
      <c r="M657" s="1">
        <f>IF(J657 + M656 &lt; 0, J657 + M656, 0)</f>
        <v>0</v>
      </c>
      <c r="N657" s="1">
        <f>IF(K657 + N656 &lt; 0, K657 + N656, 0)</f>
        <v>0</v>
      </c>
      <c r="O657" s="1">
        <f>IF(L657 + O656 &lt; 0, L657 + O656, 0)</f>
        <v>0</v>
      </c>
      <c r="P657" s="1">
        <f>IF(O657 &lt; 0, 1 + P656, 0)</f>
        <v>0</v>
      </c>
      <c r="Q657" s="1">
        <f>IF(E657&lt;0,1,0)</f>
        <v>0</v>
      </c>
      <c r="R657" s="1">
        <f>IF(Q657=1,E657,0)</f>
        <v>0</v>
      </c>
      <c r="S657" s="1">
        <f>IF(E657&gt;0,1,0)</f>
        <v>0</v>
      </c>
      <c r="T657" s="1">
        <f>IF(S657=1,E657,0)</f>
        <v>0</v>
      </c>
      <c r="U657" s="1">
        <f>IF(R657&lt;-100000000/100,1,0)</f>
        <v>0</v>
      </c>
      <c r="V657" s="1">
        <f>IF(T657&gt;100000000/100,1,0)</f>
        <v>0</v>
      </c>
      <c r="W657" s="1">
        <f>IF(L657&lt;0,1,0)</f>
        <v>0</v>
      </c>
      <c r="X657" s="1">
        <f>IF(W657=1,L657,0)</f>
        <v>0</v>
      </c>
      <c r="Y657" s="1">
        <f>IF(L657&gt;0,1,0)</f>
        <v>0</v>
      </c>
      <c r="Z657" s="1">
        <f>IF(Y657=1,L657,0)</f>
        <v>0</v>
      </c>
      <c r="AA657" s="1">
        <f>IF(X657&lt;-100000000/100,1,0)</f>
        <v>0</v>
      </c>
      <c r="AB657" s="1">
        <f>IF(Z657&gt;100000000/100,1,0)</f>
        <v>0</v>
      </c>
    </row>
    <row r="658" spans="1:28" s="1" customFormat="1">
      <c r="A658" s="3">
        <v>45940</v>
      </c>
      <c r="B658" s="2" t="s">
        <v>15</v>
      </c>
      <c r="C658" s="1">
        <f>SUM(PL!E658:H658)</f>
        <v>0</v>
      </c>
      <c r="D658" s="1">
        <f>SUM(PL!I658:L658)</f>
        <v>0</v>
      </c>
      <c r="E658" s="1">
        <f>SUM(C658:D658)</f>
        <v>0</v>
      </c>
      <c r="F658" s="1">
        <f>IF(C658 + F657 &lt; 0, C658 + F657, 0)</f>
        <v>0</v>
      </c>
      <c r="G658" s="1">
        <f>IF(D658 + G657 &lt; 0, D658 + G657, 0)</f>
        <v>0</v>
      </c>
      <c r="H658" s="1">
        <f>IF(E658 + H657 &lt; 0, E658 + H657, 0)</f>
        <v>0</v>
      </c>
      <c r="I658" s="1">
        <f>IF(H658 &lt; 0, 1 + I657, 0)</f>
        <v>0</v>
      </c>
      <c r="J658" s="1">
        <f>C658-((ABS(SUM(PL!E658:H658)))*0.125)</f>
        <v>0</v>
      </c>
      <c r="K658" s="1">
        <f>D658-((ABS(SUM(PL!I658:L658)))*0.125)</f>
        <v>0</v>
      </c>
      <c r="L658" s="1">
        <f>J658 + K658</f>
        <v>0</v>
      </c>
      <c r="M658" s="1">
        <f>IF(J658 + M657 &lt; 0, J658 + M657, 0)</f>
        <v>0</v>
      </c>
      <c r="N658" s="1">
        <f>IF(K658 + N657 &lt; 0, K658 + N657, 0)</f>
        <v>0</v>
      </c>
      <c r="O658" s="1">
        <f>IF(L658 + O657 &lt; 0, L658 + O657, 0)</f>
        <v>0</v>
      </c>
      <c r="P658" s="1">
        <f>IF(O658 &lt; 0, 1 + P657, 0)</f>
        <v>0</v>
      </c>
      <c r="Q658" s="1">
        <f>IF(E658&lt;0,1,0)</f>
        <v>0</v>
      </c>
      <c r="R658" s="1">
        <f>IF(Q658=1,E658,0)</f>
        <v>0</v>
      </c>
      <c r="S658" s="1">
        <f>IF(E658&gt;0,1,0)</f>
        <v>0</v>
      </c>
      <c r="T658" s="1">
        <f>IF(S658=1,E658,0)</f>
        <v>0</v>
      </c>
      <c r="U658" s="1">
        <f>IF(R658&lt;-100000000/100,1,0)</f>
        <v>0</v>
      </c>
      <c r="V658" s="1">
        <f>IF(T658&gt;100000000/100,1,0)</f>
        <v>0</v>
      </c>
      <c r="W658" s="1">
        <f>IF(L658&lt;0,1,0)</f>
        <v>0</v>
      </c>
      <c r="X658" s="1">
        <f>IF(W658=1,L658,0)</f>
        <v>0</v>
      </c>
      <c r="Y658" s="1">
        <f>IF(L658&gt;0,1,0)</f>
        <v>0</v>
      </c>
      <c r="Z658" s="1">
        <f>IF(Y658=1,L658,0)</f>
        <v>0</v>
      </c>
      <c r="AA658" s="1">
        <f>IF(X658&lt;-100000000/100,1,0)</f>
        <v>0</v>
      </c>
      <c r="AB658" s="1">
        <f>IF(Z658&gt;100000000/100,1,0)</f>
        <v>0</v>
      </c>
    </row>
    <row r="659" spans="1:28" s="1" customFormat="1">
      <c r="A659" s="3">
        <v>45943</v>
      </c>
      <c r="B659" s="2" t="s">
        <v>12</v>
      </c>
      <c r="C659" s="1">
        <f>SUM(PL!E659:H659)</f>
        <v>0</v>
      </c>
      <c r="D659" s="1">
        <f>SUM(PL!I659:L659)</f>
        <v>0</v>
      </c>
      <c r="E659" s="1">
        <f>SUM(C659:D659)</f>
        <v>0</v>
      </c>
      <c r="F659" s="1">
        <f>IF(C659 + F658 &lt; 0, C659 + F658, 0)</f>
        <v>0</v>
      </c>
      <c r="G659" s="1">
        <f>IF(D659 + G658 &lt; 0, D659 + G658, 0)</f>
        <v>0</v>
      </c>
      <c r="H659" s="1">
        <f>IF(E659 + H658 &lt; 0, E659 + H658, 0)</f>
        <v>0</v>
      </c>
      <c r="I659" s="1">
        <f>IF(H659 &lt; 0, 1 + I658, 0)</f>
        <v>0</v>
      </c>
      <c r="J659" s="1">
        <f>C659-((ABS(SUM(PL!E659:H659)))*0.125)</f>
        <v>0</v>
      </c>
      <c r="K659" s="1">
        <f>D659-((ABS(SUM(PL!I659:L659)))*0.125)</f>
        <v>0</v>
      </c>
      <c r="L659" s="1">
        <f>J659 + K659</f>
        <v>0</v>
      </c>
      <c r="M659" s="1">
        <f>IF(J659 + M658 &lt; 0, J659 + M658, 0)</f>
        <v>0</v>
      </c>
      <c r="N659" s="1">
        <f>IF(K659 + N658 &lt; 0, K659 + N658, 0)</f>
        <v>0</v>
      </c>
      <c r="O659" s="1">
        <f>IF(L659 + O658 &lt; 0, L659 + O658, 0)</f>
        <v>0</v>
      </c>
      <c r="P659" s="1">
        <f>IF(O659 &lt; 0, 1 + P658, 0)</f>
        <v>0</v>
      </c>
      <c r="Q659" s="1">
        <f>IF(E659&lt;0,1,0)</f>
        <v>0</v>
      </c>
      <c r="R659" s="1">
        <f>IF(Q659=1,E659,0)</f>
        <v>0</v>
      </c>
      <c r="S659" s="1">
        <f>IF(E659&gt;0,1,0)</f>
        <v>0</v>
      </c>
      <c r="T659" s="1">
        <f>IF(S659=1,E659,0)</f>
        <v>0</v>
      </c>
      <c r="U659" s="1">
        <f>IF(R659&lt;-100000000/100,1,0)</f>
        <v>0</v>
      </c>
      <c r="V659" s="1">
        <f>IF(T659&gt;100000000/100,1,0)</f>
        <v>0</v>
      </c>
      <c r="W659" s="1">
        <f>IF(L659&lt;0,1,0)</f>
        <v>0</v>
      </c>
      <c r="X659" s="1">
        <f>IF(W659=1,L659,0)</f>
        <v>0</v>
      </c>
      <c r="Y659" s="1">
        <f>IF(L659&gt;0,1,0)</f>
        <v>0</v>
      </c>
      <c r="Z659" s="1">
        <f>IF(Y659=1,L659,0)</f>
        <v>0</v>
      </c>
      <c r="AA659" s="1">
        <f>IF(X659&lt;-100000000/100,1,0)</f>
        <v>0</v>
      </c>
      <c r="AB659" s="1">
        <f>IF(Z659&gt;100000000/100,1,0)</f>
        <v>0</v>
      </c>
    </row>
    <row r="660" spans="1:28" s="1" customFormat="1">
      <c r="A660" s="3">
        <v>45944</v>
      </c>
      <c r="B660" s="2" t="s">
        <v>13</v>
      </c>
      <c r="C660" s="1">
        <f>SUM(PL!E660:H660)</f>
        <v>0</v>
      </c>
      <c r="D660" s="1">
        <f>SUM(PL!I660:L660)</f>
        <v>0</v>
      </c>
      <c r="E660" s="1">
        <f>SUM(C660:D660)</f>
        <v>0</v>
      </c>
      <c r="F660" s="1">
        <f>IF(C660 + F659 &lt; 0, C660 + F659, 0)</f>
        <v>0</v>
      </c>
      <c r="G660" s="1">
        <f>IF(D660 + G659 &lt; 0, D660 + G659, 0)</f>
        <v>0</v>
      </c>
      <c r="H660" s="1">
        <f>IF(E660 + H659 &lt; 0, E660 + H659, 0)</f>
        <v>0</v>
      </c>
      <c r="I660" s="1">
        <f>IF(H660 &lt; 0, 1 + I659, 0)</f>
        <v>0</v>
      </c>
      <c r="J660" s="1">
        <f>C660-((ABS(SUM(PL!E660:H660)))*0.125)</f>
        <v>0</v>
      </c>
      <c r="K660" s="1">
        <f>D660-((ABS(SUM(PL!I660:L660)))*0.125)</f>
        <v>0</v>
      </c>
      <c r="L660" s="1">
        <f>J660 + K660</f>
        <v>0</v>
      </c>
      <c r="M660" s="1">
        <f>IF(J660 + M659 &lt; 0, J660 + M659, 0)</f>
        <v>0</v>
      </c>
      <c r="N660" s="1">
        <f>IF(K660 + N659 &lt; 0, K660 + N659, 0)</f>
        <v>0</v>
      </c>
      <c r="O660" s="1">
        <f>IF(L660 + O659 &lt; 0, L660 + O659, 0)</f>
        <v>0</v>
      </c>
      <c r="P660" s="1">
        <f>IF(O660 &lt; 0, 1 + P659, 0)</f>
        <v>0</v>
      </c>
      <c r="Q660" s="1">
        <f>IF(E660&lt;0,1,0)</f>
        <v>0</v>
      </c>
      <c r="R660" s="1">
        <f>IF(Q660=1,E660,0)</f>
        <v>0</v>
      </c>
      <c r="S660" s="1">
        <f>IF(E660&gt;0,1,0)</f>
        <v>0</v>
      </c>
      <c r="T660" s="1">
        <f>IF(S660=1,E660,0)</f>
        <v>0</v>
      </c>
      <c r="U660" s="1">
        <f>IF(R660&lt;-100000000/100,1,0)</f>
        <v>0</v>
      </c>
      <c r="V660" s="1">
        <f>IF(T660&gt;100000000/100,1,0)</f>
        <v>0</v>
      </c>
      <c r="W660" s="1">
        <f>IF(L660&lt;0,1,0)</f>
        <v>0</v>
      </c>
      <c r="X660" s="1">
        <f>IF(W660=1,L660,0)</f>
        <v>0</v>
      </c>
      <c r="Y660" s="1">
        <f>IF(L660&gt;0,1,0)</f>
        <v>0</v>
      </c>
      <c r="Z660" s="1">
        <f>IF(Y660=1,L660,0)</f>
        <v>0</v>
      </c>
      <c r="AA660" s="1">
        <f>IF(X660&lt;-100000000/100,1,0)</f>
        <v>0</v>
      </c>
      <c r="AB660" s="1">
        <f>IF(Z660&gt;100000000/100,1,0)</f>
        <v>0</v>
      </c>
    </row>
    <row r="661" spans="1:28" s="1" customFormat="1">
      <c r="A661" s="3">
        <v>45945</v>
      </c>
      <c r="B661" s="2" t="s">
        <v>14</v>
      </c>
      <c r="C661" s="1">
        <f>SUM(PL!E661:H661)</f>
        <v>0</v>
      </c>
      <c r="D661" s="1">
        <f>SUM(PL!I661:L661)</f>
        <v>0</v>
      </c>
      <c r="E661" s="1">
        <f>SUM(C661:D661)</f>
        <v>0</v>
      </c>
      <c r="F661" s="1">
        <f>IF(C661 + F660 &lt; 0, C661 + F660, 0)</f>
        <v>0</v>
      </c>
      <c r="G661" s="1">
        <f>IF(D661 + G660 &lt; 0, D661 + G660, 0)</f>
        <v>0</v>
      </c>
      <c r="H661" s="1">
        <f>IF(E661 + H660 &lt; 0, E661 + H660, 0)</f>
        <v>0</v>
      </c>
      <c r="I661" s="1">
        <f>IF(H661 &lt; 0, 1 + I660, 0)</f>
        <v>0</v>
      </c>
      <c r="J661" s="1">
        <f>C661-((ABS(SUM(PL!E661:H661)))*0.125)</f>
        <v>0</v>
      </c>
      <c r="K661" s="1">
        <f>D661-((ABS(SUM(PL!I661:L661)))*0.125)</f>
        <v>0</v>
      </c>
      <c r="L661" s="1">
        <f>J661 + K661</f>
        <v>0</v>
      </c>
      <c r="M661" s="1">
        <f>IF(J661 + M660 &lt; 0, J661 + M660, 0)</f>
        <v>0</v>
      </c>
      <c r="N661" s="1">
        <f>IF(K661 + N660 &lt; 0, K661 + N660, 0)</f>
        <v>0</v>
      </c>
      <c r="O661" s="1">
        <f>IF(L661 + O660 &lt; 0, L661 + O660, 0)</f>
        <v>0</v>
      </c>
      <c r="P661" s="1">
        <f>IF(O661 &lt; 0, 1 + P660, 0)</f>
        <v>0</v>
      </c>
      <c r="Q661" s="1">
        <f>IF(E661&lt;0,1,0)</f>
        <v>0</v>
      </c>
      <c r="R661" s="1">
        <f>IF(Q661=1,E661,0)</f>
        <v>0</v>
      </c>
      <c r="S661" s="1">
        <f>IF(E661&gt;0,1,0)</f>
        <v>0</v>
      </c>
      <c r="T661" s="1">
        <f>IF(S661=1,E661,0)</f>
        <v>0</v>
      </c>
      <c r="U661" s="1">
        <f>IF(R661&lt;-100000000/100,1,0)</f>
        <v>0</v>
      </c>
      <c r="V661" s="1">
        <f>IF(T661&gt;100000000/100,1,0)</f>
        <v>0</v>
      </c>
      <c r="W661" s="1">
        <f>IF(L661&lt;0,1,0)</f>
        <v>0</v>
      </c>
      <c r="X661" s="1">
        <f>IF(W661=1,L661,0)</f>
        <v>0</v>
      </c>
      <c r="Y661" s="1">
        <f>IF(L661&gt;0,1,0)</f>
        <v>0</v>
      </c>
      <c r="Z661" s="1">
        <f>IF(Y661=1,L661,0)</f>
        <v>0</v>
      </c>
      <c r="AA661" s="1">
        <f>IF(X661&lt;-100000000/100,1,0)</f>
        <v>0</v>
      </c>
      <c r="AB661" s="1">
        <f>IF(Z661&gt;100000000/100,1,0)</f>
        <v>0</v>
      </c>
    </row>
    <row r="662" spans="1:28" s="1" customFormat="1">
      <c r="A662" s="3">
        <v>45946</v>
      </c>
      <c r="B662" s="2" t="s">
        <v>16</v>
      </c>
      <c r="C662" s="1">
        <f>SUM(PL!E662:H662)</f>
        <v>0</v>
      </c>
      <c r="D662" s="1">
        <f>SUM(PL!I662:L662)</f>
        <v>0</v>
      </c>
      <c r="E662" s="1">
        <f>SUM(C662:D662)</f>
        <v>0</v>
      </c>
      <c r="F662" s="1">
        <f>IF(C662 + F661 &lt; 0, C662 + F661, 0)</f>
        <v>0</v>
      </c>
      <c r="G662" s="1">
        <f>IF(D662 + G661 &lt; 0, D662 + G661, 0)</f>
        <v>0</v>
      </c>
      <c r="H662" s="1">
        <f>IF(E662 + H661 &lt; 0, E662 + H661, 0)</f>
        <v>0</v>
      </c>
      <c r="I662" s="1">
        <f>IF(H662 &lt; 0, 1 + I661, 0)</f>
        <v>0</v>
      </c>
      <c r="J662" s="1">
        <f>C662-((ABS(SUM(PL!E662:H662)))*0.125)</f>
        <v>0</v>
      </c>
      <c r="K662" s="1">
        <f>D662-((ABS(SUM(PL!I662:L662)))*0.125)</f>
        <v>0</v>
      </c>
      <c r="L662" s="1">
        <f>J662 + K662</f>
        <v>0</v>
      </c>
      <c r="M662" s="1">
        <f>IF(J662 + M661 &lt; 0, J662 + M661, 0)</f>
        <v>0</v>
      </c>
      <c r="N662" s="1">
        <f>IF(K662 + N661 &lt; 0, K662 + N661, 0)</f>
        <v>0</v>
      </c>
      <c r="O662" s="1">
        <f>IF(L662 + O661 &lt; 0, L662 + O661, 0)</f>
        <v>0</v>
      </c>
      <c r="P662" s="1">
        <f>IF(O662 &lt; 0, 1 + P661, 0)</f>
        <v>0</v>
      </c>
      <c r="Q662" s="1">
        <f>IF(E662&lt;0,1,0)</f>
        <v>0</v>
      </c>
      <c r="R662" s="1">
        <f>IF(Q662=1,E662,0)</f>
        <v>0</v>
      </c>
      <c r="S662" s="1">
        <f>IF(E662&gt;0,1,0)</f>
        <v>0</v>
      </c>
      <c r="T662" s="1">
        <f>IF(S662=1,E662,0)</f>
        <v>0</v>
      </c>
      <c r="U662" s="1">
        <f>IF(R662&lt;-100000000/100,1,0)</f>
        <v>0</v>
      </c>
      <c r="V662" s="1">
        <f>IF(T662&gt;100000000/100,1,0)</f>
        <v>0</v>
      </c>
      <c r="W662" s="1">
        <f>IF(L662&lt;0,1,0)</f>
        <v>0</v>
      </c>
      <c r="X662" s="1">
        <f>IF(W662=1,L662,0)</f>
        <v>0</v>
      </c>
      <c r="Y662" s="1">
        <f>IF(L662&gt;0,1,0)</f>
        <v>0</v>
      </c>
      <c r="Z662" s="1">
        <f>IF(Y662=1,L662,0)</f>
        <v>0</v>
      </c>
      <c r="AA662" s="1">
        <f>IF(X662&lt;-100000000/100,1,0)</f>
        <v>0</v>
      </c>
      <c r="AB662" s="1">
        <f>IF(Z662&gt;100000000/100,1,0)</f>
        <v>0</v>
      </c>
    </row>
    <row r="663" spans="1:28" s="1" customFormat="1">
      <c r="A663" s="3">
        <v>45947</v>
      </c>
      <c r="B663" s="2" t="s">
        <v>15</v>
      </c>
      <c r="C663" s="1">
        <f>SUM(PL!E663:H663)</f>
        <v>0</v>
      </c>
      <c r="D663" s="1">
        <f>SUM(PL!I663:L663)</f>
        <v>0</v>
      </c>
      <c r="E663" s="1">
        <f>SUM(C663:D663)</f>
        <v>0</v>
      </c>
      <c r="F663" s="1">
        <f>IF(C663 + F662 &lt; 0, C663 + F662, 0)</f>
        <v>0</v>
      </c>
      <c r="G663" s="1">
        <f>IF(D663 + G662 &lt; 0, D663 + G662, 0)</f>
        <v>0</v>
      </c>
      <c r="H663" s="1">
        <f>IF(E663 + H662 &lt; 0, E663 + H662, 0)</f>
        <v>0</v>
      </c>
      <c r="I663" s="1">
        <f>IF(H663 &lt; 0, 1 + I662, 0)</f>
        <v>0</v>
      </c>
      <c r="J663" s="1">
        <f>C663-((ABS(SUM(PL!E663:H663)))*0.125)</f>
        <v>0</v>
      </c>
      <c r="K663" s="1">
        <f>D663-((ABS(SUM(PL!I663:L663)))*0.125)</f>
        <v>0</v>
      </c>
      <c r="L663" s="1">
        <f>J663 + K663</f>
        <v>0</v>
      </c>
      <c r="M663" s="1">
        <f>IF(J663 + M662 &lt; 0, J663 + M662, 0)</f>
        <v>0</v>
      </c>
      <c r="N663" s="1">
        <f>IF(K663 + N662 &lt; 0, K663 + N662, 0)</f>
        <v>0</v>
      </c>
      <c r="O663" s="1">
        <f>IF(L663 + O662 &lt; 0, L663 + O662, 0)</f>
        <v>0</v>
      </c>
      <c r="P663" s="1">
        <f>IF(O663 &lt; 0, 1 + P662, 0)</f>
        <v>0</v>
      </c>
      <c r="Q663" s="1">
        <f>IF(E663&lt;0,1,0)</f>
        <v>0</v>
      </c>
      <c r="R663" s="1">
        <f>IF(Q663=1,E663,0)</f>
        <v>0</v>
      </c>
      <c r="S663" s="1">
        <f>IF(E663&gt;0,1,0)</f>
        <v>0</v>
      </c>
      <c r="T663" s="1">
        <f>IF(S663=1,E663,0)</f>
        <v>0</v>
      </c>
      <c r="U663" s="1">
        <f>IF(R663&lt;-100000000/100,1,0)</f>
        <v>0</v>
      </c>
      <c r="V663" s="1">
        <f>IF(T663&gt;100000000/100,1,0)</f>
        <v>0</v>
      </c>
      <c r="W663" s="1">
        <f>IF(L663&lt;0,1,0)</f>
        <v>0</v>
      </c>
      <c r="X663" s="1">
        <f>IF(W663=1,L663,0)</f>
        <v>0</v>
      </c>
      <c r="Y663" s="1">
        <f>IF(L663&gt;0,1,0)</f>
        <v>0</v>
      </c>
      <c r="Z663" s="1">
        <f>IF(Y663=1,L663,0)</f>
        <v>0</v>
      </c>
      <c r="AA663" s="1">
        <f>IF(X663&lt;-100000000/100,1,0)</f>
        <v>0</v>
      </c>
      <c r="AB663" s="1">
        <f>IF(Z663&gt;100000000/100,1,0)</f>
        <v>0</v>
      </c>
    </row>
    <row r="664" spans="1:28" s="1" customFormat="1">
      <c r="A664" s="3">
        <v>45950</v>
      </c>
      <c r="B664" s="2" t="s">
        <v>12</v>
      </c>
      <c r="C664" s="1">
        <f>SUM(PL!E664:H664)</f>
        <v>0</v>
      </c>
      <c r="D664" s="1">
        <f>SUM(PL!I664:L664)</f>
        <v>0</v>
      </c>
      <c r="E664" s="1">
        <f>SUM(C664:D664)</f>
        <v>0</v>
      </c>
      <c r="F664" s="1">
        <f>IF(C664 + F663 &lt; 0, C664 + F663, 0)</f>
        <v>0</v>
      </c>
      <c r="G664" s="1">
        <f>IF(D664 + G663 &lt; 0, D664 + G663, 0)</f>
        <v>0</v>
      </c>
      <c r="H664" s="1">
        <f>IF(E664 + H663 &lt; 0, E664 + H663, 0)</f>
        <v>0</v>
      </c>
      <c r="I664" s="1">
        <f>IF(H664 &lt; 0, 1 + I663, 0)</f>
        <v>0</v>
      </c>
      <c r="J664" s="1">
        <f>C664-((ABS(SUM(PL!E664:H664)))*0.125)</f>
        <v>0</v>
      </c>
      <c r="K664" s="1">
        <f>D664-((ABS(SUM(PL!I664:L664)))*0.125)</f>
        <v>0</v>
      </c>
      <c r="L664" s="1">
        <f>J664 + K664</f>
        <v>0</v>
      </c>
      <c r="M664" s="1">
        <f>IF(J664 + M663 &lt; 0, J664 + M663, 0)</f>
        <v>0</v>
      </c>
      <c r="N664" s="1">
        <f>IF(K664 + N663 &lt; 0, K664 + N663, 0)</f>
        <v>0</v>
      </c>
      <c r="O664" s="1">
        <f>IF(L664 + O663 &lt; 0, L664 + O663, 0)</f>
        <v>0</v>
      </c>
      <c r="P664" s="1">
        <f>IF(O664 &lt; 0, 1 + P663, 0)</f>
        <v>0</v>
      </c>
      <c r="Q664" s="1">
        <f>IF(E664&lt;0,1,0)</f>
        <v>0</v>
      </c>
      <c r="R664" s="1">
        <f>IF(Q664=1,E664,0)</f>
        <v>0</v>
      </c>
      <c r="S664" s="1">
        <f>IF(E664&gt;0,1,0)</f>
        <v>0</v>
      </c>
      <c r="T664" s="1">
        <f>IF(S664=1,E664,0)</f>
        <v>0</v>
      </c>
      <c r="U664" s="1">
        <f>IF(R664&lt;-100000000/100,1,0)</f>
        <v>0</v>
      </c>
      <c r="V664" s="1">
        <f>IF(T664&gt;100000000/100,1,0)</f>
        <v>0</v>
      </c>
      <c r="W664" s="1">
        <f>IF(L664&lt;0,1,0)</f>
        <v>0</v>
      </c>
      <c r="X664" s="1">
        <f>IF(W664=1,L664,0)</f>
        <v>0</v>
      </c>
      <c r="Y664" s="1">
        <f>IF(L664&gt;0,1,0)</f>
        <v>0</v>
      </c>
      <c r="Z664" s="1">
        <f>IF(Y664=1,L664,0)</f>
        <v>0</v>
      </c>
      <c r="AA664" s="1">
        <f>IF(X664&lt;-100000000/100,1,0)</f>
        <v>0</v>
      </c>
      <c r="AB664" s="1">
        <f>IF(Z664&gt;100000000/100,1,0)</f>
        <v>0</v>
      </c>
    </row>
    <row r="665" spans="1:28" s="1" customFormat="1">
      <c r="A665" s="3">
        <v>45952</v>
      </c>
      <c r="B665" s="2" t="s">
        <v>14</v>
      </c>
      <c r="C665" s="1">
        <f>SUM(PL!E665:H665)</f>
        <v>0</v>
      </c>
      <c r="D665" s="1">
        <f>SUM(PL!I665:L665)</f>
        <v>0</v>
      </c>
      <c r="E665" s="1">
        <f>SUM(C665:D665)</f>
        <v>0</v>
      </c>
      <c r="F665" s="1">
        <f>IF(C665 + F664 &lt; 0, C665 + F664, 0)</f>
        <v>0</v>
      </c>
      <c r="G665" s="1">
        <f>IF(D665 + G664 &lt; 0, D665 + G664, 0)</f>
        <v>0</v>
      </c>
      <c r="H665" s="1">
        <f>IF(E665 + H664 &lt; 0, E665 + H664, 0)</f>
        <v>0</v>
      </c>
      <c r="I665" s="1">
        <f>IF(H665 &lt; 0, 1 + I664, 0)</f>
        <v>0</v>
      </c>
      <c r="J665" s="1">
        <f>C665-((ABS(SUM(PL!E665:H665)))*0.125)</f>
        <v>0</v>
      </c>
      <c r="K665" s="1">
        <f>D665-((ABS(SUM(PL!I665:L665)))*0.125)</f>
        <v>0</v>
      </c>
      <c r="L665" s="1">
        <f>J665 + K665</f>
        <v>0</v>
      </c>
      <c r="M665" s="1">
        <f>IF(J665 + M664 &lt; 0, J665 + M664, 0)</f>
        <v>0</v>
      </c>
      <c r="N665" s="1">
        <f>IF(K665 + N664 &lt; 0, K665 + N664, 0)</f>
        <v>0</v>
      </c>
      <c r="O665" s="1">
        <f>IF(L665 + O664 &lt; 0, L665 + O664, 0)</f>
        <v>0</v>
      </c>
      <c r="P665" s="1">
        <f>IF(O665 &lt; 0, 1 + P664, 0)</f>
        <v>0</v>
      </c>
      <c r="Q665" s="1">
        <f>IF(E665&lt;0,1,0)</f>
        <v>0</v>
      </c>
      <c r="R665" s="1">
        <f>IF(Q665=1,E665,0)</f>
        <v>0</v>
      </c>
      <c r="S665" s="1">
        <f>IF(E665&gt;0,1,0)</f>
        <v>0</v>
      </c>
      <c r="T665" s="1">
        <f>IF(S665=1,E665,0)</f>
        <v>0</v>
      </c>
      <c r="U665" s="1">
        <f>IF(R665&lt;-100000000/100,1,0)</f>
        <v>0</v>
      </c>
      <c r="V665" s="1">
        <f>IF(T665&gt;100000000/100,1,0)</f>
        <v>0</v>
      </c>
      <c r="W665" s="1">
        <f>IF(L665&lt;0,1,0)</f>
        <v>0</v>
      </c>
      <c r="X665" s="1">
        <f>IF(W665=1,L665,0)</f>
        <v>0</v>
      </c>
      <c r="Y665" s="1">
        <f>IF(L665&gt;0,1,0)</f>
        <v>0</v>
      </c>
      <c r="Z665" s="1">
        <f>IF(Y665=1,L665,0)</f>
        <v>0</v>
      </c>
      <c r="AA665" s="1">
        <f>IF(X665&lt;-100000000/100,1,0)</f>
        <v>0</v>
      </c>
      <c r="AB665" s="1">
        <f>IF(Z665&gt;100000000/100,1,0)</f>
        <v>0</v>
      </c>
    </row>
    <row r="666" spans="1:28" s="1" customFormat="1">
      <c r="A666" s="3">
        <v>45953</v>
      </c>
      <c r="B666" s="2" t="s">
        <v>16</v>
      </c>
      <c r="C666" s="1">
        <f>SUM(PL!E666:H666)</f>
        <v>0</v>
      </c>
      <c r="D666" s="1">
        <f>SUM(PL!I666:L666)</f>
        <v>0</v>
      </c>
      <c r="E666" s="1">
        <f>SUM(C666:D666)</f>
        <v>0</v>
      </c>
      <c r="F666" s="1">
        <f>IF(C666 + F665 &lt; 0, C666 + F665, 0)</f>
        <v>0</v>
      </c>
      <c r="G666" s="1">
        <f>IF(D666 + G665 &lt; 0, D666 + G665, 0)</f>
        <v>0</v>
      </c>
      <c r="H666" s="1">
        <f>IF(E666 + H665 &lt; 0, E666 + H665, 0)</f>
        <v>0</v>
      </c>
      <c r="I666" s="1">
        <f>IF(H666 &lt; 0, 1 + I665, 0)</f>
        <v>0</v>
      </c>
      <c r="J666" s="1">
        <f>C666-((ABS(SUM(PL!E666:H666)))*0.125)</f>
        <v>0</v>
      </c>
      <c r="K666" s="1">
        <f>D666-((ABS(SUM(PL!I666:L666)))*0.125)</f>
        <v>0</v>
      </c>
      <c r="L666" s="1">
        <f>J666 + K666</f>
        <v>0</v>
      </c>
      <c r="M666" s="1">
        <f>IF(J666 + M665 &lt; 0, J666 + M665, 0)</f>
        <v>0</v>
      </c>
      <c r="N666" s="1">
        <f>IF(K666 + N665 &lt; 0, K666 + N665, 0)</f>
        <v>0</v>
      </c>
      <c r="O666" s="1">
        <f>IF(L666 + O665 &lt; 0, L666 + O665, 0)</f>
        <v>0</v>
      </c>
      <c r="P666" s="1">
        <f>IF(O666 &lt; 0, 1 + P665, 0)</f>
        <v>0</v>
      </c>
      <c r="Q666" s="1">
        <f>IF(E666&lt;0,1,0)</f>
        <v>0</v>
      </c>
      <c r="R666" s="1">
        <f>IF(Q666=1,E666,0)</f>
        <v>0</v>
      </c>
      <c r="S666" s="1">
        <f>IF(E666&gt;0,1,0)</f>
        <v>0</v>
      </c>
      <c r="T666" s="1">
        <f>IF(S666=1,E666,0)</f>
        <v>0</v>
      </c>
      <c r="U666" s="1">
        <f>IF(R666&lt;-100000000/100,1,0)</f>
        <v>0</v>
      </c>
      <c r="V666" s="1">
        <f>IF(T666&gt;100000000/100,1,0)</f>
        <v>0</v>
      </c>
      <c r="W666" s="1">
        <f>IF(L666&lt;0,1,0)</f>
        <v>0</v>
      </c>
      <c r="X666" s="1">
        <f>IF(W666=1,L666,0)</f>
        <v>0</v>
      </c>
      <c r="Y666" s="1">
        <f>IF(L666&gt;0,1,0)</f>
        <v>0</v>
      </c>
      <c r="Z666" s="1">
        <f>IF(Y666=1,L666,0)</f>
        <v>0</v>
      </c>
      <c r="AA666" s="1">
        <f>IF(X666&lt;-100000000/100,1,0)</f>
        <v>0</v>
      </c>
      <c r="AB666" s="1">
        <f>IF(Z666&gt;100000000/100,1,0)</f>
        <v>0</v>
      </c>
    </row>
    <row r="667" spans="1:28" s="1" customFormat="1">
      <c r="A667" s="3">
        <v>45954</v>
      </c>
      <c r="B667" s="2" t="s">
        <v>15</v>
      </c>
      <c r="C667" s="1">
        <f>SUM(PL!E667:H667)</f>
        <v>0</v>
      </c>
      <c r="D667" s="1">
        <f>SUM(PL!I667:L667)</f>
        <v>0</v>
      </c>
      <c r="E667" s="1">
        <f>SUM(C667:D667)</f>
        <v>0</v>
      </c>
      <c r="F667" s="1">
        <f>IF(C667 + F666 &lt; 0, C667 + F666, 0)</f>
        <v>0</v>
      </c>
      <c r="G667" s="1">
        <f>IF(D667 + G666 &lt; 0, D667 + G666, 0)</f>
        <v>0</v>
      </c>
      <c r="H667" s="1">
        <f>IF(E667 + H666 &lt; 0, E667 + H666, 0)</f>
        <v>0</v>
      </c>
      <c r="I667" s="1">
        <f>IF(H667 &lt; 0, 1 + I666, 0)</f>
        <v>0</v>
      </c>
      <c r="J667" s="1">
        <f>C667-((ABS(SUM(PL!E667:H667)))*0.125)</f>
        <v>0</v>
      </c>
      <c r="K667" s="1">
        <f>D667-((ABS(SUM(PL!I667:L667)))*0.125)</f>
        <v>0</v>
      </c>
      <c r="L667" s="1">
        <f>J667 + K667</f>
        <v>0</v>
      </c>
      <c r="M667" s="1">
        <f>IF(J667 + M666 &lt; 0, J667 + M666, 0)</f>
        <v>0</v>
      </c>
      <c r="N667" s="1">
        <f>IF(K667 + N666 &lt; 0, K667 + N666, 0)</f>
        <v>0</v>
      </c>
      <c r="O667" s="1">
        <f>IF(L667 + O666 &lt; 0, L667 + O666, 0)</f>
        <v>0</v>
      </c>
      <c r="P667" s="1">
        <f>IF(O667 &lt; 0, 1 + P666, 0)</f>
        <v>0</v>
      </c>
      <c r="Q667" s="1">
        <f>IF(E667&lt;0,1,0)</f>
        <v>0</v>
      </c>
      <c r="R667" s="1">
        <f>IF(Q667=1,E667,0)</f>
        <v>0</v>
      </c>
      <c r="S667" s="1">
        <f>IF(E667&gt;0,1,0)</f>
        <v>0</v>
      </c>
      <c r="T667" s="1">
        <f>IF(S667=1,E667,0)</f>
        <v>0</v>
      </c>
      <c r="U667" s="1">
        <f>IF(R667&lt;-100000000/100,1,0)</f>
        <v>0</v>
      </c>
      <c r="V667" s="1">
        <f>IF(T667&gt;100000000/100,1,0)</f>
        <v>0</v>
      </c>
      <c r="W667" s="1">
        <f>IF(L667&lt;0,1,0)</f>
        <v>0</v>
      </c>
      <c r="X667" s="1">
        <f>IF(W667=1,L667,0)</f>
        <v>0</v>
      </c>
      <c r="Y667" s="1">
        <f>IF(L667&gt;0,1,0)</f>
        <v>0</v>
      </c>
      <c r="Z667" s="1">
        <f>IF(Y667=1,L667,0)</f>
        <v>0</v>
      </c>
      <c r="AA667" s="1">
        <f>IF(X667&lt;-100000000/100,1,0)</f>
        <v>0</v>
      </c>
      <c r="AB667" s="1">
        <f>IF(Z667&gt;100000000/100,1,0)</f>
        <v>0</v>
      </c>
    </row>
    <row r="668" spans="1:28" s="1" customFormat="1">
      <c r="A668" s="3">
        <v>45957</v>
      </c>
      <c r="B668" s="2" t="s">
        <v>12</v>
      </c>
      <c r="C668" s="1">
        <f>SUM(PL!E668:H668)</f>
        <v>0</v>
      </c>
      <c r="D668" s="1">
        <f>SUM(PL!I668:L668)</f>
        <v>0</v>
      </c>
      <c r="E668" s="1">
        <f>SUM(C668:D668)</f>
        <v>0</v>
      </c>
      <c r="F668" s="1">
        <f>IF(C668 + F667 &lt; 0, C668 + F667, 0)</f>
        <v>0</v>
      </c>
      <c r="G668" s="1">
        <f>IF(D668 + G667 &lt; 0, D668 + G667, 0)</f>
        <v>0</v>
      </c>
      <c r="H668" s="1">
        <f>IF(E668 + H667 &lt; 0, E668 + H667, 0)</f>
        <v>0</v>
      </c>
      <c r="I668" s="1">
        <f>IF(H668 &lt; 0, 1 + I667, 0)</f>
        <v>0</v>
      </c>
      <c r="J668" s="1">
        <f>C668-((ABS(SUM(PL!E668:H668)))*0.125)</f>
        <v>0</v>
      </c>
      <c r="K668" s="1">
        <f>D668-((ABS(SUM(PL!I668:L668)))*0.125)</f>
        <v>0</v>
      </c>
      <c r="L668" s="1">
        <f>J668 + K668</f>
        <v>0</v>
      </c>
      <c r="M668" s="1">
        <f>IF(J668 + M667 &lt; 0, J668 + M667, 0)</f>
        <v>0</v>
      </c>
      <c r="N668" s="1">
        <f>IF(K668 + N667 &lt; 0, K668 + N667, 0)</f>
        <v>0</v>
      </c>
      <c r="O668" s="1">
        <f>IF(L668 + O667 &lt; 0, L668 + O667, 0)</f>
        <v>0</v>
      </c>
      <c r="P668" s="1">
        <f>IF(O668 &lt; 0, 1 + P667, 0)</f>
        <v>0</v>
      </c>
      <c r="Q668" s="1">
        <f>IF(E668&lt;0,1,0)</f>
        <v>0</v>
      </c>
      <c r="R668" s="1">
        <f>IF(Q668=1,E668,0)</f>
        <v>0</v>
      </c>
      <c r="S668" s="1">
        <f>IF(E668&gt;0,1,0)</f>
        <v>0</v>
      </c>
      <c r="T668" s="1">
        <f>IF(S668=1,E668,0)</f>
        <v>0</v>
      </c>
      <c r="U668" s="1">
        <f>IF(R668&lt;-100000000/100,1,0)</f>
        <v>0</v>
      </c>
      <c r="V668" s="1">
        <f>IF(T668&gt;100000000/100,1,0)</f>
        <v>0</v>
      </c>
      <c r="W668" s="1">
        <f>IF(L668&lt;0,1,0)</f>
        <v>0</v>
      </c>
      <c r="X668" s="1">
        <f>IF(W668=1,L668,0)</f>
        <v>0</v>
      </c>
      <c r="Y668" s="1">
        <f>IF(L668&gt;0,1,0)</f>
        <v>0</v>
      </c>
      <c r="Z668" s="1">
        <f>IF(Y668=1,L668,0)</f>
        <v>0</v>
      </c>
      <c r="AA668" s="1">
        <f>IF(X668&lt;-100000000/100,1,0)</f>
        <v>0</v>
      </c>
      <c r="AB668" s="1">
        <f>IF(Z668&gt;100000000/100,1,0)</f>
        <v>0</v>
      </c>
    </row>
    <row r="669" spans="1:28" s="1" customFormat="1">
      <c r="A669" s="3">
        <v>45958</v>
      </c>
      <c r="B669" s="2" t="s">
        <v>13</v>
      </c>
      <c r="C669" s="1">
        <f>SUM(PL!E669:H669)</f>
        <v>0</v>
      </c>
      <c r="D669" s="1">
        <f>SUM(PL!I669:L669)</f>
        <v>0</v>
      </c>
      <c r="E669" s="1">
        <f>SUM(C669:D669)</f>
        <v>0</v>
      </c>
      <c r="F669" s="1">
        <f>IF(C669 + F668 &lt; 0, C669 + F668, 0)</f>
        <v>0</v>
      </c>
      <c r="G669" s="1">
        <f>IF(D669 + G668 &lt; 0, D669 + G668, 0)</f>
        <v>0</v>
      </c>
      <c r="H669" s="1">
        <f>IF(E669 + H668 &lt; 0, E669 + H668, 0)</f>
        <v>0</v>
      </c>
      <c r="I669" s="1">
        <f>IF(H669 &lt; 0, 1 + I668, 0)</f>
        <v>0</v>
      </c>
      <c r="J669" s="1">
        <f>C669-((ABS(SUM(PL!E669:H669)))*0.125)</f>
        <v>0</v>
      </c>
      <c r="K669" s="1">
        <f>D669-((ABS(SUM(PL!I669:L669)))*0.125)</f>
        <v>0</v>
      </c>
      <c r="L669" s="1">
        <f>J669 + K669</f>
        <v>0</v>
      </c>
      <c r="M669" s="1">
        <f>IF(J669 + M668 &lt; 0, J669 + M668, 0)</f>
        <v>0</v>
      </c>
      <c r="N669" s="1">
        <f>IF(K669 + N668 &lt; 0, K669 + N668, 0)</f>
        <v>0</v>
      </c>
      <c r="O669" s="1">
        <f>IF(L669 + O668 &lt; 0, L669 + O668, 0)</f>
        <v>0</v>
      </c>
      <c r="P669" s="1">
        <f>IF(O669 &lt; 0, 1 + P668, 0)</f>
        <v>0</v>
      </c>
      <c r="Q669" s="1">
        <f>IF(E669&lt;0,1,0)</f>
        <v>0</v>
      </c>
      <c r="R669" s="1">
        <f>IF(Q669=1,E669,0)</f>
        <v>0</v>
      </c>
      <c r="S669" s="1">
        <f>IF(E669&gt;0,1,0)</f>
        <v>0</v>
      </c>
      <c r="T669" s="1">
        <f>IF(S669=1,E669,0)</f>
        <v>0</v>
      </c>
      <c r="U669" s="1">
        <f>IF(R669&lt;-100000000/100,1,0)</f>
        <v>0</v>
      </c>
      <c r="V669" s="1">
        <f>IF(T669&gt;100000000/100,1,0)</f>
        <v>0</v>
      </c>
      <c r="W669" s="1">
        <f>IF(L669&lt;0,1,0)</f>
        <v>0</v>
      </c>
      <c r="X669" s="1">
        <f>IF(W669=1,L669,0)</f>
        <v>0</v>
      </c>
      <c r="Y669" s="1">
        <f>IF(L669&gt;0,1,0)</f>
        <v>0</v>
      </c>
      <c r="Z669" s="1">
        <f>IF(Y669=1,L669,0)</f>
        <v>0</v>
      </c>
      <c r="AA669" s="1">
        <f>IF(X669&lt;-100000000/100,1,0)</f>
        <v>0</v>
      </c>
      <c r="AB669" s="1">
        <f>IF(Z669&gt;100000000/100,1,0)</f>
        <v>0</v>
      </c>
    </row>
    <row r="670" spans="1:28" s="1" customFormat="1">
      <c r="A670" s="3">
        <v>45959</v>
      </c>
      <c r="B670" s="2" t="s">
        <v>14</v>
      </c>
      <c r="C670" s="1">
        <f>SUM(PL!E670:H670)</f>
        <v>0</v>
      </c>
      <c r="D670" s="1">
        <f>SUM(PL!I670:L670)</f>
        <v>0</v>
      </c>
      <c r="E670" s="1">
        <f>SUM(C670:D670)</f>
        <v>0</v>
      </c>
      <c r="F670" s="1">
        <f>IF(C670 + F669 &lt; 0, C670 + F669, 0)</f>
        <v>0</v>
      </c>
      <c r="G670" s="1">
        <f>IF(D670 + G669 &lt; 0, D670 + G669, 0)</f>
        <v>0</v>
      </c>
      <c r="H670" s="1">
        <f>IF(E670 + H669 &lt; 0, E670 + H669, 0)</f>
        <v>0</v>
      </c>
      <c r="I670" s="1">
        <f>IF(H670 &lt; 0, 1 + I669, 0)</f>
        <v>0</v>
      </c>
      <c r="J670" s="1">
        <f>C670-((ABS(SUM(PL!E670:H670)))*0.125)</f>
        <v>0</v>
      </c>
      <c r="K670" s="1">
        <f>D670-((ABS(SUM(PL!I670:L670)))*0.125)</f>
        <v>0</v>
      </c>
      <c r="L670" s="1">
        <f>J670 + K670</f>
        <v>0</v>
      </c>
      <c r="M670" s="1">
        <f>IF(J670 + M669 &lt; 0, J670 + M669, 0)</f>
        <v>0</v>
      </c>
      <c r="N670" s="1">
        <f>IF(K670 + N669 &lt; 0, K670 + N669, 0)</f>
        <v>0</v>
      </c>
      <c r="O670" s="1">
        <f>IF(L670 + O669 &lt; 0, L670 + O669, 0)</f>
        <v>0</v>
      </c>
      <c r="P670" s="1">
        <f>IF(O670 &lt; 0, 1 + P669, 0)</f>
        <v>0</v>
      </c>
      <c r="Q670" s="1">
        <f>IF(E670&lt;0,1,0)</f>
        <v>0</v>
      </c>
      <c r="R670" s="1">
        <f>IF(Q670=1,E670,0)</f>
        <v>0</v>
      </c>
      <c r="S670" s="1">
        <f>IF(E670&gt;0,1,0)</f>
        <v>0</v>
      </c>
      <c r="T670" s="1">
        <f>IF(S670=1,E670,0)</f>
        <v>0</v>
      </c>
      <c r="U670" s="1">
        <f>IF(R670&lt;-100000000/100,1,0)</f>
        <v>0</v>
      </c>
      <c r="V670" s="1">
        <f>IF(T670&gt;100000000/100,1,0)</f>
        <v>0</v>
      </c>
      <c r="W670" s="1">
        <f>IF(L670&lt;0,1,0)</f>
        <v>0</v>
      </c>
      <c r="X670" s="1">
        <f>IF(W670=1,L670,0)</f>
        <v>0</v>
      </c>
      <c r="Y670" s="1">
        <f>IF(L670&gt;0,1,0)</f>
        <v>0</v>
      </c>
      <c r="Z670" s="1">
        <f>IF(Y670=1,L670,0)</f>
        <v>0</v>
      </c>
      <c r="AA670" s="1">
        <f>IF(X670&lt;-100000000/100,1,0)</f>
        <v>0</v>
      </c>
      <c r="AB670" s="1">
        <f>IF(Z670&gt;100000000/100,1,0)</f>
        <v>0</v>
      </c>
    </row>
    <row r="671" spans="1:28" s="1" customFormat="1">
      <c r="A671" s="3">
        <v>45960</v>
      </c>
      <c r="B671" s="2" t="s">
        <v>16</v>
      </c>
      <c r="C671" s="1">
        <f>SUM(PL!E671:H671)</f>
        <v>0</v>
      </c>
      <c r="D671" s="1">
        <f>SUM(PL!I671:L671)</f>
        <v>0</v>
      </c>
      <c r="E671" s="1">
        <f>SUM(C671:D671)</f>
        <v>0</v>
      </c>
      <c r="F671" s="1">
        <f>IF(C671 + F670 &lt; 0, C671 + F670, 0)</f>
        <v>0</v>
      </c>
      <c r="G671" s="1">
        <f>IF(D671 + G670 &lt; 0, D671 + G670, 0)</f>
        <v>0</v>
      </c>
      <c r="H671" s="1">
        <f>IF(E671 + H670 &lt; 0, E671 + H670, 0)</f>
        <v>0</v>
      </c>
      <c r="I671" s="1">
        <f>IF(H671 &lt; 0, 1 + I670, 0)</f>
        <v>0</v>
      </c>
      <c r="J671" s="1">
        <f>C671-((ABS(SUM(PL!E671:H671)))*0.125)</f>
        <v>0</v>
      </c>
      <c r="K671" s="1">
        <f>D671-((ABS(SUM(PL!I671:L671)))*0.125)</f>
        <v>0</v>
      </c>
      <c r="L671" s="1">
        <f>J671 + K671</f>
        <v>0</v>
      </c>
      <c r="M671" s="1">
        <f>IF(J671 + M670 &lt; 0, J671 + M670, 0)</f>
        <v>0</v>
      </c>
      <c r="N671" s="1">
        <f>IF(K671 + N670 &lt; 0, K671 + N670, 0)</f>
        <v>0</v>
      </c>
      <c r="O671" s="1">
        <f>IF(L671 + O670 &lt; 0, L671 + O670, 0)</f>
        <v>0</v>
      </c>
      <c r="P671" s="1">
        <f>IF(O671 &lt; 0, 1 + P670, 0)</f>
        <v>0</v>
      </c>
      <c r="Q671" s="1">
        <f>IF(E671&lt;0,1,0)</f>
        <v>0</v>
      </c>
      <c r="R671" s="1">
        <f>IF(Q671=1,E671,0)</f>
        <v>0</v>
      </c>
      <c r="S671" s="1">
        <f>IF(E671&gt;0,1,0)</f>
        <v>0</v>
      </c>
      <c r="T671" s="1">
        <f>IF(S671=1,E671,0)</f>
        <v>0</v>
      </c>
      <c r="U671" s="1">
        <f>IF(R671&lt;-100000000/100,1,0)</f>
        <v>0</v>
      </c>
      <c r="V671" s="1">
        <f>IF(T671&gt;100000000/100,1,0)</f>
        <v>0</v>
      </c>
      <c r="W671" s="1">
        <f>IF(L671&lt;0,1,0)</f>
        <v>0</v>
      </c>
      <c r="X671" s="1">
        <f>IF(W671=1,L671,0)</f>
        <v>0</v>
      </c>
      <c r="Y671" s="1">
        <f>IF(L671&gt;0,1,0)</f>
        <v>0</v>
      </c>
      <c r="Z671" s="1">
        <f>IF(Y671=1,L671,0)</f>
        <v>0</v>
      </c>
      <c r="AA671" s="1">
        <f>IF(X671&lt;-100000000/100,1,0)</f>
        <v>0</v>
      </c>
      <c r="AB671" s="1">
        <f>IF(Z671&gt;100000000/100,1,0)</f>
        <v>0</v>
      </c>
    </row>
    <row r="672" spans="1:28" s="1" customFormat="1">
      <c r="A672" s="3">
        <v>45961</v>
      </c>
      <c r="B672" s="2" t="s">
        <v>15</v>
      </c>
      <c r="C672" s="1">
        <f>SUM(PL!E672:H672)</f>
        <v>0</v>
      </c>
      <c r="D672" s="1">
        <f>SUM(PL!I672:L672)</f>
        <v>0</v>
      </c>
      <c r="E672" s="1">
        <f>SUM(C672:D672)</f>
        <v>0</v>
      </c>
      <c r="F672" s="1">
        <f>IF(C672 + F671 &lt; 0, C672 + F671, 0)</f>
        <v>0</v>
      </c>
      <c r="G672" s="1">
        <f>IF(D672 + G671 &lt; 0, D672 + G671, 0)</f>
        <v>0</v>
      </c>
      <c r="H672" s="1">
        <f>IF(E672 + H671 &lt; 0, E672 + H671, 0)</f>
        <v>0</v>
      </c>
      <c r="I672" s="1">
        <f>IF(H672 &lt; 0, 1 + I671, 0)</f>
        <v>0</v>
      </c>
      <c r="J672" s="1">
        <f>C672-((ABS(SUM(PL!E672:H672)))*0.125)</f>
        <v>0</v>
      </c>
      <c r="K672" s="1">
        <f>D672-((ABS(SUM(PL!I672:L672)))*0.125)</f>
        <v>0</v>
      </c>
      <c r="L672" s="1">
        <f>J672 + K672</f>
        <v>0</v>
      </c>
      <c r="M672" s="1">
        <f>IF(J672 + M671 &lt; 0, J672 + M671, 0)</f>
        <v>0</v>
      </c>
      <c r="N672" s="1">
        <f>IF(K672 + N671 &lt; 0, K672 + N671, 0)</f>
        <v>0</v>
      </c>
      <c r="O672" s="1">
        <f>IF(L672 + O671 &lt; 0, L672 + O671, 0)</f>
        <v>0</v>
      </c>
      <c r="P672" s="1">
        <f>IF(O672 &lt; 0, 1 + P671, 0)</f>
        <v>0</v>
      </c>
      <c r="Q672" s="1">
        <f>IF(E672&lt;0,1,0)</f>
        <v>0</v>
      </c>
      <c r="R672" s="1">
        <f>IF(Q672=1,E672,0)</f>
        <v>0</v>
      </c>
      <c r="S672" s="1">
        <f>IF(E672&gt;0,1,0)</f>
        <v>0</v>
      </c>
      <c r="T672" s="1">
        <f>IF(S672=1,E672,0)</f>
        <v>0</v>
      </c>
      <c r="U672" s="1">
        <f>IF(R672&lt;-100000000/100,1,0)</f>
        <v>0</v>
      </c>
      <c r="V672" s="1">
        <f>IF(T672&gt;100000000/100,1,0)</f>
        <v>0</v>
      </c>
      <c r="W672" s="1">
        <f>IF(L672&lt;0,1,0)</f>
        <v>0</v>
      </c>
      <c r="X672" s="1">
        <f>IF(W672=1,L672,0)</f>
        <v>0</v>
      </c>
      <c r="Y672" s="1">
        <f>IF(L672&gt;0,1,0)</f>
        <v>0</v>
      </c>
      <c r="Z672" s="1">
        <f>IF(Y672=1,L672,0)</f>
        <v>0</v>
      </c>
      <c r="AA672" s="1">
        <f>IF(X672&lt;-100000000/100,1,0)</f>
        <v>0</v>
      </c>
      <c r="AB672" s="1">
        <f>IF(Z672&gt;100000000/100,1,0)</f>
        <v>0</v>
      </c>
    </row>
    <row r="673" spans="1:28" s="1" customFormat="1">
      <c r="A673" s="3">
        <v>45964</v>
      </c>
      <c r="B673" s="2" t="s">
        <v>12</v>
      </c>
      <c r="C673" s="1">
        <f>SUM(PL!E673:H673)</f>
        <v>0</v>
      </c>
      <c r="D673" s="1">
        <f>SUM(PL!I673:L673)</f>
        <v>0</v>
      </c>
      <c r="E673" s="1">
        <f>SUM(C673:D673)</f>
        <v>0</v>
      </c>
      <c r="F673" s="1">
        <f>IF(C673 + F672 &lt; 0, C673 + F672, 0)</f>
        <v>0</v>
      </c>
      <c r="G673" s="1">
        <f>IF(D673 + G672 &lt; 0, D673 + G672, 0)</f>
        <v>0</v>
      </c>
      <c r="H673" s="1">
        <f>IF(E673 + H672 &lt; 0, E673 + H672, 0)</f>
        <v>0</v>
      </c>
      <c r="I673" s="1">
        <f>IF(H673 &lt; 0, 1 + I672, 0)</f>
        <v>0</v>
      </c>
      <c r="J673" s="1">
        <f>C673-((ABS(SUM(PL!E673:H673)))*0.125)</f>
        <v>0</v>
      </c>
      <c r="K673" s="1">
        <f>D673-((ABS(SUM(PL!I673:L673)))*0.125)</f>
        <v>0</v>
      </c>
      <c r="L673" s="1">
        <f>J673 + K673</f>
        <v>0</v>
      </c>
      <c r="M673" s="1">
        <f>IF(J673 + M672 &lt; 0, J673 + M672, 0)</f>
        <v>0</v>
      </c>
      <c r="N673" s="1">
        <f>IF(K673 + N672 &lt; 0, K673 + N672, 0)</f>
        <v>0</v>
      </c>
      <c r="O673" s="1">
        <f>IF(L673 + O672 &lt; 0, L673 + O672, 0)</f>
        <v>0</v>
      </c>
      <c r="P673" s="1">
        <f>IF(O673 &lt; 0, 1 + P672, 0)</f>
        <v>0</v>
      </c>
      <c r="Q673" s="1">
        <f>IF(E673&lt;0,1,0)</f>
        <v>0</v>
      </c>
      <c r="R673" s="1">
        <f>IF(Q673=1,E673,0)</f>
        <v>0</v>
      </c>
      <c r="S673" s="1">
        <f>IF(E673&gt;0,1,0)</f>
        <v>0</v>
      </c>
      <c r="T673" s="1">
        <f>IF(S673=1,E673,0)</f>
        <v>0</v>
      </c>
      <c r="U673" s="1">
        <f>IF(R673&lt;-100000000/100,1,0)</f>
        <v>0</v>
      </c>
      <c r="V673" s="1">
        <f>IF(T673&gt;100000000/100,1,0)</f>
        <v>0</v>
      </c>
      <c r="W673" s="1">
        <f>IF(L673&lt;0,1,0)</f>
        <v>0</v>
      </c>
      <c r="X673" s="1">
        <f>IF(W673=1,L673,0)</f>
        <v>0</v>
      </c>
      <c r="Y673" s="1">
        <f>IF(L673&gt;0,1,0)</f>
        <v>0</v>
      </c>
      <c r="Z673" s="1">
        <f>IF(Y673=1,L673,0)</f>
        <v>0</v>
      </c>
      <c r="AA673" s="1">
        <f>IF(X673&lt;-100000000/100,1,0)</f>
        <v>0</v>
      </c>
      <c r="AB673" s="1">
        <f>IF(Z673&gt;100000000/100,1,0)</f>
        <v>0</v>
      </c>
    </row>
    <row r="674" spans="1:28" s="1" customFormat="1">
      <c r="A674" s="3">
        <v>45965</v>
      </c>
      <c r="B674" s="2" t="s">
        <v>13</v>
      </c>
      <c r="C674" s="1">
        <f>SUM(PL!E674:H674)</f>
        <v>0</v>
      </c>
      <c r="D674" s="1">
        <f>SUM(PL!I674:L674)</f>
        <v>0</v>
      </c>
      <c r="E674" s="1">
        <f>SUM(C674:D674)</f>
        <v>0</v>
      </c>
      <c r="F674" s="1">
        <f>IF(C674 + F673 &lt; 0, C674 + F673, 0)</f>
        <v>0</v>
      </c>
      <c r="G674" s="1">
        <f>IF(D674 + G673 &lt; 0, D674 + G673, 0)</f>
        <v>0</v>
      </c>
      <c r="H674" s="1">
        <f>IF(E674 + H673 &lt; 0, E674 + H673, 0)</f>
        <v>0</v>
      </c>
      <c r="I674" s="1">
        <f>IF(H674 &lt; 0, 1 + I673, 0)</f>
        <v>0</v>
      </c>
      <c r="J674" s="1">
        <f>C674-((ABS(SUM(PL!E674:H674)))*0.125)</f>
        <v>0</v>
      </c>
      <c r="K674" s="1">
        <f>D674-((ABS(SUM(PL!I674:L674)))*0.125)</f>
        <v>0</v>
      </c>
      <c r="L674" s="1">
        <f>J674 + K674</f>
        <v>0</v>
      </c>
      <c r="M674" s="1">
        <f>IF(J674 + M673 &lt; 0, J674 + M673, 0)</f>
        <v>0</v>
      </c>
      <c r="N674" s="1">
        <f>IF(K674 + N673 &lt; 0, K674 + N673, 0)</f>
        <v>0</v>
      </c>
      <c r="O674" s="1">
        <f>IF(L674 + O673 &lt; 0, L674 + O673, 0)</f>
        <v>0</v>
      </c>
      <c r="P674" s="1">
        <f>IF(O674 &lt; 0, 1 + P673, 0)</f>
        <v>0</v>
      </c>
      <c r="Q674" s="1">
        <f>IF(E674&lt;0,1,0)</f>
        <v>0</v>
      </c>
      <c r="R674" s="1">
        <f>IF(Q674=1,E674,0)</f>
        <v>0</v>
      </c>
      <c r="S674" s="1">
        <f>IF(E674&gt;0,1,0)</f>
        <v>0</v>
      </c>
      <c r="T674" s="1">
        <f>IF(S674=1,E674,0)</f>
        <v>0</v>
      </c>
      <c r="U674" s="1">
        <f>IF(R674&lt;-100000000/100,1,0)</f>
        <v>0</v>
      </c>
      <c r="V674" s="1">
        <f>IF(T674&gt;100000000/100,1,0)</f>
        <v>0</v>
      </c>
      <c r="W674" s="1">
        <f>IF(L674&lt;0,1,0)</f>
        <v>0</v>
      </c>
      <c r="X674" s="1">
        <f>IF(W674=1,L674,0)</f>
        <v>0</v>
      </c>
      <c r="Y674" s="1">
        <f>IF(L674&gt;0,1,0)</f>
        <v>0</v>
      </c>
      <c r="Z674" s="1">
        <f>IF(Y674=1,L674,0)</f>
        <v>0</v>
      </c>
      <c r="AA674" s="1">
        <f>IF(X674&lt;-100000000/100,1,0)</f>
        <v>0</v>
      </c>
      <c r="AB674" s="1">
        <f>IF(Z674&gt;100000000/100,1,0)</f>
        <v>0</v>
      </c>
    </row>
    <row r="675" spans="1:28" s="1" customFormat="1">
      <c r="A675" s="3">
        <v>45966</v>
      </c>
      <c r="B675" s="2" t="s">
        <v>14</v>
      </c>
      <c r="C675" s="1">
        <f>SUM(PL!E675:H675)</f>
        <v>0</v>
      </c>
      <c r="D675" s="1">
        <f>SUM(PL!I675:L675)</f>
        <v>0</v>
      </c>
      <c r="E675" s="1">
        <f>SUM(C675:D675)</f>
        <v>0</v>
      </c>
      <c r="F675" s="1">
        <f>IF(C675 + F674 &lt; 0, C675 + F674, 0)</f>
        <v>0</v>
      </c>
      <c r="G675" s="1">
        <f>IF(D675 + G674 &lt; 0, D675 + G674, 0)</f>
        <v>0</v>
      </c>
      <c r="H675" s="1">
        <f>IF(E675 + H674 &lt; 0, E675 + H674, 0)</f>
        <v>0</v>
      </c>
      <c r="I675" s="1">
        <f>IF(H675 &lt; 0, 1 + I674, 0)</f>
        <v>0</v>
      </c>
      <c r="J675" s="1">
        <f>C675-((ABS(SUM(PL!E675:H675)))*0.125)</f>
        <v>0</v>
      </c>
      <c r="K675" s="1">
        <f>D675-((ABS(SUM(PL!I675:L675)))*0.125)</f>
        <v>0</v>
      </c>
      <c r="L675" s="1">
        <f>J675 + K675</f>
        <v>0</v>
      </c>
      <c r="M675" s="1">
        <f>IF(J675 + M674 &lt; 0, J675 + M674, 0)</f>
        <v>0</v>
      </c>
      <c r="N675" s="1">
        <f>IF(K675 + N674 &lt; 0, K675 + N674, 0)</f>
        <v>0</v>
      </c>
      <c r="O675" s="1">
        <f>IF(L675 + O674 &lt; 0, L675 + O674, 0)</f>
        <v>0</v>
      </c>
      <c r="P675" s="1">
        <f>IF(O675 &lt; 0, 1 + P674, 0)</f>
        <v>0</v>
      </c>
      <c r="Q675" s="1">
        <f>IF(E675&lt;0,1,0)</f>
        <v>0</v>
      </c>
      <c r="R675" s="1">
        <f>IF(Q675=1,E675,0)</f>
        <v>0</v>
      </c>
      <c r="S675" s="1">
        <f>IF(E675&gt;0,1,0)</f>
        <v>0</v>
      </c>
      <c r="T675" s="1">
        <f>IF(S675=1,E675,0)</f>
        <v>0</v>
      </c>
      <c r="U675" s="1">
        <f>IF(R675&lt;-100000000/100,1,0)</f>
        <v>0</v>
      </c>
      <c r="V675" s="1">
        <f>IF(T675&gt;100000000/100,1,0)</f>
        <v>0</v>
      </c>
      <c r="W675" s="1">
        <f>IF(L675&lt;0,1,0)</f>
        <v>0</v>
      </c>
      <c r="X675" s="1">
        <f>IF(W675=1,L675,0)</f>
        <v>0</v>
      </c>
      <c r="Y675" s="1">
        <f>IF(L675&gt;0,1,0)</f>
        <v>0</v>
      </c>
      <c r="Z675" s="1">
        <f>IF(Y675=1,L675,0)</f>
        <v>0</v>
      </c>
      <c r="AA675" s="1">
        <f>IF(X675&lt;-100000000/100,1,0)</f>
        <v>0</v>
      </c>
      <c r="AB675" s="1">
        <f>IF(Z675&gt;100000000/100,1,0)</f>
        <v>0</v>
      </c>
    </row>
    <row r="676" spans="1:28" s="1" customFormat="1">
      <c r="A676" s="3">
        <v>45967</v>
      </c>
      <c r="B676" s="2" t="s">
        <v>16</v>
      </c>
      <c r="C676" s="1">
        <f>SUM(PL!E676:H676)</f>
        <v>0</v>
      </c>
      <c r="D676" s="1">
        <f>SUM(PL!I676:L676)</f>
        <v>0</v>
      </c>
      <c r="E676" s="1">
        <f>SUM(C676:D676)</f>
        <v>0</v>
      </c>
      <c r="F676" s="1">
        <f>IF(C676 + F675 &lt; 0, C676 + F675, 0)</f>
        <v>0</v>
      </c>
      <c r="G676" s="1">
        <f>IF(D676 + G675 &lt; 0, D676 + G675, 0)</f>
        <v>0</v>
      </c>
      <c r="H676" s="1">
        <f>IF(E676 + H675 &lt; 0, E676 + H675, 0)</f>
        <v>0</v>
      </c>
      <c r="I676" s="1">
        <f>IF(H676 &lt; 0, 1 + I675, 0)</f>
        <v>0</v>
      </c>
      <c r="J676" s="1">
        <f>C676-((ABS(SUM(PL!E676:H676)))*0.125)</f>
        <v>0</v>
      </c>
      <c r="K676" s="1">
        <f>D676-((ABS(SUM(PL!I676:L676)))*0.125)</f>
        <v>0</v>
      </c>
      <c r="L676" s="1">
        <f>J676 + K676</f>
        <v>0</v>
      </c>
      <c r="M676" s="1">
        <f>IF(J676 + M675 &lt; 0, J676 + M675, 0)</f>
        <v>0</v>
      </c>
      <c r="N676" s="1">
        <f>IF(K676 + N675 &lt; 0, K676 + N675, 0)</f>
        <v>0</v>
      </c>
      <c r="O676" s="1">
        <f>IF(L676 + O675 &lt; 0, L676 + O675, 0)</f>
        <v>0</v>
      </c>
      <c r="P676" s="1">
        <f>IF(O676 &lt; 0, 1 + P675, 0)</f>
        <v>0</v>
      </c>
      <c r="Q676" s="1">
        <f>IF(E676&lt;0,1,0)</f>
        <v>0</v>
      </c>
      <c r="R676" s="1">
        <f>IF(Q676=1,E676,0)</f>
        <v>0</v>
      </c>
      <c r="S676" s="1">
        <f>IF(E676&gt;0,1,0)</f>
        <v>0</v>
      </c>
      <c r="T676" s="1">
        <f>IF(S676=1,E676,0)</f>
        <v>0</v>
      </c>
      <c r="U676" s="1">
        <f>IF(R676&lt;-100000000/100,1,0)</f>
        <v>0</v>
      </c>
      <c r="V676" s="1">
        <f>IF(T676&gt;100000000/100,1,0)</f>
        <v>0</v>
      </c>
      <c r="W676" s="1">
        <f>IF(L676&lt;0,1,0)</f>
        <v>0</v>
      </c>
      <c r="X676" s="1">
        <f>IF(W676=1,L676,0)</f>
        <v>0</v>
      </c>
      <c r="Y676" s="1">
        <f>IF(L676&gt;0,1,0)</f>
        <v>0</v>
      </c>
      <c r="Z676" s="1">
        <f>IF(Y676=1,L676,0)</f>
        <v>0</v>
      </c>
      <c r="AA676" s="1">
        <f>IF(X676&lt;-100000000/100,1,0)</f>
        <v>0</v>
      </c>
      <c r="AB676" s="1">
        <f>IF(Z676&gt;100000000/100,1,0)</f>
        <v>0</v>
      </c>
    </row>
    <row r="677" spans="1:28" s="1" customFormat="1">
      <c r="A677" s="3">
        <v>45968</v>
      </c>
      <c r="B677" s="2" t="s">
        <v>15</v>
      </c>
      <c r="C677" s="1">
        <f>SUM(PL!E677:H677)</f>
        <v>0</v>
      </c>
      <c r="D677" s="1">
        <f>SUM(PL!I677:L677)</f>
        <v>0</v>
      </c>
      <c r="E677" s="1">
        <f>SUM(C677:D677)</f>
        <v>0</v>
      </c>
      <c r="F677" s="1">
        <f>IF(C677 + F676 &lt; 0, C677 + F676, 0)</f>
        <v>0</v>
      </c>
      <c r="G677" s="1">
        <f>IF(D677 + G676 &lt; 0, D677 + G676, 0)</f>
        <v>0</v>
      </c>
      <c r="H677" s="1">
        <f>IF(E677 + H676 &lt; 0, E677 + H676, 0)</f>
        <v>0</v>
      </c>
      <c r="I677" s="1">
        <f>IF(H677 &lt; 0, 1 + I676, 0)</f>
        <v>0</v>
      </c>
      <c r="J677" s="1">
        <f>C677-((ABS(SUM(PL!E677:H677)))*0.125)</f>
        <v>0</v>
      </c>
      <c r="K677" s="1">
        <f>D677-((ABS(SUM(PL!I677:L677)))*0.125)</f>
        <v>0</v>
      </c>
      <c r="L677" s="1">
        <f>J677 + K677</f>
        <v>0</v>
      </c>
      <c r="M677" s="1">
        <f>IF(J677 + M676 &lt; 0, J677 + M676, 0)</f>
        <v>0</v>
      </c>
      <c r="N677" s="1">
        <f>IF(K677 + N676 &lt; 0, K677 + N676, 0)</f>
        <v>0</v>
      </c>
      <c r="O677" s="1">
        <f>IF(L677 + O676 &lt; 0, L677 + O676, 0)</f>
        <v>0</v>
      </c>
      <c r="P677" s="1">
        <f>IF(O677 &lt; 0, 1 + P676, 0)</f>
        <v>0</v>
      </c>
      <c r="Q677" s="1">
        <f>IF(E677&lt;0,1,0)</f>
        <v>0</v>
      </c>
      <c r="R677" s="1">
        <f>IF(Q677=1,E677,0)</f>
        <v>0</v>
      </c>
      <c r="S677" s="1">
        <f>IF(E677&gt;0,1,0)</f>
        <v>0</v>
      </c>
      <c r="T677" s="1">
        <f>IF(S677=1,E677,0)</f>
        <v>0</v>
      </c>
      <c r="U677" s="1">
        <f>IF(R677&lt;-100000000/100,1,0)</f>
        <v>0</v>
      </c>
      <c r="V677" s="1">
        <f>IF(T677&gt;100000000/100,1,0)</f>
        <v>0</v>
      </c>
      <c r="W677" s="1">
        <f>IF(L677&lt;0,1,0)</f>
        <v>0</v>
      </c>
      <c r="X677" s="1">
        <f>IF(W677=1,L677,0)</f>
        <v>0</v>
      </c>
      <c r="Y677" s="1">
        <f>IF(L677&gt;0,1,0)</f>
        <v>0</v>
      </c>
      <c r="Z677" s="1">
        <f>IF(Y677=1,L677,0)</f>
        <v>0</v>
      </c>
      <c r="AA677" s="1">
        <f>IF(X677&lt;-100000000/100,1,0)</f>
        <v>0</v>
      </c>
      <c r="AB677" s="1">
        <f>IF(Z677&gt;100000000/100,1,0)</f>
        <v>0</v>
      </c>
    </row>
    <row r="678" spans="1:28" s="1" customFormat="1">
      <c r="A678" s="3">
        <v>45971</v>
      </c>
      <c r="B678" s="2" t="s">
        <v>12</v>
      </c>
      <c r="C678" s="1">
        <f>SUM(PL!E678:H678)</f>
        <v>0</v>
      </c>
      <c r="D678" s="1">
        <f>SUM(PL!I678:L678)</f>
        <v>0</v>
      </c>
      <c r="E678" s="1">
        <f>SUM(C678:D678)</f>
        <v>0</v>
      </c>
      <c r="F678" s="1">
        <f>IF(C678 + F677 &lt; 0, C678 + F677, 0)</f>
        <v>0</v>
      </c>
      <c r="G678" s="1">
        <f>IF(D678 + G677 &lt; 0, D678 + G677, 0)</f>
        <v>0</v>
      </c>
      <c r="H678" s="1">
        <f>IF(E678 + H677 &lt; 0, E678 + H677, 0)</f>
        <v>0</v>
      </c>
      <c r="I678" s="1">
        <f>IF(H678 &lt; 0, 1 + I677, 0)</f>
        <v>0</v>
      </c>
      <c r="J678" s="1">
        <f>C678-((ABS(SUM(PL!E678:H678)))*0.125)</f>
        <v>0</v>
      </c>
      <c r="K678" s="1">
        <f>D678-((ABS(SUM(PL!I678:L678)))*0.125)</f>
        <v>0</v>
      </c>
      <c r="L678" s="1">
        <f>J678 + K678</f>
        <v>0</v>
      </c>
      <c r="M678" s="1">
        <f>IF(J678 + M677 &lt; 0, J678 + M677, 0)</f>
        <v>0</v>
      </c>
      <c r="N678" s="1">
        <f>IF(K678 + N677 &lt; 0, K678 + N677, 0)</f>
        <v>0</v>
      </c>
      <c r="O678" s="1">
        <f>IF(L678 + O677 &lt; 0, L678 + O677, 0)</f>
        <v>0</v>
      </c>
      <c r="P678" s="1">
        <f>IF(O678 &lt; 0, 1 + P677, 0)</f>
        <v>0</v>
      </c>
      <c r="Q678" s="1">
        <f>IF(E678&lt;0,1,0)</f>
        <v>0</v>
      </c>
      <c r="R678" s="1">
        <f>IF(Q678=1,E678,0)</f>
        <v>0</v>
      </c>
      <c r="S678" s="1">
        <f>IF(E678&gt;0,1,0)</f>
        <v>0</v>
      </c>
      <c r="T678" s="1">
        <f>IF(S678=1,E678,0)</f>
        <v>0</v>
      </c>
      <c r="U678" s="1">
        <f>IF(R678&lt;-100000000/100,1,0)</f>
        <v>0</v>
      </c>
      <c r="V678" s="1">
        <f>IF(T678&gt;100000000/100,1,0)</f>
        <v>0</v>
      </c>
      <c r="W678" s="1">
        <f>IF(L678&lt;0,1,0)</f>
        <v>0</v>
      </c>
      <c r="X678" s="1">
        <f>IF(W678=1,L678,0)</f>
        <v>0</v>
      </c>
      <c r="Y678" s="1">
        <f>IF(L678&gt;0,1,0)</f>
        <v>0</v>
      </c>
      <c r="Z678" s="1">
        <f>IF(Y678=1,L678,0)</f>
        <v>0</v>
      </c>
      <c r="AA678" s="1">
        <f>IF(X678&lt;-100000000/100,1,0)</f>
        <v>0</v>
      </c>
      <c r="AB678" s="1">
        <f>IF(Z678&gt;100000000/100,1,0)</f>
        <v>0</v>
      </c>
    </row>
    <row r="679" spans="1:28" s="1" customFormat="1">
      <c r="A679" s="3">
        <v>45972</v>
      </c>
      <c r="B679" s="2" t="s">
        <v>13</v>
      </c>
      <c r="C679" s="1">
        <f>SUM(PL!E679:H679)</f>
        <v>0</v>
      </c>
      <c r="D679" s="1">
        <f>SUM(PL!I679:L679)</f>
        <v>0</v>
      </c>
      <c r="E679" s="1">
        <f>SUM(C679:D679)</f>
        <v>0</v>
      </c>
      <c r="F679" s="1">
        <f>IF(C679 + F678 &lt; 0, C679 + F678, 0)</f>
        <v>0</v>
      </c>
      <c r="G679" s="1">
        <f>IF(D679 + G678 &lt; 0, D679 + G678, 0)</f>
        <v>0</v>
      </c>
      <c r="H679" s="1">
        <f>IF(E679 + H678 &lt; 0, E679 + H678, 0)</f>
        <v>0</v>
      </c>
      <c r="I679" s="1">
        <f>IF(H679 &lt; 0, 1 + I678, 0)</f>
        <v>0</v>
      </c>
      <c r="J679" s="1">
        <f>C679-((ABS(SUM(PL!E679:H679)))*0.125)</f>
        <v>0</v>
      </c>
      <c r="K679" s="1">
        <f>D679-((ABS(SUM(PL!I679:L679)))*0.125)</f>
        <v>0</v>
      </c>
      <c r="L679" s="1">
        <f>J679 + K679</f>
        <v>0</v>
      </c>
      <c r="M679" s="1">
        <f>IF(J679 + M678 &lt; 0, J679 + M678, 0)</f>
        <v>0</v>
      </c>
      <c r="N679" s="1">
        <f>IF(K679 + N678 &lt; 0, K679 + N678, 0)</f>
        <v>0</v>
      </c>
      <c r="O679" s="1">
        <f>IF(L679 + O678 &lt; 0, L679 + O678, 0)</f>
        <v>0</v>
      </c>
      <c r="P679" s="1">
        <f>IF(O679 &lt; 0, 1 + P678, 0)</f>
        <v>0</v>
      </c>
      <c r="Q679" s="1">
        <f>IF(E679&lt;0,1,0)</f>
        <v>0</v>
      </c>
      <c r="R679" s="1">
        <f>IF(Q679=1,E679,0)</f>
        <v>0</v>
      </c>
      <c r="S679" s="1">
        <f>IF(E679&gt;0,1,0)</f>
        <v>0</v>
      </c>
      <c r="T679" s="1">
        <f>IF(S679=1,E679,0)</f>
        <v>0</v>
      </c>
      <c r="U679" s="1">
        <f>IF(R679&lt;-100000000/100,1,0)</f>
        <v>0</v>
      </c>
      <c r="V679" s="1">
        <f>IF(T679&gt;100000000/100,1,0)</f>
        <v>0</v>
      </c>
      <c r="W679" s="1">
        <f>IF(L679&lt;0,1,0)</f>
        <v>0</v>
      </c>
      <c r="X679" s="1">
        <f>IF(W679=1,L679,0)</f>
        <v>0</v>
      </c>
      <c r="Y679" s="1">
        <f>IF(L679&gt;0,1,0)</f>
        <v>0</v>
      </c>
      <c r="Z679" s="1">
        <f>IF(Y679=1,L679,0)</f>
        <v>0</v>
      </c>
      <c r="AA679" s="1">
        <f>IF(X679&lt;-100000000/100,1,0)</f>
        <v>0</v>
      </c>
      <c r="AB679" s="1">
        <f>IF(Z679&gt;100000000/100,1,0)</f>
        <v>0</v>
      </c>
    </row>
    <row r="680" spans="1:28" s="1" customFormat="1">
      <c r="A680" s="3">
        <v>45973</v>
      </c>
      <c r="B680" s="2" t="s">
        <v>14</v>
      </c>
      <c r="C680" s="1">
        <f>SUM(PL!E680:H680)</f>
        <v>0</v>
      </c>
      <c r="D680" s="1">
        <f>SUM(PL!I680:L680)</f>
        <v>0</v>
      </c>
      <c r="E680" s="1">
        <f>SUM(C680:D680)</f>
        <v>0</v>
      </c>
      <c r="F680" s="1">
        <f>IF(C680 + F679 &lt; 0, C680 + F679, 0)</f>
        <v>0</v>
      </c>
      <c r="G680" s="1">
        <f>IF(D680 + G679 &lt; 0, D680 + G679, 0)</f>
        <v>0</v>
      </c>
      <c r="H680" s="1">
        <f>IF(E680 + H679 &lt; 0, E680 + H679, 0)</f>
        <v>0</v>
      </c>
      <c r="I680" s="1">
        <f>IF(H680 &lt; 0, 1 + I679, 0)</f>
        <v>0</v>
      </c>
      <c r="J680" s="1">
        <f>C680-((ABS(SUM(PL!E680:H680)))*0.125)</f>
        <v>0</v>
      </c>
      <c r="K680" s="1">
        <f>D680-((ABS(SUM(PL!I680:L680)))*0.125)</f>
        <v>0</v>
      </c>
      <c r="L680" s="1">
        <f>J680 + K680</f>
        <v>0</v>
      </c>
      <c r="M680" s="1">
        <f>IF(J680 + M679 &lt; 0, J680 + M679, 0)</f>
        <v>0</v>
      </c>
      <c r="N680" s="1">
        <f>IF(K680 + N679 &lt; 0, K680 + N679, 0)</f>
        <v>0</v>
      </c>
      <c r="O680" s="1">
        <f>IF(L680 + O679 &lt; 0, L680 + O679, 0)</f>
        <v>0</v>
      </c>
      <c r="P680" s="1">
        <f>IF(O680 &lt; 0, 1 + P679, 0)</f>
        <v>0</v>
      </c>
      <c r="Q680" s="1">
        <f>IF(E680&lt;0,1,0)</f>
        <v>0</v>
      </c>
      <c r="R680" s="1">
        <f>IF(Q680=1,E680,0)</f>
        <v>0</v>
      </c>
      <c r="S680" s="1">
        <f>IF(E680&gt;0,1,0)</f>
        <v>0</v>
      </c>
      <c r="T680" s="1">
        <f>IF(S680=1,E680,0)</f>
        <v>0</v>
      </c>
      <c r="U680" s="1">
        <f>IF(R680&lt;-100000000/100,1,0)</f>
        <v>0</v>
      </c>
      <c r="V680" s="1">
        <f>IF(T680&gt;100000000/100,1,0)</f>
        <v>0</v>
      </c>
      <c r="W680" s="1">
        <f>IF(L680&lt;0,1,0)</f>
        <v>0</v>
      </c>
      <c r="X680" s="1">
        <f>IF(W680=1,L680,0)</f>
        <v>0</v>
      </c>
      <c r="Y680" s="1">
        <f>IF(L680&gt;0,1,0)</f>
        <v>0</v>
      </c>
      <c r="Z680" s="1">
        <f>IF(Y680=1,L680,0)</f>
        <v>0</v>
      </c>
      <c r="AA680" s="1">
        <f>IF(X680&lt;-100000000/100,1,0)</f>
        <v>0</v>
      </c>
      <c r="AB680" s="1">
        <f>IF(Z680&gt;100000000/100,1,0)</f>
        <v>0</v>
      </c>
    </row>
    <row r="681" spans="1:28" s="1" customFormat="1">
      <c r="A681" s="3">
        <v>45974</v>
      </c>
      <c r="B681" s="2" t="s">
        <v>16</v>
      </c>
      <c r="C681" s="1">
        <f>SUM(PL!E681:H681)</f>
        <v>0</v>
      </c>
      <c r="D681" s="1">
        <f>SUM(PL!I681:L681)</f>
        <v>0</v>
      </c>
      <c r="E681" s="1">
        <f>SUM(C681:D681)</f>
        <v>0</v>
      </c>
      <c r="F681" s="1">
        <f>IF(C681 + F680 &lt; 0, C681 + F680, 0)</f>
        <v>0</v>
      </c>
      <c r="G681" s="1">
        <f>IF(D681 + G680 &lt; 0, D681 + G680, 0)</f>
        <v>0</v>
      </c>
      <c r="H681" s="1">
        <f>IF(E681 + H680 &lt; 0, E681 + H680, 0)</f>
        <v>0</v>
      </c>
      <c r="I681" s="1">
        <f>IF(H681 &lt; 0, 1 + I680, 0)</f>
        <v>0</v>
      </c>
      <c r="J681" s="1">
        <f>C681-((ABS(SUM(PL!E681:H681)))*0.125)</f>
        <v>0</v>
      </c>
      <c r="K681" s="1">
        <f>D681-((ABS(SUM(PL!I681:L681)))*0.125)</f>
        <v>0</v>
      </c>
      <c r="L681" s="1">
        <f>J681 + K681</f>
        <v>0</v>
      </c>
      <c r="M681" s="1">
        <f>IF(J681 + M680 &lt; 0, J681 + M680, 0)</f>
        <v>0</v>
      </c>
      <c r="N681" s="1">
        <f>IF(K681 + N680 &lt; 0, K681 + N680, 0)</f>
        <v>0</v>
      </c>
      <c r="O681" s="1">
        <f>IF(L681 + O680 &lt; 0, L681 + O680, 0)</f>
        <v>0</v>
      </c>
      <c r="P681" s="1">
        <f>IF(O681 &lt; 0, 1 + P680, 0)</f>
        <v>0</v>
      </c>
      <c r="Q681" s="1">
        <f>IF(E681&lt;0,1,0)</f>
        <v>0</v>
      </c>
      <c r="R681" s="1">
        <f>IF(Q681=1,E681,0)</f>
        <v>0</v>
      </c>
      <c r="S681" s="1">
        <f>IF(E681&gt;0,1,0)</f>
        <v>0</v>
      </c>
      <c r="T681" s="1">
        <f>IF(S681=1,E681,0)</f>
        <v>0</v>
      </c>
      <c r="U681" s="1">
        <f>IF(R681&lt;-100000000/100,1,0)</f>
        <v>0</v>
      </c>
      <c r="V681" s="1">
        <f>IF(T681&gt;100000000/100,1,0)</f>
        <v>0</v>
      </c>
      <c r="W681" s="1">
        <f>IF(L681&lt;0,1,0)</f>
        <v>0</v>
      </c>
      <c r="X681" s="1">
        <f>IF(W681=1,L681,0)</f>
        <v>0</v>
      </c>
      <c r="Y681" s="1">
        <f>IF(L681&gt;0,1,0)</f>
        <v>0</v>
      </c>
      <c r="Z681" s="1">
        <f>IF(Y681=1,L681,0)</f>
        <v>0</v>
      </c>
      <c r="AA681" s="1">
        <f>IF(X681&lt;-100000000/100,1,0)</f>
        <v>0</v>
      </c>
      <c r="AB681" s="1">
        <f>IF(Z681&gt;100000000/100,1,0)</f>
        <v>0</v>
      </c>
    </row>
    <row r="682" spans="1:28" s="1" customFormat="1">
      <c r="A682" s="3">
        <v>45975</v>
      </c>
      <c r="B682" s="2" t="s">
        <v>15</v>
      </c>
      <c r="C682" s="1">
        <f>SUM(PL!E682:H682)</f>
        <v>0</v>
      </c>
      <c r="D682" s="1">
        <f>SUM(PL!I682:L682)</f>
        <v>0</v>
      </c>
      <c r="E682" s="1">
        <f>SUM(C682:D682)</f>
        <v>0</v>
      </c>
      <c r="F682" s="1">
        <f>IF(C682 + F681 &lt; 0, C682 + F681, 0)</f>
        <v>0</v>
      </c>
      <c r="G682" s="1">
        <f>IF(D682 + G681 &lt; 0, D682 + G681, 0)</f>
        <v>0</v>
      </c>
      <c r="H682" s="1">
        <f>IF(E682 + H681 &lt; 0, E682 + H681, 0)</f>
        <v>0</v>
      </c>
      <c r="I682" s="1">
        <f>IF(H682 &lt; 0, 1 + I681, 0)</f>
        <v>0</v>
      </c>
      <c r="J682" s="1">
        <f>C682-((ABS(SUM(PL!E682:H682)))*0.125)</f>
        <v>0</v>
      </c>
      <c r="K682" s="1">
        <f>D682-((ABS(SUM(PL!I682:L682)))*0.125)</f>
        <v>0</v>
      </c>
      <c r="L682" s="1">
        <f>J682 + K682</f>
        <v>0</v>
      </c>
      <c r="M682" s="1">
        <f>IF(J682 + M681 &lt; 0, J682 + M681, 0)</f>
        <v>0</v>
      </c>
      <c r="N682" s="1">
        <f>IF(K682 + N681 &lt; 0, K682 + N681, 0)</f>
        <v>0</v>
      </c>
      <c r="O682" s="1">
        <f>IF(L682 + O681 &lt; 0, L682 + O681, 0)</f>
        <v>0</v>
      </c>
      <c r="P682" s="1">
        <f>IF(O682 &lt; 0, 1 + P681, 0)</f>
        <v>0</v>
      </c>
      <c r="Q682" s="1">
        <f>IF(E682&lt;0,1,0)</f>
        <v>0</v>
      </c>
      <c r="R682" s="1">
        <f>IF(Q682=1,E682,0)</f>
        <v>0</v>
      </c>
      <c r="S682" s="1">
        <f>IF(E682&gt;0,1,0)</f>
        <v>0</v>
      </c>
      <c r="T682" s="1">
        <f>IF(S682=1,E682,0)</f>
        <v>0</v>
      </c>
      <c r="U682" s="1">
        <f>IF(R682&lt;-100000000/100,1,0)</f>
        <v>0</v>
      </c>
      <c r="V682" s="1">
        <f>IF(T682&gt;100000000/100,1,0)</f>
        <v>0</v>
      </c>
      <c r="W682" s="1">
        <f>IF(L682&lt;0,1,0)</f>
        <v>0</v>
      </c>
      <c r="X682" s="1">
        <f>IF(W682=1,L682,0)</f>
        <v>0</v>
      </c>
      <c r="Y682" s="1">
        <f>IF(L682&gt;0,1,0)</f>
        <v>0</v>
      </c>
      <c r="Z682" s="1">
        <f>IF(Y682=1,L682,0)</f>
        <v>0</v>
      </c>
      <c r="AA682" s="1">
        <f>IF(X682&lt;-100000000/100,1,0)</f>
        <v>0</v>
      </c>
      <c r="AB682" s="1">
        <f>IF(Z682&gt;100000000/100,1,0)</f>
        <v>0</v>
      </c>
    </row>
    <row r="683" spans="1:28" s="1" customFormat="1">
      <c r="A683" s="3">
        <v>45978</v>
      </c>
      <c r="B683" s="2" t="s">
        <v>12</v>
      </c>
      <c r="C683" s="1">
        <f>SUM(PL!E683:H683)</f>
        <v>0</v>
      </c>
      <c r="D683" s="1">
        <f>SUM(PL!I683:L683)</f>
        <v>0</v>
      </c>
      <c r="E683" s="1">
        <f>SUM(C683:D683)</f>
        <v>0</v>
      </c>
      <c r="F683" s="1">
        <f>IF(C683 + F682 &lt; 0, C683 + F682, 0)</f>
        <v>0</v>
      </c>
      <c r="G683" s="1">
        <f>IF(D683 + G682 &lt; 0, D683 + G682, 0)</f>
        <v>0</v>
      </c>
      <c r="H683" s="1">
        <f>IF(E683 + H682 &lt; 0, E683 + H682, 0)</f>
        <v>0</v>
      </c>
      <c r="I683" s="1">
        <f>IF(H683 &lt; 0, 1 + I682, 0)</f>
        <v>0</v>
      </c>
      <c r="J683" s="1">
        <f>C683-((ABS(SUM(PL!E683:H683)))*0.125)</f>
        <v>0</v>
      </c>
      <c r="K683" s="1">
        <f>D683-((ABS(SUM(PL!I683:L683)))*0.125)</f>
        <v>0</v>
      </c>
      <c r="L683" s="1">
        <f>J683 + K683</f>
        <v>0</v>
      </c>
      <c r="M683" s="1">
        <f>IF(J683 + M682 &lt; 0, J683 + M682, 0)</f>
        <v>0</v>
      </c>
      <c r="N683" s="1">
        <f>IF(K683 + N682 &lt; 0, K683 + N682, 0)</f>
        <v>0</v>
      </c>
      <c r="O683" s="1">
        <f>IF(L683 + O682 &lt; 0, L683 + O682, 0)</f>
        <v>0</v>
      </c>
      <c r="P683" s="1">
        <f>IF(O683 &lt; 0, 1 + P682, 0)</f>
        <v>0</v>
      </c>
      <c r="Q683" s="1">
        <f>IF(E683&lt;0,1,0)</f>
        <v>0</v>
      </c>
      <c r="R683" s="1">
        <f>IF(Q683=1,E683,0)</f>
        <v>0</v>
      </c>
      <c r="S683" s="1">
        <f>IF(E683&gt;0,1,0)</f>
        <v>0</v>
      </c>
      <c r="T683" s="1">
        <f>IF(S683=1,E683,0)</f>
        <v>0</v>
      </c>
      <c r="U683" s="1">
        <f>IF(R683&lt;-100000000/100,1,0)</f>
        <v>0</v>
      </c>
      <c r="V683" s="1">
        <f>IF(T683&gt;100000000/100,1,0)</f>
        <v>0</v>
      </c>
      <c r="W683" s="1">
        <f>IF(L683&lt;0,1,0)</f>
        <v>0</v>
      </c>
      <c r="X683" s="1">
        <f>IF(W683=1,L683,0)</f>
        <v>0</v>
      </c>
      <c r="Y683" s="1">
        <f>IF(L683&gt;0,1,0)</f>
        <v>0</v>
      </c>
      <c r="Z683" s="1">
        <f>IF(Y683=1,L683,0)</f>
        <v>0</v>
      </c>
      <c r="AA683" s="1">
        <f>IF(X683&lt;-100000000/100,1,0)</f>
        <v>0</v>
      </c>
      <c r="AB683" s="1">
        <f>IF(Z683&gt;100000000/100,1,0)</f>
        <v>0</v>
      </c>
    </row>
    <row r="684" spans="1:28" s="1" customFormat="1">
      <c r="A684" s="3">
        <v>45979</v>
      </c>
      <c r="B684" s="2" t="s">
        <v>13</v>
      </c>
      <c r="C684" s="1">
        <f>SUM(PL!E684:H684)</f>
        <v>0</v>
      </c>
      <c r="D684" s="1">
        <f>SUM(PL!I684:L684)</f>
        <v>0</v>
      </c>
      <c r="E684" s="1">
        <f>SUM(C684:D684)</f>
        <v>0</v>
      </c>
      <c r="F684" s="1">
        <f>IF(C684 + F683 &lt; 0, C684 + F683, 0)</f>
        <v>0</v>
      </c>
      <c r="G684" s="1">
        <f>IF(D684 + G683 &lt; 0, D684 + G683, 0)</f>
        <v>0</v>
      </c>
      <c r="H684" s="1">
        <f>IF(E684 + H683 &lt; 0, E684 + H683, 0)</f>
        <v>0</v>
      </c>
      <c r="I684" s="1">
        <f>IF(H684 &lt; 0, 1 + I683, 0)</f>
        <v>0</v>
      </c>
      <c r="J684" s="1">
        <f>C684-((ABS(SUM(PL!E684:H684)))*0.125)</f>
        <v>0</v>
      </c>
      <c r="K684" s="1">
        <f>D684-((ABS(SUM(PL!I684:L684)))*0.125)</f>
        <v>0</v>
      </c>
      <c r="L684" s="1">
        <f>J684 + K684</f>
        <v>0</v>
      </c>
      <c r="M684" s="1">
        <f>IF(J684 + M683 &lt; 0, J684 + M683, 0)</f>
        <v>0</v>
      </c>
      <c r="N684" s="1">
        <f>IF(K684 + N683 &lt; 0, K684 + N683, 0)</f>
        <v>0</v>
      </c>
      <c r="O684" s="1">
        <f>IF(L684 + O683 &lt; 0, L684 + O683, 0)</f>
        <v>0</v>
      </c>
      <c r="P684" s="1">
        <f>IF(O684 &lt; 0, 1 + P683, 0)</f>
        <v>0</v>
      </c>
      <c r="Q684" s="1">
        <f>IF(E684&lt;0,1,0)</f>
        <v>0</v>
      </c>
      <c r="R684" s="1">
        <f>IF(Q684=1,E684,0)</f>
        <v>0</v>
      </c>
      <c r="S684" s="1">
        <f>IF(E684&gt;0,1,0)</f>
        <v>0</v>
      </c>
      <c r="T684" s="1">
        <f>IF(S684=1,E684,0)</f>
        <v>0</v>
      </c>
      <c r="U684" s="1">
        <f>IF(R684&lt;-100000000/100,1,0)</f>
        <v>0</v>
      </c>
      <c r="V684" s="1">
        <f>IF(T684&gt;100000000/100,1,0)</f>
        <v>0</v>
      </c>
      <c r="W684" s="1">
        <f>IF(L684&lt;0,1,0)</f>
        <v>0</v>
      </c>
      <c r="X684" s="1">
        <f>IF(W684=1,L684,0)</f>
        <v>0</v>
      </c>
      <c r="Y684" s="1">
        <f>IF(L684&gt;0,1,0)</f>
        <v>0</v>
      </c>
      <c r="Z684" s="1">
        <f>IF(Y684=1,L684,0)</f>
        <v>0</v>
      </c>
      <c r="AA684" s="1">
        <f>IF(X684&lt;-100000000/100,1,0)</f>
        <v>0</v>
      </c>
      <c r="AB684" s="1">
        <f>IF(Z684&gt;100000000/100,1,0)</f>
        <v>0</v>
      </c>
    </row>
    <row r="685" spans="1:28" s="1" customFormat="1">
      <c r="A685" s="3">
        <v>45980</v>
      </c>
      <c r="B685" s="2" t="s">
        <v>14</v>
      </c>
      <c r="C685" s="1">
        <f>SUM(PL!E685:H685)</f>
        <v>0</v>
      </c>
      <c r="D685" s="1">
        <f>SUM(PL!I685:L685)</f>
        <v>0</v>
      </c>
      <c r="E685" s="1">
        <f>SUM(C685:D685)</f>
        <v>0</v>
      </c>
      <c r="F685" s="1">
        <f>IF(C685 + F684 &lt; 0, C685 + F684, 0)</f>
        <v>0</v>
      </c>
      <c r="G685" s="1">
        <f>IF(D685 + G684 &lt; 0, D685 + G684, 0)</f>
        <v>0</v>
      </c>
      <c r="H685" s="1">
        <f>IF(E685 + H684 &lt; 0, E685 + H684, 0)</f>
        <v>0</v>
      </c>
      <c r="I685" s="1">
        <f>IF(H685 &lt; 0, 1 + I684, 0)</f>
        <v>0</v>
      </c>
      <c r="J685" s="1">
        <f>C685-((ABS(SUM(PL!E685:H685)))*0.125)</f>
        <v>0</v>
      </c>
      <c r="K685" s="1">
        <f>D685-((ABS(SUM(PL!I685:L685)))*0.125)</f>
        <v>0</v>
      </c>
      <c r="L685" s="1">
        <f>J685 + K685</f>
        <v>0</v>
      </c>
      <c r="M685" s="1">
        <f>IF(J685 + M684 &lt; 0, J685 + M684, 0)</f>
        <v>0</v>
      </c>
      <c r="N685" s="1">
        <f>IF(K685 + N684 &lt; 0, K685 + N684, 0)</f>
        <v>0</v>
      </c>
      <c r="O685" s="1">
        <f>IF(L685 + O684 &lt; 0, L685 + O684, 0)</f>
        <v>0</v>
      </c>
      <c r="P685" s="1">
        <f>IF(O685 &lt; 0, 1 + P684, 0)</f>
        <v>0</v>
      </c>
      <c r="Q685" s="1">
        <f>IF(E685&lt;0,1,0)</f>
        <v>0</v>
      </c>
      <c r="R685" s="1">
        <f>IF(Q685=1,E685,0)</f>
        <v>0</v>
      </c>
      <c r="S685" s="1">
        <f>IF(E685&gt;0,1,0)</f>
        <v>0</v>
      </c>
      <c r="T685" s="1">
        <f>IF(S685=1,E685,0)</f>
        <v>0</v>
      </c>
      <c r="U685" s="1">
        <f>IF(R685&lt;-100000000/100,1,0)</f>
        <v>0</v>
      </c>
      <c r="V685" s="1">
        <f>IF(T685&gt;100000000/100,1,0)</f>
        <v>0</v>
      </c>
      <c r="W685" s="1">
        <f>IF(L685&lt;0,1,0)</f>
        <v>0</v>
      </c>
      <c r="X685" s="1">
        <f>IF(W685=1,L685,0)</f>
        <v>0</v>
      </c>
      <c r="Y685" s="1">
        <f>IF(L685&gt;0,1,0)</f>
        <v>0</v>
      </c>
      <c r="Z685" s="1">
        <f>IF(Y685=1,L685,0)</f>
        <v>0</v>
      </c>
      <c r="AA685" s="1">
        <f>IF(X685&lt;-100000000/100,1,0)</f>
        <v>0</v>
      </c>
      <c r="AB685" s="1">
        <f>IF(Z685&gt;100000000/100,1,0)</f>
        <v>0</v>
      </c>
    </row>
    <row r="686" spans="1:28" s="1" customFormat="1">
      <c r="A686" s="3">
        <v>45981</v>
      </c>
      <c r="B686" s="2" t="s">
        <v>16</v>
      </c>
      <c r="C686" s="1">
        <f>SUM(PL!E686:H686)</f>
        <v>0</v>
      </c>
      <c r="D686" s="1">
        <f>SUM(PL!I686:L686)</f>
        <v>0</v>
      </c>
      <c r="E686" s="1">
        <f>SUM(C686:D686)</f>
        <v>0</v>
      </c>
      <c r="F686" s="1">
        <f>IF(C686 + F685 &lt; 0, C686 + F685, 0)</f>
        <v>0</v>
      </c>
      <c r="G686" s="1">
        <f>IF(D686 + G685 &lt; 0, D686 + G685, 0)</f>
        <v>0</v>
      </c>
      <c r="H686" s="1">
        <f>IF(E686 + H685 &lt; 0, E686 + H685, 0)</f>
        <v>0</v>
      </c>
      <c r="I686" s="1">
        <f>IF(H686 &lt; 0, 1 + I685, 0)</f>
        <v>0</v>
      </c>
      <c r="J686" s="1">
        <f>C686-((ABS(SUM(PL!E686:H686)))*0.125)</f>
        <v>0</v>
      </c>
      <c r="K686" s="1">
        <f>D686-((ABS(SUM(PL!I686:L686)))*0.125)</f>
        <v>0</v>
      </c>
      <c r="L686" s="1">
        <f>J686 + K686</f>
        <v>0</v>
      </c>
      <c r="M686" s="1">
        <f>IF(J686 + M685 &lt; 0, J686 + M685, 0)</f>
        <v>0</v>
      </c>
      <c r="N686" s="1">
        <f>IF(K686 + N685 &lt; 0, K686 + N685, 0)</f>
        <v>0</v>
      </c>
      <c r="O686" s="1">
        <f>IF(L686 + O685 &lt; 0, L686 + O685, 0)</f>
        <v>0</v>
      </c>
      <c r="P686" s="1">
        <f>IF(O686 &lt; 0, 1 + P685, 0)</f>
        <v>0</v>
      </c>
      <c r="Q686" s="1">
        <f>IF(E686&lt;0,1,0)</f>
        <v>0</v>
      </c>
      <c r="R686" s="1">
        <f>IF(Q686=1,E686,0)</f>
        <v>0</v>
      </c>
      <c r="S686" s="1">
        <f>IF(E686&gt;0,1,0)</f>
        <v>0</v>
      </c>
      <c r="T686" s="1">
        <f>IF(S686=1,E686,0)</f>
        <v>0</v>
      </c>
      <c r="U686" s="1">
        <f>IF(R686&lt;-100000000/100,1,0)</f>
        <v>0</v>
      </c>
      <c r="V686" s="1">
        <f>IF(T686&gt;100000000/100,1,0)</f>
        <v>0</v>
      </c>
      <c r="W686" s="1">
        <f>IF(L686&lt;0,1,0)</f>
        <v>0</v>
      </c>
      <c r="X686" s="1">
        <f>IF(W686=1,L686,0)</f>
        <v>0</v>
      </c>
      <c r="Y686" s="1">
        <f>IF(L686&gt;0,1,0)</f>
        <v>0</v>
      </c>
      <c r="Z686" s="1">
        <f>IF(Y686=1,L686,0)</f>
        <v>0</v>
      </c>
      <c r="AA686" s="1">
        <f>IF(X686&lt;-100000000/100,1,0)</f>
        <v>0</v>
      </c>
      <c r="AB686" s="1">
        <f>IF(Z686&gt;100000000/100,1,0)</f>
        <v>0</v>
      </c>
    </row>
    <row r="687" spans="1:28" s="1" customFormat="1">
      <c r="A687" s="3">
        <v>45982</v>
      </c>
      <c r="B687" s="2" t="s">
        <v>15</v>
      </c>
      <c r="C687" s="1">
        <f>SUM(PL!E687:H687)</f>
        <v>0</v>
      </c>
      <c r="D687" s="1">
        <f>SUM(PL!I687:L687)</f>
        <v>0</v>
      </c>
      <c r="E687" s="1">
        <f>SUM(C687:D687)</f>
        <v>0</v>
      </c>
      <c r="F687" s="1">
        <f>IF(C687 + F686 &lt; 0, C687 + F686, 0)</f>
        <v>0</v>
      </c>
      <c r="G687" s="1">
        <f>IF(D687 + G686 &lt; 0, D687 + G686, 0)</f>
        <v>0</v>
      </c>
      <c r="H687" s="1">
        <f>IF(E687 + H686 &lt; 0, E687 + H686, 0)</f>
        <v>0</v>
      </c>
      <c r="I687" s="1">
        <f>IF(H687 &lt; 0, 1 + I686, 0)</f>
        <v>0</v>
      </c>
      <c r="J687" s="1">
        <f>C687-((ABS(SUM(PL!E687:H687)))*0.125)</f>
        <v>0</v>
      </c>
      <c r="K687" s="1">
        <f>D687-((ABS(SUM(PL!I687:L687)))*0.125)</f>
        <v>0</v>
      </c>
      <c r="L687" s="1">
        <f>J687 + K687</f>
        <v>0</v>
      </c>
      <c r="M687" s="1">
        <f>IF(J687 + M686 &lt; 0, J687 + M686, 0)</f>
        <v>0</v>
      </c>
      <c r="N687" s="1">
        <f>IF(K687 + N686 &lt; 0, K687 + N686, 0)</f>
        <v>0</v>
      </c>
      <c r="O687" s="1">
        <f>IF(L687 + O686 &lt; 0, L687 + O686, 0)</f>
        <v>0</v>
      </c>
      <c r="P687" s="1">
        <f>IF(O687 &lt; 0, 1 + P686, 0)</f>
        <v>0</v>
      </c>
      <c r="Q687" s="1">
        <f>IF(E687&lt;0,1,0)</f>
        <v>0</v>
      </c>
      <c r="R687" s="1">
        <f>IF(Q687=1,E687,0)</f>
        <v>0</v>
      </c>
      <c r="S687" s="1">
        <f>IF(E687&gt;0,1,0)</f>
        <v>0</v>
      </c>
      <c r="T687" s="1">
        <f>IF(S687=1,E687,0)</f>
        <v>0</v>
      </c>
      <c r="U687" s="1">
        <f>IF(R687&lt;-100000000/100,1,0)</f>
        <v>0</v>
      </c>
      <c r="V687" s="1">
        <f>IF(T687&gt;100000000/100,1,0)</f>
        <v>0</v>
      </c>
      <c r="W687" s="1">
        <f>IF(L687&lt;0,1,0)</f>
        <v>0</v>
      </c>
      <c r="X687" s="1">
        <f>IF(W687=1,L687,0)</f>
        <v>0</v>
      </c>
      <c r="Y687" s="1">
        <f>IF(L687&gt;0,1,0)</f>
        <v>0</v>
      </c>
      <c r="Z687" s="1">
        <f>IF(Y687=1,L687,0)</f>
        <v>0</v>
      </c>
      <c r="AA687" s="1">
        <f>IF(X687&lt;-100000000/100,1,0)</f>
        <v>0</v>
      </c>
      <c r="AB687" s="1">
        <f>IF(Z687&gt;100000000/100,1,0)</f>
        <v>0</v>
      </c>
    </row>
    <row r="688" spans="1:28" s="1" customFormat="1">
      <c r="A688" s="3">
        <v>45985</v>
      </c>
      <c r="B688" s="2" t="s">
        <v>12</v>
      </c>
      <c r="C688" s="1">
        <f>SUM(PL!E688:H688)</f>
        <v>0</v>
      </c>
      <c r="D688" s="1">
        <f>SUM(PL!I688:L688)</f>
        <v>0</v>
      </c>
      <c r="E688" s="1">
        <f>SUM(C688:D688)</f>
        <v>0</v>
      </c>
      <c r="F688" s="1">
        <f>IF(C688 + F687 &lt; 0, C688 + F687, 0)</f>
        <v>0</v>
      </c>
      <c r="G688" s="1">
        <f>IF(D688 + G687 &lt; 0, D688 + G687, 0)</f>
        <v>0</v>
      </c>
      <c r="H688" s="1">
        <f>IF(E688 + H687 &lt; 0, E688 + H687, 0)</f>
        <v>0</v>
      </c>
      <c r="I688" s="1">
        <f>IF(H688 &lt; 0, 1 + I687, 0)</f>
        <v>0</v>
      </c>
      <c r="J688" s="1">
        <f>C688-((ABS(SUM(PL!E688:H688)))*0.125)</f>
        <v>0</v>
      </c>
      <c r="K688" s="1">
        <f>D688-((ABS(SUM(PL!I688:L688)))*0.125)</f>
        <v>0</v>
      </c>
      <c r="L688" s="1">
        <f>J688 + K688</f>
        <v>0</v>
      </c>
      <c r="M688" s="1">
        <f>IF(J688 + M687 &lt; 0, J688 + M687, 0)</f>
        <v>0</v>
      </c>
      <c r="N688" s="1">
        <f>IF(K688 + N687 &lt; 0, K688 + N687, 0)</f>
        <v>0</v>
      </c>
      <c r="O688" s="1">
        <f>IF(L688 + O687 &lt; 0, L688 + O687, 0)</f>
        <v>0</v>
      </c>
      <c r="P688" s="1">
        <f>IF(O688 &lt; 0, 1 + P687, 0)</f>
        <v>0</v>
      </c>
      <c r="Q688" s="1">
        <f>IF(E688&lt;0,1,0)</f>
        <v>0</v>
      </c>
      <c r="R688" s="1">
        <f>IF(Q688=1,E688,0)</f>
        <v>0</v>
      </c>
      <c r="S688" s="1">
        <f>IF(E688&gt;0,1,0)</f>
        <v>0</v>
      </c>
      <c r="T688" s="1">
        <f>IF(S688=1,E688,0)</f>
        <v>0</v>
      </c>
      <c r="U688" s="1">
        <f>IF(R688&lt;-100000000/100,1,0)</f>
        <v>0</v>
      </c>
      <c r="V688" s="1">
        <f>IF(T688&gt;100000000/100,1,0)</f>
        <v>0</v>
      </c>
      <c r="W688" s="1">
        <f>IF(L688&lt;0,1,0)</f>
        <v>0</v>
      </c>
      <c r="X688" s="1">
        <f>IF(W688=1,L688,0)</f>
        <v>0</v>
      </c>
      <c r="Y688" s="1">
        <f>IF(L688&gt;0,1,0)</f>
        <v>0</v>
      </c>
      <c r="Z688" s="1">
        <f>IF(Y688=1,L688,0)</f>
        <v>0</v>
      </c>
      <c r="AA688" s="1">
        <f>IF(X688&lt;-100000000/100,1,0)</f>
        <v>0</v>
      </c>
      <c r="AB688" s="1">
        <f>IF(Z688&gt;100000000/100,1,0)</f>
        <v>0</v>
      </c>
    </row>
    <row r="689" spans="1:28" s="1" customFormat="1">
      <c r="A689" s="3">
        <v>45986</v>
      </c>
      <c r="B689" s="2" t="s">
        <v>13</v>
      </c>
      <c r="C689" s="1">
        <f>SUM(PL!E689:H689)</f>
        <v>0</v>
      </c>
      <c r="D689" s="1">
        <f>SUM(PL!I689:L689)</f>
        <v>0</v>
      </c>
      <c r="E689" s="1">
        <f>SUM(C689:D689)</f>
        <v>0</v>
      </c>
      <c r="F689" s="1">
        <f>IF(C689 + F688 &lt; 0, C689 + F688, 0)</f>
        <v>0</v>
      </c>
      <c r="G689" s="1">
        <f>IF(D689 + G688 &lt; 0, D689 + G688, 0)</f>
        <v>0</v>
      </c>
      <c r="H689" s="1">
        <f>IF(E689 + H688 &lt; 0, E689 + H688, 0)</f>
        <v>0</v>
      </c>
      <c r="I689" s="1">
        <f>IF(H689 &lt; 0, 1 + I688, 0)</f>
        <v>0</v>
      </c>
      <c r="J689" s="1">
        <f>C689-((ABS(SUM(PL!E689:H689)))*0.125)</f>
        <v>0</v>
      </c>
      <c r="K689" s="1">
        <f>D689-((ABS(SUM(PL!I689:L689)))*0.125)</f>
        <v>0</v>
      </c>
      <c r="L689" s="1">
        <f>J689 + K689</f>
        <v>0</v>
      </c>
      <c r="M689" s="1">
        <f>IF(J689 + M688 &lt; 0, J689 + M688, 0)</f>
        <v>0</v>
      </c>
      <c r="N689" s="1">
        <f>IF(K689 + N688 &lt; 0, K689 + N688, 0)</f>
        <v>0</v>
      </c>
      <c r="O689" s="1">
        <f>IF(L689 + O688 &lt; 0, L689 + O688, 0)</f>
        <v>0</v>
      </c>
      <c r="P689" s="1">
        <f>IF(O689 &lt; 0, 1 + P688, 0)</f>
        <v>0</v>
      </c>
      <c r="Q689" s="1">
        <f>IF(E689&lt;0,1,0)</f>
        <v>0</v>
      </c>
      <c r="R689" s="1">
        <f>IF(Q689=1,E689,0)</f>
        <v>0</v>
      </c>
      <c r="S689" s="1">
        <f>IF(E689&gt;0,1,0)</f>
        <v>0</v>
      </c>
      <c r="T689" s="1">
        <f>IF(S689=1,E689,0)</f>
        <v>0</v>
      </c>
      <c r="U689" s="1">
        <f>IF(R689&lt;-100000000/100,1,0)</f>
        <v>0</v>
      </c>
      <c r="V689" s="1">
        <f>IF(T689&gt;100000000/100,1,0)</f>
        <v>0</v>
      </c>
      <c r="W689" s="1">
        <f>IF(L689&lt;0,1,0)</f>
        <v>0</v>
      </c>
      <c r="X689" s="1">
        <f>IF(W689=1,L689,0)</f>
        <v>0</v>
      </c>
      <c r="Y689" s="1">
        <f>IF(L689&gt;0,1,0)</f>
        <v>0</v>
      </c>
      <c r="Z689" s="1">
        <f>IF(Y689=1,L689,0)</f>
        <v>0</v>
      </c>
      <c r="AA689" s="1">
        <f>IF(X689&lt;-100000000/100,1,0)</f>
        <v>0</v>
      </c>
      <c r="AB689" s="1">
        <f>IF(Z689&gt;100000000/100,1,0)</f>
        <v>0</v>
      </c>
    </row>
    <row r="690" spans="1:28" s="1" customFormat="1">
      <c r="A690" s="3">
        <v>45987</v>
      </c>
      <c r="B690" s="2" t="s">
        <v>14</v>
      </c>
      <c r="C690" s="1">
        <f>SUM(PL!E690:H690)</f>
        <v>0</v>
      </c>
      <c r="D690" s="1">
        <f>SUM(PL!I690:L690)</f>
        <v>0</v>
      </c>
      <c r="E690" s="1">
        <f>SUM(C690:D690)</f>
        <v>0</v>
      </c>
      <c r="F690" s="1">
        <f>IF(C690 + F689 &lt; 0, C690 + F689, 0)</f>
        <v>0</v>
      </c>
      <c r="G690" s="1">
        <f>IF(D690 + G689 &lt; 0, D690 + G689, 0)</f>
        <v>0</v>
      </c>
      <c r="H690" s="1">
        <f>IF(E690 + H689 &lt; 0, E690 + H689, 0)</f>
        <v>0</v>
      </c>
      <c r="I690" s="1">
        <f>IF(H690 &lt; 0, 1 + I689, 0)</f>
        <v>0</v>
      </c>
      <c r="J690" s="1">
        <f>C690-((ABS(SUM(PL!E690:H690)))*0.125)</f>
        <v>0</v>
      </c>
      <c r="K690" s="1">
        <f>D690-((ABS(SUM(PL!I690:L690)))*0.125)</f>
        <v>0</v>
      </c>
      <c r="L690" s="1">
        <f>J690 + K690</f>
        <v>0</v>
      </c>
      <c r="M690" s="1">
        <f>IF(J690 + M689 &lt; 0, J690 + M689, 0)</f>
        <v>0</v>
      </c>
      <c r="N690" s="1">
        <f>IF(K690 + N689 &lt; 0, K690 + N689, 0)</f>
        <v>0</v>
      </c>
      <c r="O690" s="1">
        <f>IF(L690 + O689 &lt; 0, L690 + O689, 0)</f>
        <v>0</v>
      </c>
      <c r="P690" s="1">
        <f>IF(O690 &lt; 0, 1 + P689, 0)</f>
        <v>0</v>
      </c>
      <c r="Q690" s="1">
        <f>IF(E690&lt;0,1,0)</f>
        <v>0</v>
      </c>
      <c r="R690" s="1">
        <f>IF(Q690=1,E690,0)</f>
        <v>0</v>
      </c>
      <c r="S690" s="1">
        <f>IF(E690&gt;0,1,0)</f>
        <v>0</v>
      </c>
      <c r="T690" s="1">
        <f>IF(S690=1,E690,0)</f>
        <v>0</v>
      </c>
      <c r="U690" s="1">
        <f>IF(R690&lt;-100000000/100,1,0)</f>
        <v>0</v>
      </c>
      <c r="V690" s="1">
        <f>IF(T690&gt;100000000/100,1,0)</f>
        <v>0</v>
      </c>
      <c r="W690" s="1">
        <f>IF(L690&lt;0,1,0)</f>
        <v>0</v>
      </c>
      <c r="X690" s="1">
        <f>IF(W690=1,L690,0)</f>
        <v>0</v>
      </c>
      <c r="Y690" s="1">
        <f>IF(L690&gt;0,1,0)</f>
        <v>0</v>
      </c>
      <c r="Z690" s="1">
        <f>IF(Y690=1,L690,0)</f>
        <v>0</v>
      </c>
      <c r="AA690" s="1">
        <f>IF(X690&lt;-100000000/100,1,0)</f>
        <v>0</v>
      </c>
      <c r="AB690" s="1">
        <f>IF(Z690&gt;100000000/100,1,0)</f>
        <v>0</v>
      </c>
    </row>
    <row r="691" spans="1:28" s="1" customFormat="1">
      <c r="A691" s="3">
        <v>45988</v>
      </c>
      <c r="B691" s="2" t="s">
        <v>16</v>
      </c>
      <c r="C691" s="1">
        <f>SUM(PL!E691:H691)</f>
        <v>0</v>
      </c>
      <c r="D691" s="1">
        <f>SUM(PL!I691:L691)</f>
        <v>0</v>
      </c>
      <c r="E691" s="1">
        <f>SUM(C691:D691)</f>
        <v>0</v>
      </c>
      <c r="F691" s="1">
        <f>IF(C691 + F690 &lt; 0, C691 + F690, 0)</f>
        <v>0</v>
      </c>
      <c r="G691" s="1">
        <f>IF(D691 + G690 &lt; 0, D691 + G690, 0)</f>
        <v>0</v>
      </c>
      <c r="H691" s="1">
        <f>IF(E691 + H690 &lt; 0, E691 + H690, 0)</f>
        <v>0</v>
      </c>
      <c r="I691" s="1">
        <f>IF(H691 &lt; 0, 1 + I690, 0)</f>
        <v>0</v>
      </c>
      <c r="J691" s="1">
        <f>C691-((ABS(SUM(PL!E691:H691)))*0.125)</f>
        <v>0</v>
      </c>
      <c r="K691" s="1">
        <f>D691-((ABS(SUM(PL!I691:L691)))*0.125)</f>
        <v>0</v>
      </c>
      <c r="L691" s="1">
        <f>J691 + K691</f>
        <v>0</v>
      </c>
      <c r="M691" s="1">
        <f>IF(J691 + M690 &lt; 0, J691 + M690, 0)</f>
        <v>0</v>
      </c>
      <c r="N691" s="1">
        <f>IF(K691 + N690 &lt; 0, K691 + N690, 0)</f>
        <v>0</v>
      </c>
      <c r="O691" s="1">
        <f>IF(L691 + O690 &lt; 0, L691 + O690, 0)</f>
        <v>0</v>
      </c>
      <c r="P691" s="1">
        <f>IF(O691 &lt; 0, 1 + P690, 0)</f>
        <v>0</v>
      </c>
      <c r="Q691" s="1">
        <f>IF(E691&lt;0,1,0)</f>
        <v>0</v>
      </c>
      <c r="R691" s="1">
        <f>IF(Q691=1,E691,0)</f>
        <v>0</v>
      </c>
      <c r="S691" s="1">
        <f>IF(E691&gt;0,1,0)</f>
        <v>0</v>
      </c>
      <c r="T691" s="1">
        <f>IF(S691=1,E691,0)</f>
        <v>0</v>
      </c>
      <c r="U691" s="1">
        <f>IF(R691&lt;-100000000/100,1,0)</f>
        <v>0</v>
      </c>
      <c r="V691" s="1">
        <f>IF(T691&gt;100000000/100,1,0)</f>
        <v>0</v>
      </c>
      <c r="W691" s="1">
        <f>IF(L691&lt;0,1,0)</f>
        <v>0</v>
      </c>
      <c r="X691" s="1">
        <f>IF(W691=1,L691,0)</f>
        <v>0</v>
      </c>
      <c r="Y691" s="1">
        <f>IF(L691&gt;0,1,0)</f>
        <v>0</v>
      </c>
      <c r="Z691" s="1">
        <f>IF(Y691=1,L691,0)</f>
        <v>0</v>
      </c>
      <c r="AA691" s="1">
        <f>IF(X691&lt;-100000000/100,1,0)</f>
        <v>0</v>
      </c>
      <c r="AB691" s="1">
        <f>IF(Z691&gt;100000000/100,1,0)</f>
        <v>0</v>
      </c>
    </row>
    <row r="692" spans="1:28" s="1" customFormat="1">
      <c r="A692" s="3">
        <v>45989</v>
      </c>
      <c r="B692" s="2" t="s">
        <v>15</v>
      </c>
      <c r="C692" s="1">
        <f>SUM(PL!E692:H692)</f>
        <v>0</v>
      </c>
      <c r="D692" s="1">
        <f>SUM(PL!I692:L692)</f>
        <v>0</v>
      </c>
      <c r="E692" s="1">
        <f>SUM(C692:D692)</f>
        <v>0</v>
      </c>
      <c r="F692" s="1">
        <f>IF(C692 + F691 &lt; 0, C692 + F691, 0)</f>
        <v>0</v>
      </c>
      <c r="G692" s="1">
        <f>IF(D692 + G691 &lt; 0, D692 + G691, 0)</f>
        <v>0</v>
      </c>
      <c r="H692" s="1">
        <f>IF(E692 + H691 &lt; 0, E692 + H691, 0)</f>
        <v>0</v>
      </c>
      <c r="I692" s="1">
        <f>IF(H692 &lt; 0, 1 + I691, 0)</f>
        <v>0</v>
      </c>
      <c r="J692" s="1">
        <f>C692-((ABS(SUM(PL!E692:H692)))*0.125)</f>
        <v>0</v>
      </c>
      <c r="K692" s="1">
        <f>D692-((ABS(SUM(PL!I692:L692)))*0.125)</f>
        <v>0</v>
      </c>
      <c r="L692" s="1">
        <f>J692 + K692</f>
        <v>0</v>
      </c>
      <c r="M692" s="1">
        <f>IF(J692 + M691 &lt; 0, J692 + M691, 0)</f>
        <v>0</v>
      </c>
      <c r="N692" s="1">
        <f>IF(K692 + N691 &lt; 0, K692 + N691, 0)</f>
        <v>0</v>
      </c>
      <c r="O692" s="1">
        <f>IF(L692 + O691 &lt; 0, L692 + O691, 0)</f>
        <v>0</v>
      </c>
      <c r="P692" s="1">
        <f>IF(O692 &lt; 0, 1 + P691, 0)</f>
        <v>0</v>
      </c>
      <c r="Q692" s="1">
        <f>IF(E692&lt;0,1,0)</f>
        <v>0</v>
      </c>
      <c r="R692" s="1">
        <f>IF(Q692=1,E692,0)</f>
        <v>0</v>
      </c>
      <c r="S692" s="1">
        <f>IF(E692&gt;0,1,0)</f>
        <v>0</v>
      </c>
      <c r="T692" s="1">
        <f>IF(S692=1,E692,0)</f>
        <v>0</v>
      </c>
      <c r="U692" s="1">
        <f>IF(R692&lt;-100000000/100,1,0)</f>
        <v>0</v>
      </c>
      <c r="V692" s="1">
        <f>IF(T692&gt;100000000/100,1,0)</f>
        <v>0</v>
      </c>
      <c r="W692" s="1">
        <f>IF(L692&lt;0,1,0)</f>
        <v>0</v>
      </c>
      <c r="X692" s="1">
        <f>IF(W692=1,L692,0)</f>
        <v>0</v>
      </c>
      <c r="Y692" s="1">
        <f>IF(L692&gt;0,1,0)</f>
        <v>0</v>
      </c>
      <c r="Z692" s="1">
        <f>IF(Y692=1,L692,0)</f>
        <v>0</v>
      </c>
      <c r="AA692" s="1">
        <f>IF(X692&lt;-100000000/100,1,0)</f>
        <v>0</v>
      </c>
      <c r="AB692" s="1">
        <f>IF(Z692&gt;100000000/100,1,0)</f>
        <v>0</v>
      </c>
    </row>
    <row r="693" spans="1:28" s="1" customFormat="1">
      <c r="A693" s="3">
        <v>45992</v>
      </c>
      <c r="B693" s="2" t="s">
        <v>12</v>
      </c>
      <c r="C693" s="1">
        <f>SUM(PL!E693:H693)</f>
        <v>0</v>
      </c>
      <c r="D693" s="1">
        <f>SUM(PL!I693:L693)</f>
        <v>0</v>
      </c>
      <c r="E693" s="1">
        <f>SUM(C693:D693)</f>
        <v>0</v>
      </c>
      <c r="F693" s="1">
        <f>IF(C693 + F692 &lt; 0, C693 + F692, 0)</f>
        <v>0</v>
      </c>
      <c r="G693" s="1">
        <f>IF(D693 + G692 &lt; 0, D693 + G692, 0)</f>
        <v>0</v>
      </c>
      <c r="H693" s="1">
        <f>IF(E693 + H692 &lt; 0, E693 + H692, 0)</f>
        <v>0</v>
      </c>
      <c r="I693" s="1">
        <f>IF(H693 &lt; 0, 1 + I692, 0)</f>
        <v>0</v>
      </c>
      <c r="J693" s="1">
        <f>C693-((ABS(SUM(PL!E693:H693)))*0.125)</f>
        <v>0</v>
      </c>
      <c r="K693" s="1">
        <f>D693-((ABS(SUM(PL!I693:L693)))*0.125)</f>
        <v>0</v>
      </c>
      <c r="L693" s="1">
        <f>J693 + K693</f>
        <v>0</v>
      </c>
      <c r="M693" s="1">
        <f>IF(J693 + M692 &lt; 0, J693 + M692, 0)</f>
        <v>0</v>
      </c>
      <c r="N693" s="1">
        <f>IF(K693 + N692 &lt; 0, K693 + N692, 0)</f>
        <v>0</v>
      </c>
      <c r="O693" s="1">
        <f>IF(L693 + O692 &lt; 0, L693 + O692, 0)</f>
        <v>0</v>
      </c>
      <c r="P693" s="1">
        <f>IF(O693 &lt; 0, 1 + P692, 0)</f>
        <v>0</v>
      </c>
      <c r="Q693" s="1">
        <f>IF(E693&lt;0,1,0)</f>
        <v>0</v>
      </c>
      <c r="R693" s="1">
        <f>IF(Q693=1,E693,0)</f>
        <v>0</v>
      </c>
      <c r="S693" s="1">
        <f>IF(E693&gt;0,1,0)</f>
        <v>0</v>
      </c>
      <c r="T693" s="1">
        <f>IF(S693=1,E693,0)</f>
        <v>0</v>
      </c>
      <c r="U693" s="1">
        <f>IF(R693&lt;-100000000/100,1,0)</f>
        <v>0</v>
      </c>
      <c r="V693" s="1">
        <f>IF(T693&gt;100000000/100,1,0)</f>
        <v>0</v>
      </c>
      <c r="W693" s="1">
        <f>IF(L693&lt;0,1,0)</f>
        <v>0</v>
      </c>
      <c r="X693" s="1">
        <f>IF(W693=1,L693,0)</f>
        <v>0</v>
      </c>
      <c r="Y693" s="1">
        <f>IF(L693&gt;0,1,0)</f>
        <v>0</v>
      </c>
      <c r="Z693" s="1">
        <f>IF(Y693=1,L693,0)</f>
        <v>0</v>
      </c>
      <c r="AA693" s="1">
        <f>IF(X693&lt;-100000000/100,1,0)</f>
        <v>0</v>
      </c>
      <c r="AB693" s="1">
        <f>IF(Z693&gt;100000000/100,1,0)</f>
        <v>0</v>
      </c>
    </row>
    <row r="694" spans="1:28" s="1" customFormat="1">
      <c r="A694" s="3">
        <v>45993</v>
      </c>
      <c r="B694" s="2" t="s">
        <v>13</v>
      </c>
      <c r="C694" s="1">
        <f>SUM(PL!E694:H694)</f>
        <v>0</v>
      </c>
      <c r="D694" s="1">
        <f>SUM(PL!I694:L694)</f>
        <v>0</v>
      </c>
      <c r="E694" s="1">
        <f>SUM(C694:D694)</f>
        <v>0</v>
      </c>
      <c r="F694" s="1">
        <f>IF(C694 + F693 &lt; 0, C694 + F693, 0)</f>
        <v>0</v>
      </c>
      <c r="G694" s="1">
        <f>IF(D694 + G693 &lt; 0, D694 + G693, 0)</f>
        <v>0</v>
      </c>
      <c r="H694" s="1">
        <f>IF(E694 + H693 &lt; 0, E694 + H693, 0)</f>
        <v>0</v>
      </c>
      <c r="I694" s="1">
        <f>IF(H694 &lt; 0, 1 + I693, 0)</f>
        <v>0</v>
      </c>
      <c r="J694" s="1">
        <f>C694-((ABS(SUM(PL!E694:H694)))*0.125)</f>
        <v>0</v>
      </c>
      <c r="K694" s="1">
        <f>D694-((ABS(SUM(PL!I694:L694)))*0.125)</f>
        <v>0</v>
      </c>
      <c r="L694" s="1">
        <f>J694 + K694</f>
        <v>0</v>
      </c>
      <c r="M694" s="1">
        <f>IF(J694 + M693 &lt; 0, J694 + M693, 0)</f>
        <v>0</v>
      </c>
      <c r="N694" s="1">
        <f>IF(K694 + N693 &lt; 0, K694 + N693, 0)</f>
        <v>0</v>
      </c>
      <c r="O694" s="1">
        <f>IF(L694 + O693 &lt; 0, L694 + O693, 0)</f>
        <v>0</v>
      </c>
      <c r="P694" s="1">
        <f>IF(O694 &lt; 0, 1 + P693, 0)</f>
        <v>0</v>
      </c>
      <c r="Q694" s="1">
        <f>IF(E694&lt;0,1,0)</f>
        <v>0</v>
      </c>
      <c r="R694" s="1">
        <f>IF(Q694=1,E694,0)</f>
        <v>0</v>
      </c>
      <c r="S694" s="1">
        <f>IF(E694&gt;0,1,0)</f>
        <v>0</v>
      </c>
      <c r="T694" s="1">
        <f>IF(S694=1,E694,0)</f>
        <v>0</v>
      </c>
      <c r="U694" s="1">
        <f>IF(R694&lt;-100000000/100,1,0)</f>
        <v>0</v>
      </c>
      <c r="V694" s="1">
        <f>IF(T694&gt;100000000/100,1,0)</f>
        <v>0</v>
      </c>
      <c r="W694" s="1">
        <f>IF(L694&lt;0,1,0)</f>
        <v>0</v>
      </c>
      <c r="X694" s="1">
        <f>IF(W694=1,L694,0)</f>
        <v>0</v>
      </c>
      <c r="Y694" s="1">
        <f>IF(L694&gt;0,1,0)</f>
        <v>0</v>
      </c>
      <c r="Z694" s="1">
        <f>IF(Y694=1,L694,0)</f>
        <v>0</v>
      </c>
      <c r="AA694" s="1">
        <f>IF(X694&lt;-100000000/100,1,0)</f>
        <v>0</v>
      </c>
      <c r="AB694" s="1">
        <f>IF(Z694&gt;100000000/100,1,0)</f>
        <v>0</v>
      </c>
    </row>
    <row r="695" spans="1:28" s="1" customFormat="1">
      <c r="A695" s="3">
        <v>45994</v>
      </c>
      <c r="B695" s="2" t="s">
        <v>14</v>
      </c>
      <c r="C695" s="1">
        <f>SUM(PL!E695:H695)</f>
        <v>0</v>
      </c>
      <c r="D695" s="1">
        <f>SUM(PL!I695:L695)</f>
        <v>0</v>
      </c>
      <c r="E695" s="1">
        <f>SUM(C695:D695)</f>
        <v>0</v>
      </c>
      <c r="F695" s="1">
        <f>IF(C695 + F694 &lt; 0, C695 + F694, 0)</f>
        <v>0</v>
      </c>
      <c r="G695" s="1">
        <f>IF(D695 + G694 &lt; 0, D695 + G694, 0)</f>
        <v>0</v>
      </c>
      <c r="H695" s="1">
        <f>IF(E695 + H694 &lt; 0, E695 + H694, 0)</f>
        <v>0</v>
      </c>
      <c r="I695" s="1">
        <f>IF(H695 &lt; 0, 1 + I694, 0)</f>
        <v>0</v>
      </c>
      <c r="J695" s="1">
        <f>C695-((ABS(SUM(PL!E695:H695)))*0.125)</f>
        <v>0</v>
      </c>
      <c r="K695" s="1">
        <f>D695-((ABS(SUM(PL!I695:L695)))*0.125)</f>
        <v>0</v>
      </c>
      <c r="L695" s="1">
        <f>J695 + K695</f>
        <v>0</v>
      </c>
      <c r="M695" s="1">
        <f>IF(J695 + M694 &lt; 0, J695 + M694, 0)</f>
        <v>0</v>
      </c>
      <c r="N695" s="1">
        <f>IF(K695 + N694 &lt; 0, K695 + N694, 0)</f>
        <v>0</v>
      </c>
      <c r="O695" s="1">
        <f>IF(L695 + O694 &lt; 0, L695 + O694, 0)</f>
        <v>0</v>
      </c>
      <c r="P695" s="1">
        <f>IF(O695 &lt; 0, 1 + P694, 0)</f>
        <v>0</v>
      </c>
      <c r="Q695" s="1">
        <f>IF(E695&lt;0,1,0)</f>
        <v>0</v>
      </c>
      <c r="R695" s="1">
        <f>IF(Q695=1,E695,0)</f>
        <v>0</v>
      </c>
      <c r="S695" s="1">
        <f>IF(E695&gt;0,1,0)</f>
        <v>0</v>
      </c>
      <c r="T695" s="1">
        <f>IF(S695=1,E695,0)</f>
        <v>0</v>
      </c>
      <c r="U695" s="1">
        <f>IF(R695&lt;-100000000/100,1,0)</f>
        <v>0</v>
      </c>
      <c r="V695" s="1">
        <f>IF(T695&gt;100000000/100,1,0)</f>
        <v>0</v>
      </c>
      <c r="W695" s="1">
        <f>IF(L695&lt;0,1,0)</f>
        <v>0</v>
      </c>
      <c r="X695" s="1">
        <f>IF(W695=1,L695,0)</f>
        <v>0</v>
      </c>
      <c r="Y695" s="1">
        <f>IF(L695&gt;0,1,0)</f>
        <v>0</v>
      </c>
      <c r="Z695" s="1">
        <f>IF(Y695=1,L695,0)</f>
        <v>0</v>
      </c>
      <c r="AA695" s="1">
        <f>IF(X695&lt;-100000000/100,1,0)</f>
        <v>0</v>
      </c>
      <c r="AB695" s="1">
        <f>IF(Z695&gt;100000000/100,1,0)</f>
        <v>0</v>
      </c>
    </row>
    <row r="696" spans="1:28" s="1" customFormat="1">
      <c r="A696" s="3">
        <v>45995</v>
      </c>
      <c r="B696" s="2" t="s">
        <v>16</v>
      </c>
      <c r="C696" s="1">
        <f>SUM(PL!E696:H696)</f>
        <v>0</v>
      </c>
      <c r="D696" s="1">
        <f>SUM(PL!I696:L696)</f>
        <v>0</v>
      </c>
      <c r="E696" s="1">
        <f>SUM(C696:D696)</f>
        <v>0</v>
      </c>
      <c r="F696" s="1">
        <f>IF(C696 + F695 &lt; 0, C696 + F695, 0)</f>
        <v>0</v>
      </c>
      <c r="G696" s="1">
        <f>IF(D696 + G695 &lt; 0, D696 + G695, 0)</f>
        <v>0</v>
      </c>
      <c r="H696" s="1">
        <f>IF(E696 + H695 &lt; 0, E696 + H695, 0)</f>
        <v>0</v>
      </c>
      <c r="I696" s="1">
        <f>IF(H696 &lt; 0, 1 + I695, 0)</f>
        <v>0</v>
      </c>
      <c r="J696" s="1">
        <f>C696-((ABS(SUM(PL!E696:H696)))*0.125)</f>
        <v>0</v>
      </c>
      <c r="K696" s="1">
        <f>D696-((ABS(SUM(PL!I696:L696)))*0.125)</f>
        <v>0</v>
      </c>
      <c r="L696" s="1">
        <f>J696 + K696</f>
        <v>0</v>
      </c>
      <c r="M696" s="1">
        <f>IF(J696 + M695 &lt; 0, J696 + M695, 0)</f>
        <v>0</v>
      </c>
      <c r="N696" s="1">
        <f>IF(K696 + N695 &lt; 0, K696 + N695, 0)</f>
        <v>0</v>
      </c>
      <c r="O696" s="1">
        <f>IF(L696 + O695 &lt; 0, L696 + O695, 0)</f>
        <v>0</v>
      </c>
      <c r="P696" s="1">
        <f>IF(O696 &lt; 0, 1 + P695, 0)</f>
        <v>0</v>
      </c>
      <c r="Q696" s="1">
        <f>IF(E696&lt;0,1,0)</f>
        <v>0</v>
      </c>
      <c r="R696" s="1">
        <f>IF(Q696=1,E696,0)</f>
        <v>0</v>
      </c>
      <c r="S696" s="1">
        <f>IF(E696&gt;0,1,0)</f>
        <v>0</v>
      </c>
      <c r="T696" s="1">
        <f>IF(S696=1,E696,0)</f>
        <v>0</v>
      </c>
      <c r="U696" s="1">
        <f>IF(R696&lt;-100000000/100,1,0)</f>
        <v>0</v>
      </c>
      <c r="V696" s="1">
        <f>IF(T696&gt;100000000/100,1,0)</f>
        <v>0</v>
      </c>
      <c r="W696" s="1">
        <f>IF(L696&lt;0,1,0)</f>
        <v>0</v>
      </c>
      <c r="X696" s="1">
        <f>IF(W696=1,L696,0)</f>
        <v>0</v>
      </c>
      <c r="Y696" s="1">
        <f>IF(L696&gt;0,1,0)</f>
        <v>0</v>
      </c>
      <c r="Z696" s="1">
        <f>IF(Y696=1,L696,0)</f>
        <v>0</v>
      </c>
      <c r="AA696" s="1">
        <f>IF(X696&lt;-100000000/100,1,0)</f>
        <v>0</v>
      </c>
      <c r="AB696" s="1">
        <f>IF(Z696&gt;100000000/100,1,0)</f>
        <v>0</v>
      </c>
    </row>
    <row r="697" spans="1:28" s="1" customFormat="1">
      <c r="A697" s="3">
        <v>45996</v>
      </c>
      <c r="B697" s="2" t="s">
        <v>15</v>
      </c>
      <c r="C697" s="1">
        <f>SUM(PL!E697:H697)</f>
        <v>0</v>
      </c>
      <c r="D697" s="1">
        <f>SUM(PL!I697:L697)</f>
        <v>0</v>
      </c>
      <c r="E697" s="1">
        <f>SUM(C697:D697)</f>
        <v>0</v>
      </c>
      <c r="F697" s="1">
        <f>IF(C697 + F696 &lt; 0, C697 + F696, 0)</f>
        <v>0</v>
      </c>
      <c r="G697" s="1">
        <f>IF(D697 + G696 &lt; 0, D697 + G696, 0)</f>
        <v>0</v>
      </c>
      <c r="H697" s="1">
        <f>IF(E697 + H696 &lt; 0, E697 + H696, 0)</f>
        <v>0</v>
      </c>
      <c r="I697" s="1">
        <f>IF(H697 &lt; 0, 1 + I696, 0)</f>
        <v>0</v>
      </c>
      <c r="J697" s="1">
        <f>C697-((ABS(SUM(PL!E697:H697)))*0.125)</f>
        <v>0</v>
      </c>
      <c r="K697" s="1">
        <f>D697-((ABS(SUM(PL!I697:L697)))*0.125)</f>
        <v>0</v>
      </c>
      <c r="L697" s="1">
        <f>J697 + K697</f>
        <v>0</v>
      </c>
      <c r="M697" s="1">
        <f>IF(J697 + M696 &lt; 0, J697 + M696, 0)</f>
        <v>0</v>
      </c>
      <c r="N697" s="1">
        <f>IF(K697 + N696 &lt; 0, K697 + N696, 0)</f>
        <v>0</v>
      </c>
      <c r="O697" s="1">
        <f>IF(L697 + O696 &lt; 0, L697 + O696, 0)</f>
        <v>0</v>
      </c>
      <c r="P697" s="1">
        <f>IF(O697 &lt; 0, 1 + P696, 0)</f>
        <v>0</v>
      </c>
      <c r="Q697" s="1">
        <f>IF(E697&lt;0,1,0)</f>
        <v>0</v>
      </c>
      <c r="R697" s="1">
        <f>IF(Q697=1,E697,0)</f>
        <v>0</v>
      </c>
      <c r="S697" s="1">
        <f>IF(E697&gt;0,1,0)</f>
        <v>0</v>
      </c>
      <c r="T697" s="1">
        <f>IF(S697=1,E697,0)</f>
        <v>0</v>
      </c>
      <c r="U697" s="1">
        <f>IF(R697&lt;-100000000/100,1,0)</f>
        <v>0</v>
      </c>
      <c r="V697" s="1">
        <f>IF(T697&gt;100000000/100,1,0)</f>
        <v>0</v>
      </c>
      <c r="W697" s="1">
        <f>IF(L697&lt;0,1,0)</f>
        <v>0</v>
      </c>
      <c r="X697" s="1">
        <f>IF(W697=1,L697,0)</f>
        <v>0</v>
      </c>
      <c r="Y697" s="1">
        <f>IF(L697&gt;0,1,0)</f>
        <v>0</v>
      </c>
      <c r="Z697" s="1">
        <f>IF(Y697=1,L697,0)</f>
        <v>0</v>
      </c>
      <c r="AA697" s="1">
        <f>IF(X697&lt;-100000000/100,1,0)</f>
        <v>0</v>
      </c>
      <c r="AB697" s="1">
        <f>IF(Z697&gt;100000000/100,1,0)</f>
        <v>0</v>
      </c>
    </row>
    <row r="698" spans="1:28" s="1" customFormat="1">
      <c r="A698" s="3">
        <v>45999</v>
      </c>
      <c r="B698" s="2" t="s">
        <v>12</v>
      </c>
      <c r="C698" s="1">
        <f>SUM(PL!E698:H698)</f>
        <v>0</v>
      </c>
      <c r="D698" s="1">
        <f>SUM(PL!I698:L698)</f>
        <v>0</v>
      </c>
      <c r="E698" s="1">
        <f>SUM(C698:D698)</f>
        <v>0</v>
      </c>
      <c r="F698" s="1">
        <f>IF(C698 + F697 &lt; 0, C698 + F697, 0)</f>
        <v>0</v>
      </c>
      <c r="G698" s="1">
        <f>IF(D698 + G697 &lt; 0, D698 + G697, 0)</f>
        <v>0</v>
      </c>
      <c r="H698" s="1">
        <f>IF(E698 + H697 &lt; 0, E698 + H697, 0)</f>
        <v>0</v>
      </c>
      <c r="I698" s="1">
        <f>IF(H698 &lt; 0, 1 + I697, 0)</f>
        <v>0</v>
      </c>
      <c r="J698" s="1">
        <f>C698-((ABS(SUM(PL!E698:H698)))*0.125)</f>
        <v>0</v>
      </c>
      <c r="K698" s="1">
        <f>D698-((ABS(SUM(PL!I698:L698)))*0.125)</f>
        <v>0</v>
      </c>
      <c r="L698" s="1">
        <f>J698 + K698</f>
        <v>0</v>
      </c>
      <c r="M698" s="1">
        <f>IF(J698 + M697 &lt; 0, J698 + M697, 0)</f>
        <v>0</v>
      </c>
      <c r="N698" s="1">
        <f>IF(K698 + N697 &lt; 0, K698 + N697, 0)</f>
        <v>0</v>
      </c>
      <c r="O698" s="1">
        <f>IF(L698 + O697 &lt; 0, L698 + O697, 0)</f>
        <v>0</v>
      </c>
      <c r="P698" s="1">
        <f>IF(O698 &lt; 0, 1 + P697, 0)</f>
        <v>0</v>
      </c>
      <c r="Q698" s="1">
        <f>IF(E698&lt;0,1,0)</f>
        <v>0</v>
      </c>
      <c r="R698" s="1">
        <f>IF(Q698=1,E698,0)</f>
        <v>0</v>
      </c>
      <c r="S698" s="1">
        <f>IF(E698&gt;0,1,0)</f>
        <v>0</v>
      </c>
      <c r="T698" s="1">
        <f>IF(S698=1,E698,0)</f>
        <v>0</v>
      </c>
      <c r="U698" s="1">
        <f>IF(R698&lt;-100000000/100,1,0)</f>
        <v>0</v>
      </c>
      <c r="V698" s="1">
        <f>IF(T698&gt;100000000/100,1,0)</f>
        <v>0</v>
      </c>
      <c r="W698" s="1">
        <f>IF(L698&lt;0,1,0)</f>
        <v>0</v>
      </c>
      <c r="X698" s="1">
        <f>IF(W698=1,L698,0)</f>
        <v>0</v>
      </c>
      <c r="Y698" s="1">
        <f>IF(L698&gt;0,1,0)</f>
        <v>0</v>
      </c>
      <c r="Z698" s="1">
        <f>IF(Y698=1,L698,0)</f>
        <v>0</v>
      </c>
      <c r="AA698" s="1">
        <f>IF(X698&lt;-100000000/100,1,0)</f>
        <v>0</v>
      </c>
      <c r="AB698" s="1">
        <f>IF(Z698&gt;100000000/100,1,0)</f>
        <v>0</v>
      </c>
    </row>
    <row r="699" spans="1:28" s="1" customFormat="1">
      <c r="A699" s="3">
        <v>46000</v>
      </c>
      <c r="B699" s="2" t="s">
        <v>13</v>
      </c>
      <c r="C699" s="1">
        <f>SUM(PL!E699:H699)</f>
        <v>0</v>
      </c>
      <c r="D699" s="1">
        <f>SUM(PL!I699:L699)</f>
        <v>0</v>
      </c>
      <c r="E699" s="1">
        <f>SUM(C699:D699)</f>
        <v>0</v>
      </c>
      <c r="F699" s="1">
        <f>IF(C699 + F698 &lt; 0, C699 + F698, 0)</f>
        <v>0</v>
      </c>
      <c r="G699" s="1">
        <f>IF(D699 + G698 &lt; 0, D699 + G698, 0)</f>
        <v>0</v>
      </c>
      <c r="H699" s="1">
        <f>IF(E699 + H698 &lt; 0, E699 + H698, 0)</f>
        <v>0</v>
      </c>
      <c r="I699" s="1">
        <f>IF(H699 &lt; 0, 1 + I698, 0)</f>
        <v>0</v>
      </c>
      <c r="J699" s="1">
        <f>C699-((ABS(SUM(PL!E699:H699)))*0.125)</f>
        <v>0</v>
      </c>
      <c r="K699" s="1">
        <f>D699-((ABS(SUM(PL!I699:L699)))*0.125)</f>
        <v>0</v>
      </c>
      <c r="L699" s="1">
        <f>J699 + K699</f>
        <v>0</v>
      </c>
      <c r="M699" s="1">
        <f>IF(J699 + M698 &lt; 0, J699 + M698, 0)</f>
        <v>0</v>
      </c>
      <c r="N699" s="1">
        <f>IF(K699 + N698 &lt; 0, K699 + N698, 0)</f>
        <v>0</v>
      </c>
      <c r="O699" s="1">
        <f>IF(L699 + O698 &lt; 0, L699 + O698, 0)</f>
        <v>0</v>
      </c>
      <c r="P699" s="1">
        <f>IF(O699 &lt; 0, 1 + P698, 0)</f>
        <v>0</v>
      </c>
      <c r="Q699" s="1">
        <f>IF(E699&lt;0,1,0)</f>
        <v>0</v>
      </c>
      <c r="R699" s="1">
        <f>IF(Q699=1,E699,0)</f>
        <v>0</v>
      </c>
      <c r="S699" s="1">
        <f>IF(E699&gt;0,1,0)</f>
        <v>0</v>
      </c>
      <c r="T699" s="1">
        <f>IF(S699=1,E699,0)</f>
        <v>0</v>
      </c>
      <c r="U699" s="1">
        <f>IF(R699&lt;-100000000/100,1,0)</f>
        <v>0</v>
      </c>
      <c r="V699" s="1">
        <f>IF(T699&gt;100000000/100,1,0)</f>
        <v>0</v>
      </c>
      <c r="W699" s="1">
        <f>IF(L699&lt;0,1,0)</f>
        <v>0</v>
      </c>
      <c r="X699" s="1">
        <f>IF(W699=1,L699,0)</f>
        <v>0</v>
      </c>
      <c r="Y699" s="1">
        <f>IF(L699&gt;0,1,0)</f>
        <v>0</v>
      </c>
      <c r="Z699" s="1">
        <f>IF(Y699=1,L699,0)</f>
        <v>0</v>
      </c>
      <c r="AA699" s="1">
        <f>IF(X699&lt;-100000000/100,1,0)</f>
        <v>0</v>
      </c>
      <c r="AB699" s="1">
        <f>IF(Z699&gt;100000000/100,1,0)</f>
        <v>0</v>
      </c>
    </row>
    <row r="700" spans="1:28" s="1" customFormat="1">
      <c r="A700" s="3">
        <v>46001</v>
      </c>
      <c r="B700" s="2" t="s">
        <v>14</v>
      </c>
      <c r="C700" s="1">
        <f>SUM(PL!E700:H700)</f>
        <v>0</v>
      </c>
      <c r="D700" s="1">
        <f>SUM(PL!I700:L700)</f>
        <v>0</v>
      </c>
      <c r="E700" s="1">
        <f>SUM(C700:D700)</f>
        <v>0</v>
      </c>
      <c r="F700" s="1">
        <f>IF(C700 + F699 &lt; 0, C700 + F699, 0)</f>
        <v>0</v>
      </c>
      <c r="G700" s="1">
        <f>IF(D700 + G699 &lt; 0, D700 + G699, 0)</f>
        <v>0</v>
      </c>
      <c r="H700" s="1">
        <f>IF(E700 + H699 &lt; 0, E700 + H699, 0)</f>
        <v>0</v>
      </c>
      <c r="I700" s="1">
        <f>IF(H700 &lt; 0, 1 + I699, 0)</f>
        <v>0</v>
      </c>
      <c r="J700" s="1">
        <f>C700-((ABS(SUM(PL!E700:H700)))*0.125)</f>
        <v>0</v>
      </c>
      <c r="K700" s="1">
        <f>D700-((ABS(SUM(PL!I700:L700)))*0.125)</f>
        <v>0</v>
      </c>
      <c r="L700" s="1">
        <f>J700 + K700</f>
        <v>0</v>
      </c>
      <c r="M700" s="1">
        <f>IF(J700 + M699 &lt; 0, J700 + M699, 0)</f>
        <v>0</v>
      </c>
      <c r="N700" s="1">
        <f>IF(K700 + N699 &lt; 0, K700 + N699, 0)</f>
        <v>0</v>
      </c>
      <c r="O700" s="1">
        <f>IF(L700 + O699 &lt; 0, L700 + O699, 0)</f>
        <v>0</v>
      </c>
      <c r="P700" s="1">
        <f>IF(O700 &lt; 0, 1 + P699, 0)</f>
        <v>0</v>
      </c>
      <c r="Q700" s="1">
        <f>IF(E700&lt;0,1,0)</f>
        <v>0</v>
      </c>
      <c r="R700" s="1">
        <f>IF(Q700=1,E700,0)</f>
        <v>0</v>
      </c>
      <c r="S700" s="1">
        <f>IF(E700&gt;0,1,0)</f>
        <v>0</v>
      </c>
      <c r="T700" s="1">
        <f>IF(S700=1,E700,0)</f>
        <v>0</v>
      </c>
      <c r="U700" s="1">
        <f>IF(R700&lt;-100000000/100,1,0)</f>
        <v>0</v>
      </c>
      <c r="V700" s="1">
        <f>IF(T700&gt;100000000/100,1,0)</f>
        <v>0</v>
      </c>
      <c r="W700" s="1">
        <f>IF(L700&lt;0,1,0)</f>
        <v>0</v>
      </c>
      <c r="X700" s="1">
        <f>IF(W700=1,L700,0)</f>
        <v>0</v>
      </c>
      <c r="Y700" s="1">
        <f>IF(L700&gt;0,1,0)</f>
        <v>0</v>
      </c>
      <c r="Z700" s="1">
        <f>IF(Y700=1,L700,0)</f>
        <v>0</v>
      </c>
      <c r="AA700" s="1">
        <f>IF(X700&lt;-100000000/100,1,0)</f>
        <v>0</v>
      </c>
      <c r="AB700" s="1">
        <f>IF(Z700&gt;100000000/100,1,0)</f>
        <v>0</v>
      </c>
    </row>
    <row r="701" spans="1:28" s="1" customFormat="1">
      <c r="A701" s="3">
        <v>46002</v>
      </c>
      <c r="B701" s="2" t="s">
        <v>16</v>
      </c>
      <c r="C701" s="1">
        <f>SUM(PL!E701:H701)</f>
        <v>0</v>
      </c>
      <c r="D701" s="1">
        <f>SUM(PL!I701:L701)</f>
        <v>0</v>
      </c>
      <c r="E701" s="1">
        <f>SUM(C701:D701)</f>
        <v>0</v>
      </c>
      <c r="F701" s="1">
        <f>IF(C701 + F700 &lt; 0, C701 + F700, 0)</f>
        <v>0</v>
      </c>
      <c r="G701" s="1">
        <f>IF(D701 + G700 &lt; 0, D701 + G700, 0)</f>
        <v>0</v>
      </c>
      <c r="H701" s="1">
        <f>IF(E701 + H700 &lt; 0, E701 + H700, 0)</f>
        <v>0</v>
      </c>
      <c r="I701" s="1">
        <f>IF(H701 &lt; 0, 1 + I700, 0)</f>
        <v>0</v>
      </c>
      <c r="J701" s="1">
        <f>C701-((ABS(SUM(PL!E701:H701)))*0.125)</f>
        <v>0</v>
      </c>
      <c r="K701" s="1">
        <f>D701-((ABS(SUM(PL!I701:L701)))*0.125)</f>
        <v>0</v>
      </c>
      <c r="L701" s="1">
        <f>J701 + K701</f>
        <v>0</v>
      </c>
      <c r="M701" s="1">
        <f>IF(J701 + M700 &lt; 0, J701 + M700, 0)</f>
        <v>0</v>
      </c>
      <c r="N701" s="1">
        <f>IF(K701 + N700 &lt; 0, K701 + N700, 0)</f>
        <v>0</v>
      </c>
      <c r="O701" s="1">
        <f>IF(L701 + O700 &lt; 0, L701 + O700, 0)</f>
        <v>0</v>
      </c>
      <c r="P701" s="1">
        <f>IF(O701 &lt; 0, 1 + P700, 0)</f>
        <v>0</v>
      </c>
      <c r="Q701" s="1">
        <f>IF(E701&lt;0,1,0)</f>
        <v>0</v>
      </c>
      <c r="R701" s="1">
        <f>IF(Q701=1,E701,0)</f>
        <v>0</v>
      </c>
      <c r="S701" s="1">
        <f>IF(E701&gt;0,1,0)</f>
        <v>0</v>
      </c>
      <c r="T701" s="1">
        <f>IF(S701=1,E701,0)</f>
        <v>0</v>
      </c>
      <c r="U701" s="1">
        <f>IF(R701&lt;-100000000/100,1,0)</f>
        <v>0</v>
      </c>
      <c r="V701" s="1">
        <f>IF(T701&gt;100000000/100,1,0)</f>
        <v>0</v>
      </c>
      <c r="W701" s="1">
        <f>IF(L701&lt;0,1,0)</f>
        <v>0</v>
      </c>
      <c r="X701" s="1">
        <f>IF(W701=1,L701,0)</f>
        <v>0</v>
      </c>
      <c r="Y701" s="1">
        <f>IF(L701&gt;0,1,0)</f>
        <v>0</v>
      </c>
      <c r="Z701" s="1">
        <f>IF(Y701=1,L701,0)</f>
        <v>0</v>
      </c>
      <c r="AA701" s="1">
        <f>IF(X701&lt;-100000000/100,1,0)</f>
        <v>0</v>
      </c>
      <c r="AB701" s="1">
        <f>IF(Z701&gt;100000000/100,1,0)</f>
        <v>0</v>
      </c>
    </row>
    <row r="702" spans="1:28" s="1" customFormat="1">
      <c r="A702" s="3">
        <v>46003</v>
      </c>
      <c r="B702" s="2" t="s">
        <v>15</v>
      </c>
      <c r="C702" s="1">
        <f>SUM(PL!E702:H702)</f>
        <v>0</v>
      </c>
      <c r="D702" s="1">
        <f>SUM(PL!I702:L702)</f>
        <v>0</v>
      </c>
      <c r="E702" s="1">
        <f>SUM(C702:D702)</f>
        <v>0</v>
      </c>
      <c r="F702" s="1">
        <f>IF(C702 + F701 &lt; 0, C702 + F701, 0)</f>
        <v>0</v>
      </c>
      <c r="G702" s="1">
        <f>IF(D702 + G701 &lt; 0, D702 + G701, 0)</f>
        <v>0</v>
      </c>
      <c r="H702" s="1">
        <f>IF(E702 + H701 &lt; 0, E702 + H701, 0)</f>
        <v>0</v>
      </c>
      <c r="I702" s="1">
        <f>IF(H702 &lt; 0, 1 + I701, 0)</f>
        <v>0</v>
      </c>
      <c r="J702" s="1">
        <f>C702-((ABS(SUM(PL!E702:H702)))*0.125)</f>
        <v>0</v>
      </c>
      <c r="K702" s="1">
        <f>D702-((ABS(SUM(PL!I702:L702)))*0.125)</f>
        <v>0</v>
      </c>
      <c r="L702" s="1">
        <f>J702 + K702</f>
        <v>0</v>
      </c>
      <c r="M702" s="1">
        <f>IF(J702 + M701 &lt; 0, J702 + M701, 0)</f>
        <v>0</v>
      </c>
      <c r="N702" s="1">
        <f>IF(K702 + N701 &lt; 0, K702 + N701, 0)</f>
        <v>0</v>
      </c>
      <c r="O702" s="1">
        <f>IF(L702 + O701 &lt; 0, L702 + O701, 0)</f>
        <v>0</v>
      </c>
      <c r="P702" s="1">
        <f>IF(O702 &lt; 0, 1 + P701, 0)</f>
        <v>0</v>
      </c>
      <c r="Q702" s="1">
        <f>IF(E702&lt;0,1,0)</f>
        <v>0</v>
      </c>
      <c r="R702" s="1">
        <f>IF(Q702=1,E702,0)</f>
        <v>0</v>
      </c>
      <c r="S702" s="1">
        <f>IF(E702&gt;0,1,0)</f>
        <v>0</v>
      </c>
      <c r="T702" s="1">
        <f>IF(S702=1,E702,0)</f>
        <v>0</v>
      </c>
      <c r="U702" s="1">
        <f>IF(R702&lt;-100000000/100,1,0)</f>
        <v>0</v>
      </c>
      <c r="V702" s="1">
        <f>IF(T702&gt;100000000/100,1,0)</f>
        <v>0</v>
      </c>
      <c r="W702" s="1">
        <f>IF(L702&lt;0,1,0)</f>
        <v>0</v>
      </c>
      <c r="X702" s="1">
        <f>IF(W702=1,L702,0)</f>
        <v>0</v>
      </c>
      <c r="Y702" s="1">
        <f>IF(L702&gt;0,1,0)</f>
        <v>0</v>
      </c>
      <c r="Z702" s="1">
        <f>IF(Y702=1,L702,0)</f>
        <v>0</v>
      </c>
      <c r="AA702" s="1">
        <f>IF(X702&lt;-100000000/100,1,0)</f>
        <v>0</v>
      </c>
      <c r="AB702" s="1">
        <f>IF(Z702&gt;100000000/100,1,0)</f>
        <v>0</v>
      </c>
    </row>
    <row r="703" spans="1:28" s="1" customFormat="1">
      <c r="A703" s="3">
        <v>46006</v>
      </c>
      <c r="B703" s="2" t="s">
        <v>12</v>
      </c>
      <c r="C703" s="1">
        <f>SUM(PL!E703:H703)</f>
        <v>0</v>
      </c>
      <c r="D703" s="1">
        <f>SUM(PL!I703:L703)</f>
        <v>0</v>
      </c>
      <c r="E703" s="1">
        <f>SUM(C703:D703)</f>
        <v>0</v>
      </c>
      <c r="F703" s="1">
        <f>IF(C703 + F702 &lt; 0, C703 + F702, 0)</f>
        <v>0</v>
      </c>
      <c r="G703" s="1">
        <f>IF(D703 + G702 &lt; 0, D703 + G702, 0)</f>
        <v>0</v>
      </c>
      <c r="H703" s="1">
        <f>IF(E703 + H702 &lt; 0, E703 + H702, 0)</f>
        <v>0</v>
      </c>
      <c r="I703" s="1">
        <f>IF(H703 &lt; 0, 1 + I702, 0)</f>
        <v>0</v>
      </c>
      <c r="J703" s="1">
        <f>C703-((ABS(SUM(PL!E703:H703)))*0.125)</f>
        <v>0</v>
      </c>
      <c r="K703" s="1">
        <f>D703-((ABS(SUM(PL!I703:L703)))*0.125)</f>
        <v>0</v>
      </c>
      <c r="L703" s="1">
        <f>J703 + K703</f>
        <v>0</v>
      </c>
      <c r="M703" s="1">
        <f>IF(J703 + M702 &lt; 0, J703 + M702, 0)</f>
        <v>0</v>
      </c>
      <c r="N703" s="1">
        <f>IF(K703 + N702 &lt; 0, K703 + N702, 0)</f>
        <v>0</v>
      </c>
      <c r="O703" s="1">
        <f>IF(L703 + O702 &lt; 0, L703 + O702, 0)</f>
        <v>0</v>
      </c>
      <c r="P703" s="1">
        <f>IF(O703 &lt; 0, 1 + P702, 0)</f>
        <v>0</v>
      </c>
      <c r="Q703" s="1">
        <f>IF(E703&lt;0,1,0)</f>
        <v>0</v>
      </c>
      <c r="R703" s="1">
        <f>IF(Q703=1,E703,0)</f>
        <v>0</v>
      </c>
      <c r="S703" s="1">
        <f>IF(E703&gt;0,1,0)</f>
        <v>0</v>
      </c>
      <c r="T703" s="1">
        <f>IF(S703=1,E703,0)</f>
        <v>0</v>
      </c>
      <c r="U703" s="1">
        <f>IF(R703&lt;-100000000/100,1,0)</f>
        <v>0</v>
      </c>
      <c r="V703" s="1">
        <f>IF(T703&gt;100000000/100,1,0)</f>
        <v>0</v>
      </c>
      <c r="W703" s="1">
        <f>IF(L703&lt;0,1,0)</f>
        <v>0</v>
      </c>
      <c r="X703" s="1">
        <f>IF(W703=1,L703,0)</f>
        <v>0</v>
      </c>
      <c r="Y703" s="1">
        <f>IF(L703&gt;0,1,0)</f>
        <v>0</v>
      </c>
      <c r="Z703" s="1">
        <f>IF(Y703=1,L703,0)</f>
        <v>0</v>
      </c>
      <c r="AA703" s="1">
        <f>IF(X703&lt;-100000000/100,1,0)</f>
        <v>0</v>
      </c>
      <c r="AB703" s="1">
        <f>IF(Z703&gt;100000000/100,1,0)</f>
        <v>0</v>
      </c>
    </row>
    <row r="704" spans="1:28" s="1" customFormat="1">
      <c r="A704" s="3">
        <v>46007</v>
      </c>
      <c r="B704" s="2" t="s">
        <v>13</v>
      </c>
      <c r="C704" s="1">
        <f>SUM(PL!E704:H704)</f>
        <v>0</v>
      </c>
      <c r="D704" s="1">
        <f>SUM(PL!I704:L704)</f>
        <v>0</v>
      </c>
      <c r="E704" s="1">
        <f>SUM(C704:D704)</f>
        <v>0</v>
      </c>
      <c r="F704" s="1">
        <f>IF(C704 + F703 &lt; 0, C704 + F703, 0)</f>
        <v>0</v>
      </c>
      <c r="G704" s="1">
        <f>IF(D704 + G703 &lt; 0, D704 + G703, 0)</f>
        <v>0</v>
      </c>
      <c r="H704" s="1">
        <f>IF(E704 + H703 &lt; 0, E704 + H703, 0)</f>
        <v>0</v>
      </c>
      <c r="I704" s="1">
        <f>IF(H704 &lt; 0, 1 + I703, 0)</f>
        <v>0</v>
      </c>
      <c r="J704" s="1">
        <f>C704-((ABS(SUM(PL!E704:H704)))*0.125)</f>
        <v>0</v>
      </c>
      <c r="K704" s="1">
        <f>D704-((ABS(SUM(PL!I704:L704)))*0.125)</f>
        <v>0</v>
      </c>
      <c r="L704" s="1">
        <f>J704 + K704</f>
        <v>0</v>
      </c>
      <c r="M704" s="1">
        <f>IF(J704 + M703 &lt; 0, J704 + M703, 0)</f>
        <v>0</v>
      </c>
      <c r="N704" s="1">
        <f>IF(K704 + N703 &lt; 0, K704 + N703, 0)</f>
        <v>0</v>
      </c>
      <c r="O704" s="1">
        <f>IF(L704 + O703 &lt; 0, L704 + O703, 0)</f>
        <v>0</v>
      </c>
      <c r="P704" s="1">
        <f>IF(O704 &lt; 0, 1 + P703, 0)</f>
        <v>0</v>
      </c>
      <c r="Q704" s="1">
        <f>IF(E704&lt;0,1,0)</f>
        <v>0</v>
      </c>
      <c r="R704" s="1">
        <f>IF(Q704=1,E704,0)</f>
        <v>0</v>
      </c>
      <c r="S704" s="1">
        <f>IF(E704&gt;0,1,0)</f>
        <v>0</v>
      </c>
      <c r="T704" s="1">
        <f>IF(S704=1,E704,0)</f>
        <v>0</v>
      </c>
      <c r="U704" s="1">
        <f>IF(R704&lt;-100000000/100,1,0)</f>
        <v>0</v>
      </c>
      <c r="V704" s="1">
        <f>IF(T704&gt;100000000/100,1,0)</f>
        <v>0</v>
      </c>
      <c r="W704" s="1">
        <f>IF(L704&lt;0,1,0)</f>
        <v>0</v>
      </c>
      <c r="X704" s="1">
        <f>IF(W704=1,L704,0)</f>
        <v>0</v>
      </c>
      <c r="Y704" s="1">
        <f>IF(L704&gt;0,1,0)</f>
        <v>0</v>
      </c>
      <c r="Z704" s="1">
        <f>IF(Y704=1,L704,0)</f>
        <v>0</v>
      </c>
      <c r="AA704" s="1">
        <f>IF(X704&lt;-100000000/100,1,0)</f>
        <v>0</v>
      </c>
      <c r="AB704" s="1">
        <f>IF(Z704&gt;100000000/100,1,0)</f>
        <v>0</v>
      </c>
    </row>
    <row r="705" spans="1:28" s="1" customFormat="1">
      <c r="A705" s="3">
        <v>46008</v>
      </c>
      <c r="B705" s="2" t="s">
        <v>14</v>
      </c>
      <c r="C705" s="1">
        <f>SUM(PL!E705:H705)</f>
        <v>0</v>
      </c>
      <c r="D705" s="1">
        <f>SUM(PL!I705:L705)</f>
        <v>0</v>
      </c>
      <c r="E705" s="1">
        <f>SUM(C705:D705)</f>
        <v>0</v>
      </c>
      <c r="F705" s="1">
        <f>IF(C705 + F704 &lt; 0, C705 + F704, 0)</f>
        <v>0</v>
      </c>
      <c r="G705" s="1">
        <f>IF(D705 + G704 &lt; 0, D705 + G704, 0)</f>
        <v>0</v>
      </c>
      <c r="H705" s="1">
        <f>IF(E705 + H704 &lt; 0, E705 + H704, 0)</f>
        <v>0</v>
      </c>
      <c r="I705" s="1">
        <f>IF(H705 &lt; 0, 1 + I704, 0)</f>
        <v>0</v>
      </c>
      <c r="J705" s="1">
        <f>C705-((ABS(SUM(PL!E705:H705)))*0.125)</f>
        <v>0</v>
      </c>
      <c r="K705" s="1">
        <f>D705-((ABS(SUM(PL!I705:L705)))*0.125)</f>
        <v>0</v>
      </c>
      <c r="L705" s="1">
        <f>J705 + K705</f>
        <v>0</v>
      </c>
      <c r="M705" s="1">
        <f>IF(J705 + M704 &lt; 0, J705 + M704, 0)</f>
        <v>0</v>
      </c>
      <c r="N705" s="1">
        <f>IF(K705 + N704 &lt; 0, K705 + N704, 0)</f>
        <v>0</v>
      </c>
      <c r="O705" s="1">
        <f>IF(L705 + O704 &lt; 0, L705 + O704, 0)</f>
        <v>0</v>
      </c>
      <c r="P705" s="1">
        <f>IF(O705 &lt; 0, 1 + P704, 0)</f>
        <v>0</v>
      </c>
      <c r="Q705" s="1">
        <f>IF(E705&lt;0,1,0)</f>
        <v>0</v>
      </c>
      <c r="R705" s="1">
        <f>IF(Q705=1,E705,0)</f>
        <v>0</v>
      </c>
      <c r="S705" s="1">
        <f>IF(E705&gt;0,1,0)</f>
        <v>0</v>
      </c>
      <c r="T705" s="1">
        <f>IF(S705=1,E705,0)</f>
        <v>0</v>
      </c>
      <c r="U705" s="1">
        <f>IF(R705&lt;-100000000/100,1,0)</f>
        <v>0</v>
      </c>
      <c r="V705" s="1">
        <f>IF(T705&gt;100000000/100,1,0)</f>
        <v>0</v>
      </c>
      <c r="W705" s="1">
        <f>IF(L705&lt;0,1,0)</f>
        <v>0</v>
      </c>
      <c r="X705" s="1">
        <f>IF(W705=1,L705,0)</f>
        <v>0</v>
      </c>
      <c r="Y705" s="1">
        <f>IF(L705&gt;0,1,0)</f>
        <v>0</v>
      </c>
      <c r="Z705" s="1">
        <f>IF(Y705=1,L705,0)</f>
        <v>0</v>
      </c>
      <c r="AA705" s="1">
        <f>IF(X705&lt;-100000000/100,1,0)</f>
        <v>0</v>
      </c>
      <c r="AB705" s="1">
        <f>IF(Z705&gt;100000000/100,1,0)</f>
        <v>0</v>
      </c>
    </row>
    <row r="706" spans="1:28" s="1" customFormat="1">
      <c r="A706" s="3">
        <v>46009</v>
      </c>
      <c r="B706" s="2" t="s">
        <v>16</v>
      </c>
      <c r="C706" s="1">
        <f>SUM(PL!E706:H706)</f>
        <v>0</v>
      </c>
      <c r="D706" s="1">
        <f>SUM(PL!I706:L706)</f>
        <v>0</v>
      </c>
      <c r="E706" s="1">
        <f>SUM(C706:D706)</f>
        <v>0</v>
      </c>
      <c r="F706" s="1">
        <f>IF(C706 + F705 &lt; 0, C706 + F705, 0)</f>
        <v>0</v>
      </c>
      <c r="G706" s="1">
        <f>IF(D706 + G705 &lt; 0, D706 + G705, 0)</f>
        <v>0</v>
      </c>
      <c r="H706" s="1">
        <f>IF(E706 + H705 &lt; 0, E706 + H705, 0)</f>
        <v>0</v>
      </c>
      <c r="I706" s="1">
        <f>IF(H706 &lt; 0, 1 + I705, 0)</f>
        <v>0</v>
      </c>
      <c r="J706" s="1">
        <f>C706-((ABS(SUM(PL!E706:H706)))*0.125)</f>
        <v>0</v>
      </c>
      <c r="K706" s="1">
        <f>D706-((ABS(SUM(PL!I706:L706)))*0.125)</f>
        <v>0</v>
      </c>
      <c r="L706" s="1">
        <f>J706 + K706</f>
        <v>0</v>
      </c>
      <c r="M706" s="1">
        <f>IF(J706 + M705 &lt; 0, J706 + M705, 0)</f>
        <v>0</v>
      </c>
      <c r="N706" s="1">
        <f>IF(K706 + N705 &lt; 0, K706 + N705, 0)</f>
        <v>0</v>
      </c>
      <c r="O706" s="1">
        <f>IF(L706 + O705 &lt; 0, L706 + O705, 0)</f>
        <v>0</v>
      </c>
      <c r="P706" s="1">
        <f>IF(O706 &lt; 0, 1 + P705, 0)</f>
        <v>0</v>
      </c>
      <c r="Q706" s="1">
        <f>IF(E706&lt;0,1,0)</f>
        <v>0</v>
      </c>
      <c r="R706" s="1">
        <f>IF(Q706=1,E706,0)</f>
        <v>0</v>
      </c>
      <c r="S706" s="1">
        <f>IF(E706&gt;0,1,0)</f>
        <v>0</v>
      </c>
      <c r="T706" s="1">
        <f>IF(S706=1,E706,0)</f>
        <v>0</v>
      </c>
      <c r="U706" s="1">
        <f>IF(R706&lt;-100000000/100,1,0)</f>
        <v>0</v>
      </c>
      <c r="V706" s="1">
        <f>IF(T706&gt;100000000/100,1,0)</f>
        <v>0</v>
      </c>
      <c r="W706" s="1">
        <f>IF(L706&lt;0,1,0)</f>
        <v>0</v>
      </c>
      <c r="X706" s="1">
        <f>IF(W706=1,L706,0)</f>
        <v>0</v>
      </c>
      <c r="Y706" s="1">
        <f>IF(L706&gt;0,1,0)</f>
        <v>0</v>
      </c>
      <c r="Z706" s="1">
        <f>IF(Y706=1,L706,0)</f>
        <v>0</v>
      </c>
      <c r="AA706" s="1">
        <f>IF(X706&lt;-100000000/100,1,0)</f>
        <v>0</v>
      </c>
      <c r="AB706" s="1">
        <f>IF(Z706&gt;100000000/100,1,0)</f>
        <v>0</v>
      </c>
    </row>
    <row r="707" spans="1:28" s="1" customFormat="1">
      <c r="A707" s="3">
        <v>46010</v>
      </c>
      <c r="B707" s="2" t="s">
        <v>15</v>
      </c>
      <c r="C707" s="1">
        <f>SUM(PL!E707:H707)</f>
        <v>0</v>
      </c>
      <c r="D707" s="1">
        <f>SUM(PL!I707:L707)</f>
        <v>0</v>
      </c>
      <c r="E707" s="1">
        <f>SUM(C707:D707)</f>
        <v>0</v>
      </c>
      <c r="F707" s="1">
        <f>IF(C707 + F706 &lt; 0, C707 + F706, 0)</f>
        <v>0</v>
      </c>
      <c r="G707" s="1">
        <f>IF(D707 + G706 &lt; 0, D707 + G706, 0)</f>
        <v>0</v>
      </c>
      <c r="H707" s="1">
        <f>IF(E707 + H706 &lt; 0, E707 + H706, 0)</f>
        <v>0</v>
      </c>
      <c r="I707" s="1">
        <f>IF(H707 &lt; 0, 1 + I706, 0)</f>
        <v>0</v>
      </c>
      <c r="J707" s="1">
        <f>C707-((ABS(SUM(PL!E707:H707)))*0.125)</f>
        <v>0</v>
      </c>
      <c r="K707" s="1">
        <f>D707-((ABS(SUM(PL!I707:L707)))*0.125)</f>
        <v>0</v>
      </c>
      <c r="L707" s="1">
        <f>J707 + K707</f>
        <v>0</v>
      </c>
      <c r="M707" s="1">
        <f>IF(J707 + M706 &lt; 0, J707 + M706, 0)</f>
        <v>0</v>
      </c>
      <c r="N707" s="1">
        <f>IF(K707 + N706 &lt; 0, K707 + N706, 0)</f>
        <v>0</v>
      </c>
      <c r="O707" s="1">
        <f>IF(L707 + O706 &lt; 0, L707 + O706, 0)</f>
        <v>0</v>
      </c>
      <c r="P707" s="1">
        <f>IF(O707 &lt; 0, 1 + P706, 0)</f>
        <v>0</v>
      </c>
      <c r="Q707" s="1">
        <f>IF(E707&lt;0,1,0)</f>
        <v>0</v>
      </c>
      <c r="R707" s="1">
        <f>IF(Q707=1,E707,0)</f>
        <v>0</v>
      </c>
      <c r="S707" s="1">
        <f>IF(E707&gt;0,1,0)</f>
        <v>0</v>
      </c>
      <c r="T707" s="1">
        <f>IF(S707=1,E707,0)</f>
        <v>0</v>
      </c>
      <c r="U707" s="1">
        <f>IF(R707&lt;-100000000/100,1,0)</f>
        <v>0</v>
      </c>
      <c r="V707" s="1">
        <f>IF(T707&gt;100000000/100,1,0)</f>
        <v>0</v>
      </c>
      <c r="W707" s="1">
        <f>IF(L707&lt;0,1,0)</f>
        <v>0</v>
      </c>
      <c r="X707" s="1">
        <f>IF(W707=1,L707,0)</f>
        <v>0</v>
      </c>
      <c r="Y707" s="1">
        <f>IF(L707&gt;0,1,0)</f>
        <v>0</v>
      </c>
      <c r="Z707" s="1">
        <f>IF(Y707=1,L707,0)</f>
        <v>0</v>
      </c>
      <c r="AA707" s="1">
        <f>IF(X707&lt;-100000000/100,1,0)</f>
        <v>0</v>
      </c>
      <c r="AB707" s="1">
        <f>IF(Z707&gt;100000000/100,1,0)</f>
        <v>0</v>
      </c>
    </row>
    <row r="708" spans="1:28" s="1" customFormat="1">
      <c r="A708" s="3">
        <v>46013</v>
      </c>
      <c r="B708" s="2" t="s">
        <v>12</v>
      </c>
      <c r="C708" s="1">
        <f>SUM(PL!E708:H708)</f>
        <v>0</v>
      </c>
      <c r="D708" s="1">
        <f>SUM(PL!I708:L708)</f>
        <v>0</v>
      </c>
      <c r="E708" s="1">
        <f>SUM(C708:D708)</f>
        <v>0</v>
      </c>
      <c r="F708" s="1">
        <f>IF(C708 + F707 &lt; 0, C708 + F707, 0)</f>
        <v>0</v>
      </c>
      <c r="G708" s="1">
        <f>IF(D708 + G707 &lt; 0, D708 + G707, 0)</f>
        <v>0</v>
      </c>
      <c r="H708" s="1">
        <f>IF(E708 + H707 &lt; 0, E708 + H707, 0)</f>
        <v>0</v>
      </c>
      <c r="I708" s="1">
        <f>IF(H708 &lt; 0, 1 + I707, 0)</f>
        <v>0</v>
      </c>
      <c r="J708" s="1">
        <f>C708-((ABS(SUM(PL!E708:H708)))*0.125)</f>
        <v>0</v>
      </c>
      <c r="K708" s="1">
        <f>D708-((ABS(SUM(PL!I708:L708)))*0.125)</f>
        <v>0</v>
      </c>
      <c r="L708" s="1">
        <f>J708 + K708</f>
        <v>0</v>
      </c>
      <c r="M708" s="1">
        <f>IF(J708 + M707 &lt; 0, J708 + M707, 0)</f>
        <v>0</v>
      </c>
      <c r="N708" s="1">
        <f>IF(K708 + N707 &lt; 0, K708 + N707, 0)</f>
        <v>0</v>
      </c>
      <c r="O708" s="1">
        <f>IF(L708 + O707 &lt; 0, L708 + O707, 0)</f>
        <v>0</v>
      </c>
      <c r="P708" s="1">
        <f>IF(O708 &lt; 0, 1 + P707, 0)</f>
        <v>0</v>
      </c>
      <c r="Q708" s="1">
        <f>IF(E708&lt;0,1,0)</f>
        <v>0</v>
      </c>
      <c r="R708" s="1">
        <f>IF(Q708=1,E708,0)</f>
        <v>0</v>
      </c>
      <c r="S708" s="1">
        <f>IF(E708&gt;0,1,0)</f>
        <v>0</v>
      </c>
      <c r="T708" s="1">
        <f>IF(S708=1,E708,0)</f>
        <v>0</v>
      </c>
      <c r="U708" s="1">
        <f>IF(R708&lt;-100000000/100,1,0)</f>
        <v>0</v>
      </c>
      <c r="V708" s="1">
        <f>IF(T708&gt;100000000/100,1,0)</f>
        <v>0</v>
      </c>
      <c r="W708" s="1">
        <f>IF(L708&lt;0,1,0)</f>
        <v>0</v>
      </c>
      <c r="X708" s="1">
        <f>IF(W708=1,L708,0)</f>
        <v>0</v>
      </c>
      <c r="Y708" s="1">
        <f>IF(L708&gt;0,1,0)</f>
        <v>0</v>
      </c>
      <c r="Z708" s="1">
        <f>IF(Y708=1,L708,0)</f>
        <v>0</v>
      </c>
      <c r="AA708" s="1">
        <f>IF(X708&lt;-100000000/100,1,0)</f>
        <v>0</v>
      </c>
      <c r="AB708" s="1">
        <f>IF(Z708&gt;100000000/100,1,0)</f>
        <v>0</v>
      </c>
    </row>
    <row r="709" spans="1:28" s="1" customFormat="1">
      <c r="A709" s="3">
        <v>46014</v>
      </c>
      <c r="B709" s="2" t="s">
        <v>13</v>
      </c>
      <c r="C709" s="1">
        <f>SUM(PL!E709:H709)</f>
        <v>0</v>
      </c>
      <c r="D709" s="1">
        <f>SUM(PL!I709:L709)</f>
        <v>0</v>
      </c>
      <c r="E709" s="1">
        <f>SUM(C709:D709)</f>
        <v>0</v>
      </c>
      <c r="F709" s="1">
        <f>IF(C709 + F708 &lt; 0, C709 + F708, 0)</f>
        <v>0</v>
      </c>
      <c r="G709" s="1">
        <f>IF(D709 + G708 &lt; 0, D709 + G708, 0)</f>
        <v>0</v>
      </c>
      <c r="H709" s="1">
        <f>IF(E709 + H708 &lt; 0, E709 + H708, 0)</f>
        <v>0</v>
      </c>
      <c r="I709" s="1">
        <f>IF(H709 &lt; 0, 1 + I708, 0)</f>
        <v>0</v>
      </c>
      <c r="J709" s="1">
        <f>C709-((ABS(SUM(PL!E709:H709)))*0.125)</f>
        <v>0</v>
      </c>
      <c r="K709" s="1">
        <f>D709-((ABS(SUM(PL!I709:L709)))*0.125)</f>
        <v>0</v>
      </c>
      <c r="L709" s="1">
        <f>J709 + K709</f>
        <v>0</v>
      </c>
      <c r="M709" s="1">
        <f>IF(J709 + M708 &lt; 0, J709 + M708, 0)</f>
        <v>0</v>
      </c>
      <c r="N709" s="1">
        <f>IF(K709 + N708 &lt; 0, K709 + N708, 0)</f>
        <v>0</v>
      </c>
      <c r="O709" s="1">
        <f>IF(L709 + O708 &lt; 0, L709 + O708, 0)</f>
        <v>0</v>
      </c>
      <c r="P709" s="1">
        <f>IF(O709 &lt; 0, 1 + P708, 0)</f>
        <v>0</v>
      </c>
      <c r="Q709" s="1">
        <f>IF(E709&lt;0,1,0)</f>
        <v>0</v>
      </c>
      <c r="R709" s="1">
        <f>IF(Q709=1,E709,0)</f>
        <v>0</v>
      </c>
      <c r="S709" s="1">
        <f>IF(E709&gt;0,1,0)</f>
        <v>0</v>
      </c>
      <c r="T709" s="1">
        <f>IF(S709=1,E709,0)</f>
        <v>0</v>
      </c>
      <c r="U709" s="1">
        <f>IF(R709&lt;-100000000/100,1,0)</f>
        <v>0</v>
      </c>
      <c r="V709" s="1">
        <f>IF(T709&gt;100000000/100,1,0)</f>
        <v>0</v>
      </c>
      <c r="W709" s="1">
        <f>IF(L709&lt;0,1,0)</f>
        <v>0</v>
      </c>
      <c r="X709" s="1">
        <f>IF(W709=1,L709,0)</f>
        <v>0</v>
      </c>
      <c r="Y709" s="1">
        <f>IF(L709&gt;0,1,0)</f>
        <v>0</v>
      </c>
      <c r="Z709" s="1">
        <f>IF(Y709=1,L709,0)</f>
        <v>0</v>
      </c>
      <c r="AA709" s="1">
        <f>IF(X709&lt;-100000000/100,1,0)</f>
        <v>0</v>
      </c>
      <c r="AB709" s="1">
        <f>IF(Z709&gt;100000000/100,1,0)</f>
        <v>0</v>
      </c>
    </row>
    <row r="710" spans="1:28" s="1" customFormat="1">
      <c r="A710" s="3">
        <v>46015</v>
      </c>
      <c r="B710" s="2" t="s">
        <v>14</v>
      </c>
      <c r="C710" s="1">
        <f>SUM(PL!E710:H710)</f>
        <v>0</v>
      </c>
      <c r="D710" s="1">
        <f>SUM(PL!I710:L710)</f>
        <v>0</v>
      </c>
      <c r="E710" s="1">
        <f>SUM(C710:D710)</f>
        <v>0</v>
      </c>
      <c r="F710" s="1">
        <f>IF(C710 + F709 &lt; 0, C710 + F709, 0)</f>
        <v>0</v>
      </c>
      <c r="G710" s="1">
        <f>IF(D710 + G709 &lt; 0, D710 + G709, 0)</f>
        <v>0</v>
      </c>
      <c r="H710" s="1">
        <f>IF(E710 + H709 &lt; 0, E710 + H709, 0)</f>
        <v>0</v>
      </c>
      <c r="I710" s="1">
        <f>IF(H710 &lt; 0, 1 + I709, 0)</f>
        <v>0</v>
      </c>
      <c r="J710" s="1">
        <f>C710-((ABS(SUM(PL!E710:H710)))*0.125)</f>
        <v>0</v>
      </c>
      <c r="K710" s="1">
        <f>D710-((ABS(SUM(PL!I710:L710)))*0.125)</f>
        <v>0</v>
      </c>
      <c r="L710" s="1">
        <f>J710 + K710</f>
        <v>0</v>
      </c>
      <c r="M710" s="1">
        <f>IF(J710 + M709 &lt; 0, J710 + M709, 0)</f>
        <v>0</v>
      </c>
      <c r="N710" s="1">
        <f>IF(K710 + N709 &lt; 0, K710 + N709, 0)</f>
        <v>0</v>
      </c>
      <c r="O710" s="1">
        <f>IF(L710 + O709 &lt; 0, L710 + O709, 0)</f>
        <v>0</v>
      </c>
      <c r="P710" s="1">
        <f>IF(O710 &lt; 0, 1 + P709, 0)</f>
        <v>0</v>
      </c>
      <c r="Q710" s="1">
        <f>IF(E710&lt;0,1,0)</f>
        <v>0</v>
      </c>
      <c r="R710" s="1">
        <f>IF(Q710=1,E710,0)</f>
        <v>0</v>
      </c>
      <c r="S710" s="1">
        <f>IF(E710&gt;0,1,0)</f>
        <v>0</v>
      </c>
      <c r="T710" s="1">
        <f>IF(S710=1,E710,0)</f>
        <v>0</v>
      </c>
      <c r="U710" s="1">
        <f>IF(R710&lt;-100000000/100,1,0)</f>
        <v>0</v>
      </c>
      <c r="V710" s="1">
        <f>IF(T710&gt;100000000/100,1,0)</f>
        <v>0</v>
      </c>
      <c r="W710" s="1">
        <f>IF(L710&lt;0,1,0)</f>
        <v>0</v>
      </c>
      <c r="X710" s="1">
        <f>IF(W710=1,L710,0)</f>
        <v>0</v>
      </c>
      <c r="Y710" s="1">
        <f>IF(L710&gt;0,1,0)</f>
        <v>0</v>
      </c>
      <c r="Z710" s="1">
        <f>IF(Y710=1,L710,0)</f>
        <v>0</v>
      </c>
      <c r="AA710" s="1">
        <f>IF(X710&lt;-100000000/100,1,0)</f>
        <v>0</v>
      </c>
      <c r="AB710" s="1">
        <f>IF(Z710&gt;100000000/100,1,0)</f>
        <v>0</v>
      </c>
    </row>
    <row r="711" spans="1:28" s="1" customFormat="1">
      <c r="A711" s="3">
        <v>46017</v>
      </c>
      <c r="B711" s="2" t="s">
        <v>15</v>
      </c>
      <c r="C711" s="1">
        <f>SUM(PL!E711:H711)</f>
        <v>0</v>
      </c>
      <c r="D711" s="1">
        <f>SUM(PL!I711:L711)</f>
        <v>0</v>
      </c>
      <c r="E711" s="1">
        <f>SUM(C711:D711)</f>
        <v>0</v>
      </c>
      <c r="F711" s="1">
        <f>IF(C711 + F710 &lt; 0, C711 + F710, 0)</f>
        <v>0</v>
      </c>
      <c r="G711" s="1">
        <f>IF(D711 + G710 &lt; 0, D711 + G710, 0)</f>
        <v>0</v>
      </c>
      <c r="H711" s="1">
        <f>IF(E711 + H710 &lt; 0, E711 + H710, 0)</f>
        <v>0</v>
      </c>
      <c r="I711" s="1">
        <f>IF(H711 &lt; 0, 1 + I710, 0)</f>
        <v>0</v>
      </c>
      <c r="J711" s="1">
        <f>C711-((ABS(SUM(PL!E711:H711)))*0.125)</f>
        <v>0</v>
      </c>
      <c r="K711" s="1">
        <f>D711-((ABS(SUM(PL!I711:L711)))*0.125)</f>
        <v>0</v>
      </c>
      <c r="L711" s="1">
        <f>J711 + K711</f>
        <v>0</v>
      </c>
      <c r="M711" s="1">
        <f>IF(J711 + M710 &lt; 0, J711 + M710, 0)</f>
        <v>0</v>
      </c>
      <c r="N711" s="1">
        <f>IF(K711 + N710 &lt; 0, K711 + N710, 0)</f>
        <v>0</v>
      </c>
      <c r="O711" s="1">
        <f>IF(L711 + O710 &lt; 0, L711 + O710, 0)</f>
        <v>0</v>
      </c>
      <c r="P711" s="1">
        <f>IF(O711 &lt; 0, 1 + P710, 0)</f>
        <v>0</v>
      </c>
      <c r="Q711" s="1">
        <f>IF(E711&lt;0,1,0)</f>
        <v>0</v>
      </c>
      <c r="R711" s="1">
        <f>IF(Q711=1,E711,0)</f>
        <v>0</v>
      </c>
      <c r="S711" s="1">
        <f>IF(E711&gt;0,1,0)</f>
        <v>0</v>
      </c>
      <c r="T711" s="1">
        <f>IF(S711=1,E711,0)</f>
        <v>0</v>
      </c>
      <c r="U711" s="1">
        <f>IF(R711&lt;-100000000/100,1,0)</f>
        <v>0</v>
      </c>
      <c r="V711" s="1">
        <f>IF(T711&gt;100000000/100,1,0)</f>
        <v>0</v>
      </c>
      <c r="W711" s="1">
        <f>IF(L711&lt;0,1,0)</f>
        <v>0</v>
      </c>
      <c r="X711" s="1">
        <f>IF(W711=1,L711,0)</f>
        <v>0</v>
      </c>
      <c r="Y711" s="1">
        <f>IF(L711&gt;0,1,0)</f>
        <v>0</v>
      </c>
      <c r="Z711" s="1">
        <f>IF(Y711=1,L711,0)</f>
        <v>0</v>
      </c>
      <c r="AA711" s="1">
        <f>IF(X711&lt;-100000000/100,1,0)</f>
        <v>0</v>
      </c>
      <c r="AB711" s="1">
        <f>IF(Z711&gt;100000000/100,1,0)</f>
        <v>0</v>
      </c>
    </row>
    <row r="712" spans="1:28" s="1" customFormat="1">
      <c r="A712" s="3">
        <v>46020</v>
      </c>
      <c r="B712" s="2" t="s">
        <v>12</v>
      </c>
      <c r="C712" s="1">
        <f>SUM(PL!E712:H712)</f>
        <v>0</v>
      </c>
      <c r="D712" s="1">
        <f>SUM(PL!I712:L712)</f>
        <v>0</v>
      </c>
      <c r="E712" s="1">
        <f>SUM(C712:D712)</f>
        <v>0</v>
      </c>
      <c r="F712" s="1">
        <f>IF(C712 + F711 &lt; 0, C712 + F711, 0)</f>
        <v>0</v>
      </c>
      <c r="G712" s="1">
        <f>IF(D712 + G711 &lt; 0, D712 + G711, 0)</f>
        <v>0</v>
      </c>
      <c r="H712" s="1">
        <f>IF(E712 + H711 &lt; 0, E712 + H711, 0)</f>
        <v>0</v>
      </c>
      <c r="I712" s="1">
        <f>IF(H712 &lt; 0, 1 + I711, 0)</f>
        <v>0</v>
      </c>
      <c r="J712" s="1">
        <f>C712-((ABS(SUM(PL!E712:H712)))*0.125)</f>
        <v>0</v>
      </c>
      <c r="K712" s="1">
        <f>D712-((ABS(SUM(PL!I712:L712)))*0.125)</f>
        <v>0</v>
      </c>
      <c r="L712" s="1">
        <f>J712 + K712</f>
        <v>0</v>
      </c>
      <c r="M712" s="1">
        <f>IF(J712 + M711 &lt; 0, J712 + M711, 0)</f>
        <v>0</v>
      </c>
      <c r="N712" s="1">
        <f>IF(K712 + N711 &lt; 0, K712 + N711, 0)</f>
        <v>0</v>
      </c>
      <c r="O712" s="1">
        <f>IF(L712 + O711 &lt; 0, L712 + O711, 0)</f>
        <v>0</v>
      </c>
      <c r="P712" s="1">
        <f>IF(O712 &lt; 0, 1 + P711, 0)</f>
        <v>0</v>
      </c>
      <c r="Q712" s="1">
        <f>IF(E712&lt;0,1,0)</f>
        <v>0</v>
      </c>
      <c r="R712" s="1">
        <f>IF(Q712=1,E712,0)</f>
        <v>0</v>
      </c>
      <c r="S712" s="1">
        <f>IF(E712&gt;0,1,0)</f>
        <v>0</v>
      </c>
      <c r="T712" s="1">
        <f>IF(S712=1,E712,0)</f>
        <v>0</v>
      </c>
      <c r="U712" s="1">
        <f>IF(R712&lt;-100000000/100,1,0)</f>
        <v>0</v>
      </c>
      <c r="V712" s="1">
        <f>IF(T712&gt;100000000/100,1,0)</f>
        <v>0</v>
      </c>
      <c r="W712" s="1">
        <f>IF(L712&lt;0,1,0)</f>
        <v>0</v>
      </c>
      <c r="X712" s="1">
        <f>IF(W712=1,L712,0)</f>
        <v>0</v>
      </c>
      <c r="Y712" s="1">
        <f>IF(L712&gt;0,1,0)</f>
        <v>0</v>
      </c>
      <c r="Z712" s="1">
        <f>IF(Y712=1,L712,0)</f>
        <v>0</v>
      </c>
      <c r="AA712" s="1">
        <f>IF(X712&lt;-100000000/100,1,0)</f>
        <v>0</v>
      </c>
      <c r="AB712" s="1">
        <f>IF(Z712&gt;100000000/100,1,0)</f>
        <v>0</v>
      </c>
    </row>
    <row r="713" spans="1:28" s="1" customFormat="1">
      <c r="A713" s="3">
        <v>46021</v>
      </c>
      <c r="B713" s="2" t="s">
        <v>13</v>
      </c>
      <c r="C713" s="1">
        <f>SUM(PL!E713:H713)</f>
        <v>0</v>
      </c>
      <c r="D713" s="1">
        <f>SUM(PL!I713:L713)</f>
        <v>0</v>
      </c>
      <c r="E713" s="1">
        <f>SUM(C713:D713)</f>
        <v>0</v>
      </c>
      <c r="F713" s="1">
        <f>IF(C713 + F712 &lt; 0, C713 + F712, 0)</f>
        <v>0</v>
      </c>
      <c r="G713" s="1">
        <f>IF(D713 + G712 &lt; 0, D713 + G712, 0)</f>
        <v>0</v>
      </c>
      <c r="H713" s="1">
        <f>IF(E713 + H712 &lt; 0, E713 + H712, 0)</f>
        <v>0</v>
      </c>
      <c r="I713" s="1">
        <f>IF(H713 &lt; 0, 1 + I712, 0)</f>
        <v>0</v>
      </c>
      <c r="J713" s="1">
        <f>C713-((ABS(SUM(PL!E713:H713)))*0.125)</f>
        <v>0</v>
      </c>
      <c r="K713" s="1">
        <f>D713-((ABS(SUM(PL!I713:L713)))*0.125)</f>
        <v>0</v>
      </c>
      <c r="L713" s="1">
        <f>J713 + K713</f>
        <v>0</v>
      </c>
      <c r="M713" s="1">
        <f>IF(J713 + M712 &lt; 0, J713 + M712, 0)</f>
        <v>0</v>
      </c>
      <c r="N713" s="1">
        <f>IF(K713 + N712 &lt; 0, K713 + N712, 0)</f>
        <v>0</v>
      </c>
      <c r="O713" s="1">
        <f>IF(L713 + O712 &lt; 0, L713 + O712, 0)</f>
        <v>0</v>
      </c>
      <c r="P713" s="1">
        <f>IF(O713 &lt; 0, 1 + P712, 0)</f>
        <v>0</v>
      </c>
      <c r="Q713" s="1">
        <f>IF(E713&lt;0,1,0)</f>
        <v>0</v>
      </c>
      <c r="R713" s="1">
        <f>IF(Q713=1,E713,0)</f>
        <v>0</v>
      </c>
      <c r="S713" s="1">
        <f>IF(E713&gt;0,1,0)</f>
        <v>0</v>
      </c>
      <c r="T713" s="1">
        <f>IF(S713=1,E713,0)</f>
        <v>0</v>
      </c>
      <c r="U713" s="1">
        <f>IF(R713&lt;-100000000/100,1,0)</f>
        <v>0</v>
      </c>
      <c r="V713" s="1">
        <f>IF(T713&gt;100000000/100,1,0)</f>
        <v>0</v>
      </c>
      <c r="W713" s="1">
        <f>IF(L713&lt;0,1,0)</f>
        <v>0</v>
      </c>
      <c r="X713" s="1">
        <f>IF(W713=1,L713,0)</f>
        <v>0</v>
      </c>
      <c r="Y713" s="1">
        <f>IF(L713&gt;0,1,0)</f>
        <v>0</v>
      </c>
      <c r="Z713" s="1">
        <f>IF(Y713=1,L713,0)</f>
        <v>0</v>
      </c>
      <c r="AA713" s="1">
        <f>IF(X713&lt;-100000000/100,1,0)</f>
        <v>0</v>
      </c>
      <c r="AB713" s="1">
        <f>IF(Z713&gt;100000000/100,1,0)</f>
        <v>0</v>
      </c>
    </row>
    <row r="714" spans="1:28" s="1" customFormat="1">
      <c r="A714" s="3">
        <v>46022</v>
      </c>
      <c r="B714" s="2" t="s">
        <v>14</v>
      </c>
      <c r="C714" s="1">
        <f>SUM(PL!E714:H714)</f>
        <v>0</v>
      </c>
      <c r="D714" s="1">
        <f>SUM(PL!I714:L714)</f>
        <v>0</v>
      </c>
      <c r="E714" s="1">
        <f>SUM(C714:D714)</f>
        <v>0</v>
      </c>
      <c r="F714" s="1">
        <f>IF(C714 + F713 &lt; 0, C714 + F713, 0)</f>
        <v>0</v>
      </c>
      <c r="G714" s="1">
        <f>IF(D714 + G713 &lt; 0, D714 + G713, 0)</f>
        <v>0</v>
      </c>
      <c r="H714" s="1">
        <f>IF(E714 + H713 &lt; 0, E714 + H713, 0)</f>
        <v>0</v>
      </c>
      <c r="I714" s="1">
        <f>IF(H714 &lt; 0, 1 + I713, 0)</f>
        <v>0</v>
      </c>
      <c r="J714" s="1">
        <f>C714-((ABS(SUM(PL!E714:H714)))*0.125)</f>
        <v>0</v>
      </c>
      <c r="K714" s="1">
        <f>D714-((ABS(SUM(PL!I714:L714)))*0.125)</f>
        <v>0</v>
      </c>
      <c r="L714" s="1">
        <f>J714 + K714</f>
        <v>0</v>
      </c>
      <c r="M714" s="1">
        <f>IF(J714 + M713 &lt; 0, J714 + M713, 0)</f>
        <v>0</v>
      </c>
      <c r="N714" s="1">
        <f>IF(K714 + N713 &lt; 0, K714 + N713, 0)</f>
        <v>0</v>
      </c>
      <c r="O714" s="1">
        <f>IF(L714 + O713 &lt; 0, L714 + O713, 0)</f>
        <v>0</v>
      </c>
      <c r="P714" s="1">
        <f>IF(O714 &lt; 0, 1 + P713, 0)</f>
        <v>0</v>
      </c>
      <c r="Q714" s="1">
        <f>IF(E714&lt;0,1,0)</f>
        <v>0</v>
      </c>
      <c r="R714" s="1">
        <f>IF(Q714=1,E714,0)</f>
        <v>0</v>
      </c>
      <c r="S714" s="1">
        <f>IF(E714&gt;0,1,0)</f>
        <v>0</v>
      </c>
      <c r="T714" s="1">
        <f>IF(S714=1,E714,0)</f>
        <v>0</v>
      </c>
      <c r="U714" s="1">
        <f>IF(R714&lt;-100000000/100,1,0)</f>
        <v>0</v>
      </c>
      <c r="V714" s="1">
        <f>IF(T714&gt;100000000/100,1,0)</f>
        <v>0</v>
      </c>
      <c r="W714" s="1">
        <f>IF(L714&lt;0,1,0)</f>
        <v>0</v>
      </c>
      <c r="X714" s="1">
        <f>IF(W714=1,L714,0)</f>
        <v>0</v>
      </c>
      <c r="Y714" s="1">
        <f>IF(L714&gt;0,1,0)</f>
        <v>0</v>
      </c>
      <c r="Z714" s="1">
        <f>IF(Y714=1,L714,0)</f>
        <v>0</v>
      </c>
      <c r="AA714" s="1">
        <f>IF(X714&lt;-100000000/100,1,0)</f>
        <v>0</v>
      </c>
      <c r="AB714" s="1">
        <f>IF(Z714&gt;100000000/100,1,0)</f>
        <v>0</v>
      </c>
    </row>
    <row r="715" spans="1:28" s="1" customFormat="1">
      <c r="A715" s="3">
        <v>46023</v>
      </c>
      <c r="B715" s="2" t="s">
        <v>16</v>
      </c>
      <c r="C715" s="1">
        <f>SUM(PL!E715:H715)</f>
        <v>0</v>
      </c>
      <c r="D715" s="1">
        <f>SUM(PL!I715:L715)</f>
        <v>0</v>
      </c>
      <c r="E715" s="1">
        <f>SUM(C715:D715)</f>
        <v>0</v>
      </c>
      <c r="F715" s="1">
        <f>IF(C715 + F714 &lt; 0, C715 + F714, 0)</f>
        <v>0</v>
      </c>
      <c r="G715" s="1">
        <f>IF(D715 + G714 &lt; 0, D715 + G714, 0)</f>
        <v>0</v>
      </c>
      <c r="H715" s="1">
        <f>IF(E715 + H714 &lt; 0, E715 + H714, 0)</f>
        <v>0</v>
      </c>
      <c r="I715" s="1">
        <f>IF(H715 &lt; 0, 1 + I714, 0)</f>
        <v>0</v>
      </c>
      <c r="J715" s="1">
        <f>C715-((ABS(SUM(PL!E715:H715)))*0.125)</f>
        <v>0</v>
      </c>
      <c r="K715" s="1">
        <f>D715-((ABS(SUM(PL!I715:L715)))*0.125)</f>
        <v>0</v>
      </c>
      <c r="L715" s="1">
        <f>J715 + K715</f>
        <v>0</v>
      </c>
      <c r="M715" s="1">
        <f>IF(J715 + M714 &lt; 0, J715 + M714, 0)</f>
        <v>0</v>
      </c>
      <c r="N715" s="1">
        <f>IF(K715 + N714 &lt; 0, K715 + N714, 0)</f>
        <v>0</v>
      </c>
      <c r="O715" s="1">
        <f>IF(L715 + O714 &lt; 0, L715 + O714, 0)</f>
        <v>0</v>
      </c>
      <c r="P715" s="1">
        <f>IF(O715 &lt; 0, 1 + P714, 0)</f>
        <v>0</v>
      </c>
      <c r="Q715" s="1">
        <f>IF(E715&lt;0,1,0)</f>
        <v>0</v>
      </c>
      <c r="R715" s="1">
        <f>IF(Q715=1,E715,0)</f>
        <v>0</v>
      </c>
      <c r="S715" s="1">
        <f>IF(E715&gt;0,1,0)</f>
        <v>0</v>
      </c>
      <c r="T715" s="1">
        <f>IF(S715=1,E715,0)</f>
        <v>0</v>
      </c>
      <c r="U715" s="1">
        <f>IF(R715&lt;-100000000/100,1,0)</f>
        <v>0</v>
      </c>
      <c r="V715" s="1">
        <f>IF(T715&gt;100000000/100,1,0)</f>
        <v>0</v>
      </c>
      <c r="W715" s="1">
        <f>IF(L715&lt;0,1,0)</f>
        <v>0</v>
      </c>
      <c r="X715" s="1">
        <f>IF(W715=1,L715,0)</f>
        <v>0</v>
      </c>
      <c r="Y715" s="1">
        <f>IF(L715&gt;0,1,0)</f>
        <v>0</v>
      </c>
      <c r="Z715" s="1">
        <f>IF(Y715=1,L715,0)</f>
        <v>0</v>
      </c>
      <c r="AA715" s="1">
        <f>IF(X715&lt;-100000000/100,1,0)</f>
        <v>0</v>
      </c>
      <c r="AB715" s="1">
        <f>IF(Z715&gt;100000000/100,1,0)</f>
        <v>0</v>
      </c>
    </row>
    <row r="716" spans="1:28" s="1" customFormat="1">
      <c r="A716" s="3">
        <v>46024</v>
      </c>
      <c r="B716" s="2" t="s">
        <v>15</v>
      </c>
      <c r="C716" s="1">
        <f>SUM(PL!E716:H716)</f>
        <v>0</v>
      </c>
      <c r="D716" s="1">
        <f>SUM(PL!I716:L716)</f>
        <v>0</v>
      </c>
      <c r="E716" s="1">
        <f>SUM(C716:D716)</f>
        <v>0</v>
      </c>
      <c r="F716" s="1">
        <f>IF(C716 + F715 &lt; 0, C716 + F715, 0)</f>
        <v>0</v>
      </c>
      <c r="G716" s="1">
        <f>IF(D716 + G715 &lt; 0, D716 + G715, 0)</f>
        <v>0</v>
      </c>
      <c r="H716" s="1">
        <f>IF(E716 + H715 &lt; 0, E716 + H715, 0)</f>
        <v>0</v>
      </c>
      <c r="I716" s="1">
        <f>IF(H716 &lt; 0, 1 + I715, 0)</f>
        <v>0</v>
      </c>
      <c r="J716" s="1">
        <f>C716-((ABS(SUM(PL!E716:H716)))*0.125)</f>
        <v>0</v>
      </c>
      <c r="K716" s="1">
        <f>D716-((ABS(SUM(PL!I716:L716)))*0.125)</f>
        <v>0</v>
      </c>
      <c r="L716" s="1">
        <f>J716 + K716</f>
        <v>0</v>
      </c>
      <c r="M716" s="1">
        <f>IF(J716 + M715 &lt; 0, J716 + M715, 0)</f>
        <v>0</v>
      </c>
      <c r="N716" s="1">
        <f>IF(K716 + N715 &lt; 0, K716 + N715, 0)</f>
        <v>0</v>
      </c>
      <c r="O716" s="1">
        <f>IF(L716 + O715 &lt; 0, L716 + O715, 0)</f>
        <v>0</v>
      </c>
      <c r="P716" s="1">
        <f>IF(O716 &lt; 0, 1 + P715, 0)</f>
        <v>0</v>
      </c>
      <c r="Q716" s="1">
        <f>IF(E716&lt;0,1,0)</f>
        <v>0</v>
      </c>
      <c r="R716" s="1">
        <f>IF(Q716=1,E716,0)</f>
        <v>0</v>
      </c>
      <c r="S716" s="1">
        <f>IF(E716&gt;0,1,0)</f>
        <v>0</v>
      </c>
      <c r="T716" s="1">
        <f>IF(S716=1,E716,0)</f>
        <v>0</v>
      </c>
      <c r="U716" s="1">
        <f>IF(R716&lt;-100000000/100,1,0)</f>
        <v>0</v>
      </c>
      <c r="V716" s="1">
        <f>IF(T716&gt;100000000/100,1,0)</f>
        <v>0</v>
      </c>
      <c r="W716" s="1">
        <f>IF(L716&lt;0,1,0)</f>
        <v>0</v>
      </c>
      <c r="X716" s="1">
        <f>IF(W716=1,L716,0)</f>
        <v>0</v>
      </c>
      <c r="Y716" s="1">
        <f>IF(L716&gt;0,1,0)</f>
        <v>0</v>
      </c>
      <c r="Z716" s="1">
        <f>IF(Y716=1,L716,0)</f>
        <v>0</v>
      </c>
      <c r="AA716" s="1">
        <f>IF(X716&lt;-100000000/100,1,0)</f>
        <v>0</v>
      </c>
      <c r="AB716" s="1">
        <f>IF(Z716&gt;100000000/100,1,0)</f>
        <v>0</v>
      </c>
    </row>
    <row r="717" spans="1:28" s="1" customFormat="1">
      <c r="A717" s="3">
        <v>46027</v>
      </c>
      <c r="B717" s="2" t="s">
        <v>12</v>
      </c>
      <c r="C717" s="1">
        <f>SUM(PL!E717:H717)</f>
        <v>0</v>
      </c>
      <c r="D717" s="1">
        <f>SUM(PL!I717:L717)</f>
        <v>0</v>
      </c>
      <c r="E717" s="1">
        <f>SUM(C717:D717)</f>
        <v>0</v>
      </c>
      <c r="F717" s="1">
        <f>IF(C717 + F716 &lt; 0, C717 + F716, 0)</f>
        <v>0</v>
      </c>
      <c r="G717" s="1">
        <f>IF(D717 + G716 &lt; 0, D717 + G716, 0)</f>
        <v>0</v>
      </c>
      <c r="H717" s="1">
        <f>IF(E717 + H716 &lt; 0, E717 + H716, 0)</f>
        <v>0</v>
      </c>
      <c r="I717" s="1">
        <f>IF(H717 &lt; 0, 1 + I716, 0)</f>
        <v>0</v>
      </c>
      <c r="J717" s="1">
        <f>C717-((ABS(SUM(PL!E717:H717)))*0.125)</f>
        <v>0</v>
      </c>
      <c r="K717" s="1">
        <f>D717-((ABS(SUM(PL!I717:L717)))*0.125)</f>
        <v>0</v>
      </c>
      <c r="L717" s="1">
        <f>J717 + K717</f>
        <v>0</v>
      </c>
      <c r="M717" s="1">
        <f>IF(J717 + M716 &lt; 0, J717 + M716, 0)</f>
        <v>0</v>
      </c>
      <c r="N717" s="1">
        <f>IF(K717 + N716 &lt; 0, K717 + N716, 0)</f>
        <v>0</v>
      </c>
      <c r="O717" s="1">
        <f>IF(L717 + O716 &lt; 0, L717 + O716, 0)</f>
        <v>0</v>
      </c>
      <c r="P717" s="1">
        <f>IF(O717 &lt; 0, 1 + P716, 0)</f>
        <v>0</v>
      </c>
      <c r="Q717" s="1">
        <f>IF(E717&lt;0,1,0)</f>
        <v>0</v>
      </c>
      <c r="R717" s="1">
        <f>IF(Q717=1,E717,0)</f>
        <v>0</v>
      </c>
      <c r="S717" s="1">
        <f>IF(E717&gt;0,1,0)</f>
        <v>0</v>
      </c>
      <c r="T717" s="1">
        <f>IF(S717=1,E717,0)</f>
        <v>0</v>
      </c>
      <c r="U717" s="1">
        <f>IF(R717&lt;-100000000/100,1,0)</f>
        <v>0</v>
      </c>
      <c r="V717" s="1">
        <f>IF(T717&gt;100000000/100,1,0)</f>
        <v>0</v>
      </c>
      <c r="W717" s="1">
        <f>IF(L717&lt;0,1,0)</f>
        <v>0</v>
      </c>
      <c r="X717" s="1">
        <f>IF(W717=1,L717,0)</f>
        <v>0</v>
      </c>
      <c r="Y717" s="1">
        <f>IF(L717&gt;0,1,0)</f>
        <v>0</v>
      </c>
      <c r="Z717" s="1">
        <f>IF(Y717=1,L717,0)</f>
        <v>0</v>
      </c>
      <c r="AA717" s="1">
        <f>IF(X717&lt;-100000000/100,1,0)</f>
        <v>0</v>
      </c>
      <c r="AB717" s="1">
        <f>IF(Z717&gt;100000000/100,1,0)</f>
        <v>0</v>
      </c>
    </row>
    <row r="718" spans="1:28" s="1" customFormat="1">
      <c r="A718" s="3">
        <v>46028</v>
      </c>
      <c r="B718" s="2" t="s">
        <v>13</v>
      </c>
      <c r="C718" s="1">
        <f>SUM(PL!E718:H718)</f>
        <v>0</v>
      </c>
      <c r="D718" s="1">
        <f>SUM(PL!I718:L718)</f>
        <v>0</v>
      </c>
      <c r="E718" s="1">
        <f>SUM(C718:D718)</f>
        <v>0</v>
      </c>
      <c r="F718" s="1">
        <f>IF(C718 + F717 &lt; 0, C718 + F717, 0)</f>
        <v>0</v>
      </c>
      <c r="G718" s="1">
        <f>IF(D718 + G717 &lt; 0, D718 + G717, 0)</f>
        <v>0</v>
      </c>
      <c r="H718" s="1">
        <f>IF(E718 + H717 &lt; 0, E718 + H717, 0)</f>
        <v>0</v>
      </c>
      <c r="I718" s="1">
        <f>IF(H718 &lt; 0, 1 + I717, 0)</f>
        <v>0</v>
      </c>
      <c r="J718" s="1">
        <f>C718-((ABS(SUM(PL!E718:H718)))*0.125)</f>
        <v>0</v>
      </c>
      <c r="K718" s="1">
        <f>D718-((ABS(SUM(PL!I718:L718)))*0.125)</f>
        <v>0</v>
      </c>
      <c r="L718" s="1">
        <f>J718 + K718</f>
        <v>0</v>
      </c>
      <c r="M718" s="1">
        <f>IF(J718 + M717 &lt; 0, J718 + M717, 0)</f>
        <v>0</v>
      </c>
      <c r="N718" s="1">
        <f>IF(K718 + N717 &lt; 0, K718 + N717, 0)</f>
        <v>0</v>
      </c>
      <c r="O718" s="1">
        <f>IF(L718 + O717 &lt; 0, L718 + O717, 0)</f>
        <v>0</v>
      </c>
      <c r="P718" s="1">
        <f>IF(O718 &lt; 0, 1 + P717, 0)</f>
        <v>0</v>
      </c>
      <c r="Q718" s="1">
        <f>IF(E718&lt;0,1,0)</f>
        <v>0</v>
      </c>
      <c r="R718" s="1">
        <f>IF(Q718=1,E718,0)</f>
        <v>0</v>
      </c>
      <c r="S718" s="1">
        <f>IF(E718&gt;0,1,0)</f>
        <v>0</v>
      </c>
      <c r="T718" s="1">
        <f>IF(S718=1,E718,0)</f>
        <v>0</v>
      </c>
      <c r="U718" s="1">
        <f>IF(R718&lt;-100000000/100,1,0)</f>
        <v>0</v>
      </c>
      <c r="V718" s="1">
        <f>IF(T718&gt;100000000/100,1,0)</f>
        <v>0</v>
      </c>
      <c r="W718" s="1">
        <f>IF(L718&lt;0,1,0)</f>
        <v>0</v>
      </c>
      <c r="X718" s="1">
        <f>IF(W718=1,L718,0)</f>
        <v>0</v>
      </c>
      <c r="Y718" s="1">
        <f>IF(L718&gt;0,1,0)</f>
        <v>0</v>
      </c>
      <c r="Z718" s="1">
        <f>IF(Y718=1,L718,0)</f>
        <v>0</v>
      </c>
      <c r="AA718" s="1">
        <f>IF(X718&lt;-100000000/100,1,0)</f>
        <v>0</v>
      </c>
      <c r="AB718" s="1">
        <f>IF(Z718&gt;100000000/100,1,0)</f>
        <v>0</v>
      </c>
    </row>
    <row r="719" spans="1:28" s="1" customFormat="1">
      <c r="A719" s="3">
        <v>46029</v>
      </c>
      <c r="B719" s="2" t="s">
        <v>14</v>
      </c>
      <c r="C719" s="1">
        <f>SUM(PL!E719:H719)</f>
        <v>0</v>
      </c>
      <c r="D719" s="1">
        <f>SUM(PL!I719:L719)</f>
        <v>0</v>
      </c>
      <c r="E719" s="1">
        <f>SUM(C719:D719)</f>
        <v>0</v>
      </c>
      <c r="F719" s="1">
        <f>IF(C719 + F718 &lt; 0, C719 + F718, 0)</f>
        <v>0</v>
      </c>
      <c r="G719" s="1">
        <f>IF(D719 + G718 &lt; 0, D719 + G718, 0)</f>
        <v>0</v>
      </c>
      <c r="H719" s="1">
        <f>IF(E719 + H718 &lt; 0, E719 + H718, 0)</f>
        <v>0</v>
      </c>
      <c r="I719" s="1">
        <f>IF(H719 &lt; 0, 1 + I718, 0)</f>
        <v>0</v>
      </c>
      <c r="J719" s="1">
        <f>C719-((ABS(SUM(PL!E719:H719)))*0.125)</f>
        <v>0</v>
      </c>
      <c r="K719" s="1">
        <f>D719-((ABS(SUM(PL!I719:L719)))*0.125)</f>
        <v>0</v>
      </c>
      <c r="L719" s="1">
        <f>J719 + K719</f>
        <v>0</v>
      </c>
      <c r="M719" s="1">
        <f>IF(J719 + M718 &lt; 0, J719 + M718, 0)</f>
        <v>0</v>
      </c>
      <c r="N719" s="1">
        <f>IF(K719 + N718 &lt; 0, K719 + N718, 0)</f>
        <v>0</v>
      </c>
      <c r="O719" s="1">
        <f>IF(L719 + O718 &lt; 0, L719 + O718, 0)</f>
        <v>0</v>
      </c>
      <c r="P719" s="1">
        <f>IF(O719 &lt; 0, 1 + P718, 0)</f>
        <v>0</v>
      </c>
      <c r="Q719" s="1">
        <f>IF(E719&lt;0,1,0)</f>
        <v>0</v>
      </c>
      <c r="R719" s="1">
        <f>IF(Q719=1,E719,0)</f>
        <v>0</v>
      </c>
      <c r="S719" s="1">
        <f>IF(E719&gt;0,1,0)</f>
        <v>0</v>
      </c>
      <c r="T719" s="1">
        <f>IF(S719=1,E719,0)</f>
        <v>0</v>
      </c>
      <c r="U719" s="1">
        <f>IF(R719&lt;-100000000/100,1,0)</f>
        <v>0</v>
      </c>
      <c r="V719" s="1">
        <f>IF(T719&gt;100000000/100,1,0)</f>
        <v>0</v>
      </c>
      <c r="W719" s="1">
        <f>IF(L719&lt;0,1,0)</f>
        <v>0</v>
      </c>
      <c r="X719" s="1">
        <f>IF(W719=1,L719,0)</f>
        <v>0</v>
      </c>
      <c r="Y719" s="1">
        <f>IF(L719&gt;0,1,0)</f>
        <v>0</v>
      </c>
      <c r="Z719" s="1">
        <f>IF(Y719=1,L719,0)</f>
        <v>0</v>
      </c>
      <c r="AA719" s="1">
        <f>IF(X719&lt;-100000000/100,1,0)</f>
        <v>0</v>
      </c>
      <c r="AB719" s="1">
        <f>IF(Z719&gt;100000000/100,1,0)</f>
        <v>0</v>
      </c>
    </row>
    <row r="720" spans="1:28" s="1" customFormat="1">
      <c r="A720" s="3">
        <v>46030</v>
      </c>
      <c r="B720" s="2" t="s">
        <v>16</v>
      </c>
      <c r="C720" s="1">
        <f>SUM(PL!E720:H720)</f>
        <v>0</v>
      </c>
      <c r="D720" s="1">
        <f>SUM(PL!I720:L720)</f>
        <v>0</v>
      </c>
      <c r="E720" s="1">
        <f>SUM(C720:D720)</f>
        <v>0</v>
      </c>
      <c r="F720" s="1">
        <f>IF(C720 + F719 &lt; 0, C720 + F719, 0)</f>
        <v>0</v>
      </c>
      <c r="G720" s="1">
        <f>IF(D720 + G719 &lt; 0, D720 + G719, 0)</f>
        <v>0</v>
      </c>
      <c r="H720" s="1">
        <f>IF(E720 + H719 &lt; 0, E720 + H719, 0)</f>
        <v>0</v>
      </c>
      <c r="I720" s="1">
        <f>IF(H720 &lt; 0, 1 + I719, 0)</f>
        <v>0</v>
      </c>
      <c r="J720" s="1">
        <f>C720-((ABS(SUM(PL!E720:H720)))*0.125)</f>
        <v>0</v>
      </c>
      <c r="K720" s="1">
        <f>D720-((ABS(SUM(PL!I720:L720)))*0.125)</f>
        <v>0</v>
      </c>
      <c r="L720" s="1">
        <f>J720 + K720</f>
        <v>0</v>
      </c>
      <c r="M720" s="1">
        <f>IF(J720 + M719 &lt; 0, J720 + M719, 0)</f>
        <v>0</v>
      </c>
      <c r="N720" s="1">
        <f>IF(K720 + N719 &lt; 0, K720 + N719, 0)</f>
        <v>0</v>
      </c>
      <c r="O720" s="1">
        <f>IF(L720 + O719 &lt; 0, L720 + O719, 0)</f>
        <v>0</v>
      </c>
      <c r="P720" s="1">
        <f>IF(O720 &lt; 0, 1 + P719, 0)</f>
        <v>0</v>
      </c>
      <c r="Q720" s="1">
        <f>IF(E720&lt;0,1,0)</f>
        <v>0</v>
      </c>
      <c r="R720" s="1">
        <f>IF(Q720=1,E720,0)</f>
        <v>0</v>
      </c>
      <c r="S720" s="1">
        <f>IF(E720&gt;0,1,0)</f>
        <v>0</v>
      </c>
      <c r="T720" s="1">
        <f>IF(S720=1,E720,0)</f>
        <v>0</v>
      </c>
      <c r="U720" s="1">
        <f>IF(R720&lt;-100000000/100,1,0)</f>
        <v>0</v>
      </c>
      <c r="V720" s="1">
        <f>IF(T720&gt;100000000/100,1,0)</f>
        <v>0</v>
      </c>
      <c r="W720" s="1">
        <f>IF(L720&lt;0,1,0)</f>
        <v>0</v>
      </c>
      <c r="X720" s="1">
        <f>IF(W720=1,L720,0)</f>
        <v>0</v>
      </c>
      <c r="Y720" s="1">
        <f>IF(L720&gt;0,1,0)</f>
        <v>0</v>
      </c>
      <c r="Z720" s="1">
        <f>IF(Y720=1,L720,0)</f>
        <v>0</v>
      </c>
      <c r="AA720" s="1">
        <f>IF(X720&lt;-100000000/100,1,0)</f>
        <v>0</v>
      </c>
      <c r="AB720" s="1">
        <f>IF(Z720&gt;100000000/100,1,0)</f>
        <v>0</v>
      </c>
    </row>
    <row r="721" spans="1:28" s="1" customFormat="1">
      <c r="A721" s="3">
        <v>46031</v>
      </c>
      <c r="B721" s="2" t="s">
        <v>15</v>
      </c>
      <c r="C721" s="1">
        <f>SUM(PL!E721:H721)</f>
        <v>0</v>
      </c>
      <c r="D721" s="1">
        <f>SUM(PL!I721:L721)</f>
        <v>0</v>
      </c>
      <c r="E721" s="1">
        <f>SUM(C721:D721)</f>
        <v>0</v>
      </c>
      <c r="F721" s="1">
        <f>IF(C721 + F720 &lt; 0, C721 + F720, 0)</f>
        <v>0</v>
      </c>
      <c r="G721" s="1">
        <f>IF(D721 + G720 &lt; 0, D721 + G720, 0)</f>
        <v>0</v>
      </c>
      <c r="H721" s="1">
        <f>IF(E721 + H720 &lt; 0, E721 + H720, 0)</f>
        <v>0</v>
      </c>
      <c r="I721" s="1">
        <f>IF(H721 &lt; 0, 1 + I720, 0)</f>
        <v>0</v>
      </c>
      <c r="J721" s="1">
        <f>C721-((ABS(SUM(PL!E721:H721)))*0.125)</f>
        <v>0</v>
      </c>
      <c r="K721" s="1">
        <f>D721-((ABS(SUM(PL!I721:L721)))*0.125)</f>
        <v>0</v>
      </c>
      <c r="L721" s="1">
        <f>J721 + K721</f>
        <v>0</v>
      </c>
      <c r="M721" s="1">
        <f>IF(J721 + M720 &lt; 0, J721 + M720, 0)</f>
        <v>0</v>
      </c>
      <c r="N721" s="1">
        <f>IF(K721 + N720 &lt; 0, K721 + N720, 0)</f>
        <v>0</v>
      </c>
      <c r="O721" s="1">
        <f>IF(L721 + O720 &lt; 0, L721 + O720, 0)</f>
        <v>0</v>
      </c>
      <c r="P721" s="1">
        <f>IF(O721 &lt; 0, 1 + P720, 0)</f>
        <v>0</v>
      </c>
      <c r="Q721" s="1">
        <f>IF(E721&lt;0,1,0)</f>
        <v>0</v>
      </c>
      <c r="R721" s="1">
        <f>IF(Q721=1,E721,0)</f>
        <v>0</v>
      </c>
      <c r="S721" s="1">
        <f>IF(E721&gt;0,1,0)</f>
        <v>0</v>
      </c>
      <c r="T721" s="1">
        <f>IF(S721=1,E721,0)</f>
        <v>0</v>
      </c>
      <c r="U721" s="1">
        <f>IF(R721&lt;-100000000/100,1,0)</f>
        <v>0</v>
      </c>
      <c r="V721" s="1">
        <f>IF(T721&gt;100000000/100,1,0)</f>
        <v>0</v>
      </c>
      <c r="W721" s="1">
        <f>IF(L721&lt;0,1,0)</f>
        <v>0</v>
      </c>
      <c r="X721" s="1">
        <f>IF(W721=1,L721,0)</f>
        <v>0</v>
      </c>
      <c r="Y721" s="1">
        <f>IF(L721&gt;0,1,0)</f>
        <v>0</v>
      </c>
      <c r="Z721" s="1">
        <f>IF(Y721=1,L721,0)</f>
        <v>0</v>
      </c>
      <c r="AA721" s="1">
        <f>IF(X721&lt;-100000000/100,1,0)</f>
        <v>0</v>
      </c>
      <c r="AB721" s="1">
        <f>IF(Z721&gt;100000000/100,1,0)</f>
        <v>0</v>
      </c>
    </row>
    <row r="722" spans="1:28" s="1" customFormat="1">
      <c r="A722" s="3">
        <v>46034</v>
      </c>
      <c r="B722" s="2" t="s">
        <v>12</v>
      </c>
      <c r="C722" s="1">
        <f>SUM(PL!E722:H722)</f>
        <v>0</v>
      </c>
      <c r="D722" s="1">
        <f>SUM(PL!I722:L722)</f>
        <v>0</v>
      </c>
      <c r="E722" s="1">
        <f>SUM(C722:D722)</f>
        <v>0</v>
      </c>
      <c r="F722" s="1">
        <f>IF(C722 + F721 &lt; 0, C722 + F721, 0)</f>
        <v>0</v>
      </c>
      <c r="G722" s="1">
        <f>IF(D722 + G721 &lt; 0, D722 + G721, 0)</f>
        <v>0</v>
      </c>
      <c r="H722" s="1">
        <f>IF(E722 + H721 &lt; 0, E722 + H721, 0)</f>
        <v>0</v>
      </c>
      <c r="I722" s="1">
        <f>IF(H722 &lt; 0, 1 + I721, 0)</f>
        <v>0</v>
      </c>
      <c r="J722" s="1">
        <f>C722-((ABS(SUM(PL!E722:H722)))*0.125)</f>
        <v>0</v>
      </c>
      <c r="K722" s="1">
        <f>D722-((ABS(SUM(PL!I722:L722)))*0.125)</f>
        <v>0</v>
      </c>
      <c r="L722" s="1">
        <f>J722 + K722</f>
        <v>0</v>
      </c>
      <c r="M722" s="1">
        <f>IF(J722 + M721 &lt; 0, J722 + M721, 0)</f>
        <v>0</v>
      </c>
      <c r="N722" s="1">
        <f>IF(K722 + N721 &lt; 0, K722 + N721, 0)</f>
        <v>0</v>
      </c>
      <c r="O722" s="1">
        <f>IF(L722 + O721 &lt; 0, L722 + O721, 0)</f>
        <v>0</v>
      </c>
      <c r="P722" s="1">
        <f>IF(O722 &lt; 0, 1 + P721, 0)</f>
        <v>0</v>
      </c>
      <c r="Q722" s="1">
        <f>IF(E722&lt;0,1,0)</f>
        <v>0</v>
      </c>
      <c r="R722" s="1">
        <f>IF(Q722=1,E722,0)</f>
        <v>0</v>
      </c>
      <c r="S722" s="1">
        <f>IF(E722&gt;0,1,0)</f>
        <v>0</v>
      </c>
      <c r="T722" s="1">
        <f>IF(S722=1,E722,0)</f>
        <v>0</v>
      </c>
      <c r="U722" s="1">
        <f>IF(R722&lt;-100000000/100,1,0)</f>
        <v>0</v>
      </c>
      <c r="V722" s="1">
        <f>IF(T722&gt;100000000/100,1,0)</f>
        <v>0</v>
      </c>
      <c r="W722" s="1">
        <f>IF(L722&lt;0,1,0)</f>
        <v>0</v>
      </c>
      <c r="X722" s="1">
        <f>IF(W722=1,L722,0)</f>
        <v>0</v>
      </c>
      <c r="Y722" s="1">
        <f>IF(L722&gt;0,1,0)</f>
        <v>0</v>
      </c>
      <c r="Z722" s="1">
        <f>IF(Y722=1,L722,0)</f>
        <v>0</v>
      </c>
      <c r="AA722" s="1">
        <f>IF(X722&lt;-100000000/100,1,0)</f>
        <v>0</v>
      </c>
      <c r="AB722" s="1">
        <f>IF(Z722&gt;100000000/100,1,0)</f>
        <v>0</v>
      </c>
    </row>
    <row r="723" spans="1:28" s="1" customFormat="1">
      <c r="A723" s="2" t="s">
        <v>187</v>
      </c>
      <c r="B723" s="2"/>
      <c r="C723" s="1">
        <f>SUM(C2:C722)</f>
        <v>0</v>
      </c>
      <c r="D723" s="1">
        <f>SUM(D2:D722)</f>
        <v>0</v>
      </c>
      <c r="E723" s="1">
        <f>SUM(E2:E722)</f>
        <v>0</v>
      </c>
      <c r="F723" s="1">
        <f>MIN(F2:F722)</f>
        <v>0</v>
      </c>
      <c r="G723" s="1">
        <f>MIN(G2:G722)</f>
        <v>0</v>
      </c>
      <c r="H723" s="1">
        <f>MIN(H2:H722)</f>
        <v>0</v>
      </c>
      <c r="I723" s="1">
        <f>MAX(I2:I722)</f>
        <v>0</v>
      </c>
      <c r="J723" s="1">
        <f>SUM(J2:J722)</f>
        <v>0</v>
      </c>
      <c r="K723" s="1">
        <f>SUM(K2:K722)</f>
        <v>0</v>
      </c>
      <c r="L723" s="1">
        <f>SUM(L2:L722)</f>
        <v>0</v>
      </c>
      <c r="M723" s="1">
        <f>MIN(M2:M722)</f>
        <v>0</v>
      </c>
      <c r="N723" s="1">
        <f>MIN(N2:N722)</f>
        <v>0</v>
      </c>
      <c r="O723" s="1">
        <f>MIN(O2:O722)</f>
        <v>0</v>
      </c>
      <c r="P723" s="1">
        <f>MAX(P2:P722)</f>
        <v>0</v>
      </c>
      <c r="Q723" s="1">
        <f>SUM(Q2:Q722)</f>
        <v>0</v>
      </c>
      <c r="R723" s="1">
        <f>SUM(R2:R722)</f>
        <v>0</v>
      </c>
      <c r="S723" s="1">
        <f>SUM(S2:S722)</f>
        <v>0</v>
      </c>
      <c r="T723" s="1">
        <f>SUM(T2:T722)</f>
        <v>0</v>
      </c>
      <c r="U723" s="1">
        <f>SUM(U2:U722)</f>
        <v>0</v>
      </c>
      <c r="V723" s="1">
        <f>SUM(V2:V722)</f>
        <v>0</v>
      </c>
      <c r="W723" s="1">
        <f>SUM(W2:W722)</f>
        <v>0</v>
      </c>
      <c r="X723" s="1">
        <f>SUM(X2:X722)</f>
        <v>0</v>
      </c>
      <c r="Y723" s="1">
        <f>SUM(Y2:Y722)</f>
        <v>0</v>
      </c>
      <c r="Z723" s="1">
        <f>SUM(Z2:Z722)</f>
        <v>0</v>
      </c>
      <c r="AA723" s="1">
        <f>SUM(AA2:AA722)</f>
        <v>0</v>
      </c>
      <c r="AB723" s="1">
        <f>SUM(AB2:AB722)</f>
        <v>0</v>
      </c>
    </row>
    <row r="724" spans="1:28" s="1" customFormat="1">
      <c r="A724" s="2" t="s">
        <v>211</v>
      </c>
      <c r="B724" s="2"/>
      <c r="C724" s="1">
        <v>36.36</v>
      </c>
      <c r="D724" s="1">
        <v>36.36</v>
      </c>
      <c r="J724" s="1">
        <v>36.36</v>
      </c>
      <c r="K724" s="1">
        <v>36.36</v>
      </c>
      <c r="R724" s="1">
        <f>R723/Q723</f>
        <v>0</v>
      </c>
      <c r="T724" s="1">
        <f>T723/S723</f>
        <v>0</v>
      </c>
      <c r="X724" s="1">
        <f>X723/W723</f>
        <v>0</v>
      </c>
      <c r="Z724" s="1">
        <f>Z723/Y723</f>
        <v>0</v>
      </c>
    </row>
    <row r="725" spans="1:28" s="1" customFormat="1">
      <c r="A725" s="2" t="s">
        <v>212</v>
      </c>
      <c r="B725" s="2"/>
      <c r="C725" s="1">
        <f>C723/C724</f>
        <v>0</v>
      </c>
      <c r="D725" s="1">
        <f>D723/D724</f>
        <v>0</v>
      </c>
      <c r="E725" s="1">
        <f>C725+D725</f>
        <v>0</v>
      </c>
      <c r="J725" s="1">
        <f>J723/J724</f>
        <v>0</v>
      </c>
      <c r="K725" s="1">
        <f>K723/K724</f>
        <v>0</v>
      </c>
      <c r="L725" s="1">
        <f>J725+K725</f>
        <v>0</v>
      </c>
      <c r="T725" s="1">
        <f>T724/R724*-1</f>
        <v>0</v>
      </c>
      <c r="Z725" s="1">
        <f>Z724/X724*-1</f>
        <v>0</v>
      </c>
    </row>
    <row r="726" spans="1:28" s="1" customFormat="1"/>
    <row r="727" spans="1:28" s="1" customFormat="1"/>
    <row r="728" spans="1:28" s="1" customFormat="1"/>
    <row r="729" spans="1:28" s="1" customFormat="1"/>
    <row r="730" spans="1:28" s="1" customFormat="1"/>
    <row r="731" spans="1:28" s="1" customFormat="1"/>
    <row r="732" spans="1:28" s="1" customFormat="1"/>
    <row r="733" spans="1:28" s="1" customFormat="1"/>
    <row r="734" spans="1:28" s="1" customFormat="1"/>
    <row r="735" spans="1:28" s="1" customFormat="1"/>
    <row r="736" spans="1:28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</sheetData>
  <conditionalFormatting sqref="C2:ZZ100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</vt:lpstr>
      <vt:lpstr>Exit Times</vt:lpstr>
      <vt:lpstr>StgWiseDD</vt:lpstr>
      <vt:lpstr>CombinedDD</vt:lpstr>
      <vt:lpstr>MTM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2026-01-13T08:53:27Z</dcterms:created>
  <dcterms:modified xsi:type="dcterms:W3CDTF">2026-01-13T08:53:27Z</dcterms:modified>
</cp:coreProperties>
</file>